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isb\Downloads\"/>
    </mc:Choice>
  </mc:AlternateContent>
  <xr:revisionPtr revIDLastSave="0" documentId="8_{83D74224-098B-411C-AD26-EB6DC14F0C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cutive Dashboard" sheetId="1" r:id="rId1"/>
    <sheet name="Monthly P&amp;L" sheetId="2" r:id="rId2"/>
    <sheet name="Cash Flow" sheetId="3" r:id="rId3"/>
    <sheet name="Margin Sensitivity" sheetId="4" r:id="rId4"/>
    <sheet name="KPI Tracker" sheetId="5" r:id="rId5"/>
    <sheet name="Variance Analysis" sheetId="6" r:id="rId6"/>
    <sheet name="Notes &amp; Methodolog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5" l="1"/>
  <c r="C6" i="5"/>
  <c r="L5" i="1"/>
  <c r="C10" i="6"/>
  <c r="D10" i="6" s="1"/>
  <c r="E10" i="6" s="1"/>
  <c r="N18" i="5"/>
  <c r="N17" i="5"/>
  <c r="M13" i="5"/>
  <c r="L13" i="5"/>
  <c r="K13" i="5"/>
  <c r="J13" i="5"/>
  <c r="I13" i="5"/>
  <c r="H13" i="5"/>
  <c r="G13" i="5"/>
  <c r="F13" i="5"/>
  <c r="E13" i="5"/>
  <c r="N13" i="5" s="1"/>
  <c r="D13" i="5"/>
  <c r="C13" i="5"/>
  <c r="B13" i="5"/>
  <c r="M12" i="5"/>
  <c r="L12" i="5"/>
  <c r="K12" i="5"/>
  <c r="J12" i="5"/>
  <c r="I12" i="5"/>
  <c r="H12" i="5"/>
  <c r="G12" i="5"/>
  <c r="F12" i="5"/>
  <c r="E12" i="5"/>
  <c r="D12" i="5"/>
  <c r="C12" i="5"/>
  <c r="B12" i="5"/>
  <c r="I6" i="5"/>
  <c r="N5" i="5"/>
  <c r="L4" i="5"/>
  <c r="F4" i="5"/>
  <c r="N15" i="3"/>
  <c r="M14" i="3"/>
  <c r="L14" i="3"/>
  <c r="K14" i="3"/>
  <c r="J14" i="3"/>
  <c r="I14" i="3"/>
  <c r="H14" i="3"/>
  <c r="G14" i="3"/>
  <c r="F14" i="3"/>
  <c r="E14" i="3"/>
  <c r="D14" i="3"/>
  <c r="C14" i="3"/>
  <c r="B14" i="3"/>
  <c r="M12" i="3"/>
  <c r="L12" i="3"/>
  <c r="K12" i="3"/>
  <c r="J12" i="3"/>
  <c r="I12" i="3"/>
  <c r="H12" i="3"/>
  <c r="G12" i="3"/>
  <c r="F12" i="3"/>
  <c r="E12" i="3"/>
  <c r="D12" i="3"/>
  <c r="C12" i="3"/>
  <c r="B12" i="3"/>
  <c r="N12" i="3" s="1"/>
  <c r="N7" i="3"/>
  <c r="F6" i="3"/>
  <c r="F8" i="3" s="1"/>
  <c r="D6" i="3"/>
  <c r="D8" i="3" s="1"/>
  <c r="L23" i="2"/>
  <c r="I23" i="2"/>
  <c r="L22" i="2"/>
  <c r="K22" i="2"/>
  <c r="H22" i="2"/>
  <c r="F22" i="2"/>
  <c r="K21" i="2"/>
  <c r="K21" i="5" s="1"/>
  <c r="D21" i="2"/>
  <c r="D21" i="5" s="1"/>
  <c r="N14" i="2"/>
  <c r="F13" i="2"/>
  <c r="F15" i="2" s="1"/>
  <c r="D13" i="2"/>
  <c r="D13" i="3" s="1"/>
  <c r="D16" i="3" s="1"/>
  <c r="N12" i="2"/>
  <c r="C8" i="6" s="1"/>
  <c r="D8" i="6" s="1"/>
  <c r="E8" i="6" s="1"/>
  <c r="F8" i="2"/>
  <c r="D8" i="2"/>
  <c r="K7" i="2"/>
  <c r="K11" i="3" s="1"/>
  <c r="J7" i="2"/>
  <c r="J11" i="3" s="1"/>
  <c r="H7" i="2"/>
  <c r="H11" i="3" s="1"/>
  <c r="F7" i="2"/>
  <c r="F11" i="3" s="1"/>
  <c r="D7" i="2"/>
  <c r="D11" i="3" s="1"/>
  <c r="N6" i="2"/>
  <c r="C5" i="6" s="1"/>
  <c r="D5" i="6" s="1"/>
  <c r="E5" i="6" s="1"/>
  <c r="H5" i="6" s="1"/>
  <c r="N5" i="2"/>
  <c r="C4" i="6" s="1"/>
  <c r="D4" i="6" s="1"/>
  <c r="E4" i="6" s="1"/>
  <c r="M4" i="2"/>
  <c r="M6" i="3" s="1"/>
  <c r="M8" i="3" s="1"/>
  <c r="L4" i="2"/>
  <c r="L13" i="2" s="1"/>
  <c r="K4" i="2"/>
  <c r="K4" i="5" s="1"/>
  <c r="K6" i="5" s="1"/>
  <c r="J4" i="2"/>
  <c r="J6" i="3" s="1"/>
  <c r="J8" i="3" s="1"/>
  <c r="I4" i="2"/>
  <c r="I4" i="5" s="1"/>
  <c r="I16" i="5" s="1"/>
  <c r="H4" i="2"/>
  <c r="H6" i="3" s="1"/>
  <c r="H8" i="3" s="1"/>
  <c r="G4" i="2"/>
  <c r="F4" i="2"/>
  <c r="F23" i="2" s="1"/>
  <c r="E4" i="2"/>
  <c r="E7" i="2" s="1"/>
  <c r="D4" i="2"/>
  <c r="D4" i="5" s="1"/>
  <c r="C4" i="2"/>
  <c r="C4" i="5" s="1"/>
  <c r="B4" i="2"/>
  <c r="B7" i="2" s="1"/>
  <c r="F20" i="1"/>
  <c r="D20" i="1"/>
  <c r="K19" i="1"/>
  <c r="J19" i="1"/>
  <c r="H19" i="1"/>
  <c r="F19" i="1"/>
  <c r="D19" i="1"/>
  <c r="L18" i="1"/>
  <c r="I18" i="1"/>
  <c r="H18" i="1"/>
  <c r="F18" i="1"/>
  <c r="E18" i="1"/>
  <c r="D18" i="1"/>
  <c r="C18" i="1"/>
  <c r="B14" i="1"/>
  <c r="B12" i="1"/>
  <c r="H4" i="6" l="1"/>
  <c r="G4" i="6"/>
  <c r="F4" i="6"/>
  <c r="F17" i="2"/>
  <c r="F18" i="2" s="1"/>
  <c r="F19" i="2" s="1"/>
  <c r="F11" i="5" s="1"/>
  <c r="H8" i="6"/>
  <c r="G8" i="6"/>
  <c r="F8" i="6"/>
  <c r="E11" i="3"/>
  <c r="E19" i="1"/>
  <c r="B11" i="3"/>
  <c r="B19" i="1"/>
  <c r="D18" i="3"/>
  <c r="D6" i="5"/>
  <c r="D16" i="5"/>
  <c r="D7" i="5"/>
  <c r="L13" i="3"/>
  <c r="L15" i="2"/>
  <c r="G23" i="2"/>
  <c r="G6" i="3"/>
  <c r="G8" i="3" s="1"/>
  <c r="G13" i="2"/>
  <c r="G7" i="2"/>
  <c r="M21" i="2"/>
  <c r="M21" i="5" s="1"/>
  <c r="G18" i="1"/>
  <c r="C7" i="2"/>
  <c r="L7" i="2"/>
  <c r="H8" i="2"/>
  <c r="D10" i="2"/>
  <c r="I13" i="2"/>
  <c r="G21" i="2"/>
  <c r="G21" i="5" s="1"/>
  <c r="D22" i="2"/>
  <c r="M22" i="2"/>
  <c r="K23" i="2"/>
  <c r="F13" i="3"/>
  <c r="F16" i="3" s="1"/>
  <c r="F18" i="3" s="1"/>
  <c r="E4" i="5"/>
  <c r="C7" i="5"/>
  <c r="B4" i="5"/>
  <c r="B22" i="2"/>
  <c r="B8" i="2"/>
  <c r="N4" i="2"/>
  <c r="B18" i="1"/>
  <c r="J4" i="5"/>
  <c r="J22" i="2"/>
  <c r="J8" i="2"/>
  <c r="J18" i="1"/>
  <c r="M7" i="2"/>
  <c r="F10" i="2"/>
  <c r="J13" i="2"/>
  <c r="D15" i="2"/>
  <c r="D17" i="2" s="1"/>
  <c r="D18" i="2" s="1"/>
  <c r="D19" i="2" s="1"/>
  <c r="D11" i="5" s="1"/>
  <c r="H21" i="2"/>
  <c r="H21" i="5" s="1"/>
  <c r="E22" i="2"/>
  <c r="B23" i="2"/>
  <c r="K6" i="3"/>
  <c r="K8" i="3" s="1"/>
  <c r="F16" i="5"/>
  <c r="F7" i="5"/>
  <c r="F6" i="5"/>
  <c r="C16" i="5"/>
  <c r="K8" i="2"/>
  <c r="B13" i="2"/>
  <c r="K13" i="2"/>
  <c r="I21" i="2"/>
  <c r="I21" i="5" s="1"/>
  <c r="C23" i="2"/>
  <c r="M23" i="2"/>
  <c r="B6" i="3"/>
  <c r="L6" i="3"/>
  <c r="L8" i="3" s="1"/>
  <c r="G4" i="5"/>
  <c r="G10" i="6"/>
  <c r="F10" i="6"/>
  <c r="K18" i="1"/>
  <c r="C8" i="2"/>
  <c r="C10" i="2" s="1"/>
  <c r="L8" i="2"/>
  <c r="H10" i="2"/>
  <c r="C13" i="2"/>
  <c r="J21" i="2"/>
  <c r="J21" i="5" s="1"/>
  <c r="G22" i="2"/>
  <c r="D23" i="2"/>
  <c r="C6" i="3"/>
  <c r="C8" i="3" s="1"/>
  <c r="H4" i="5"/>
  <c r="I7" i="5"/>
  <c r="H10" i="6"/>
  <c r="L6" i="5"/>
  <c r="L16" i="5"/>
  <c r="F5" i="6"/>
  <c r="F21" i="2"/>
  <c r="F21" i="5" s="1"/>
  <c r="M8" i="2"/>
  <c r="M13" i="2"/>
  <c r="E23" i="2"/>
  <c r="M18" i="1"/>
  <c r="I7" i="2"/>
  <c r="E8" i="2"/>
  <c r="J10" i="2"/>
  <c r="E13" i="2"/>
  <c r="C21" i="2"/>
  <c r="C21" i="5" s="1"/>
  <c r="L21" i="2"/>
  <c r="L21" i="5" s="1"/>
  <c r="I22" i="2"/>
  <c r="H23" i="2"/>
  <c r="E6" i="3"/>
  <c r="E8" i="3" s="1"/>
  <c r="B8" i="4"/>
  <c r="M4" i="5"/>
  <c r="K7" i="5"/>
  <c r="K16" i="5"/>
  <c r="G5" i="6"/>
  <c r="L7" i="5"/>
  <c r="G8" i="2"/>
  <c r="H13" i="2"/>
  <c r="E21" i="2"/>
  <c r="E21" i="5" s="1"/>
  <c r="C22" i="2"/>
  <c r="J23" i="2"/>
  <c r="I6" i="3"/>
  <c r="I8" i="3" s="1"/>
  <c r="N14" i="3"/>
  <c r="N12" i="5"/>
  <c r="C10" i="5" l="1"/>
  <c r="C21" i="1"/>
  <c r="J6" i="5"/>
  <c r="J16" i="5"/>
  <c r="J7" i="5"/>
  <c r="E13" i="3"/>
  <c r="E15" i="2"/>
  <c r="E17" i="2" s="1"/>
  <c r="E18" i="2" s="1"/>
  <c r="E19" i="2" s="1"/>
  <c r="E11" i="5" s="1"/>
  <c r="M20" i="1"/>
  <c r="G16" i="5"/>
  <c r="G7" i="5"/>
  <c r="G6" i="5"/>
  <c r="B13" i="3"/>
  <c r="B15" i="2"/>
  <c r="N13" i="2"/>
  <c r="C9" i="6" s="1"/>
  <c r="D9" i="6" s="1"/>
  <c r="E9" i="6" s="1"/>
  <c r="C11" i="3"/>
  <c r="C19" i="1"/>
  <c r="H15" i="2"/>
  <c r="H13" i="3"/>
  <c r="H16" i="3" s="1"/>
  <c r="H18" i="3" s="1"/>
  <c r="D17" i="4"/>
  <c r="I15" i="4"/>
  <c r="G14" i="4"/>
  <c r="F18" i="4"/>
  <c r="H19" i="4"/>
  <c r="C19" i="4"/>
  <c r="E13" i="4"/>
  <c r="E20" i="1"/>
  <c r="M10" i="2"/>
  <c r="H7" i="5"/>
  <c r="H6" i="5"/>
  <c r="H16" i="5"/>
  <c r="H10" i="5"/>
  <c r="H21" i="1"/>
  <c r="B8" i="3"/>
  <c r="B18" i="3" s="1"/>
  <c r="B19" i="3" s="1"/>
  <c r="C3" i="3" s="1"/>
  <c r="N6" i="3"/>
  <c r="N8" i="3" s="1"/>
  <c r="K17" i="2"/>
  <c r="K18" i="2" s="1"/>
  <c r="K19" i="2" s="1"/>
  <c r="K11" i="5" s="1"/>
  <c r="K20" i="1"/>
  <c r="K10" i="2"/>
  <c r="B22" i="5"/>
  <c r="C22" i="5" s="1"/>
  <c r="D22" i="5" s="1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B7" i="5"/>
  <c r="N4" i="5"/>
  <c r="B16" i="5"/>
  <c r="B6" i="5"/>
  <c r="E18" i="3"/>
  <c r="I11" i="3"/>
  <c r="I19" i="1"/>
  <c r="I8" i="2"/>
  <c r="E10" i="2"/>
  <c r="L17" i="2"/>
  <c r="L18" i="2" s="1"/>
  <c r="L19" i="2" s="1"/>
  <c r="L11" i="5" s="1"/>
  <c r="L10" i="2"/>
  <c r="L20" i="1"/>
  <c r="G11" i="3"/>
  <c r="G19" i="1"/>
  <c r="B16" i="3"/>
  <c r="I15" i="2"/>
  <c r="I13" i="3"/>
  <c r="G15" i="2"/>
  <c r="G13" i="3"/>
  <c r="J13" i="3"/>
  <c r="J16" i="3" s="1"/>
  <c r="J18" i="3" s="1"/>
  <c r="J15" i="2"/>
  <c r="E16" i="5"/>
  <c r="E7" i="5"/>
  <c r="D10" i="5"/>
  <c r="D21" i="1"/>
  <c r="N7" i="2"/>
  <c r="F10" i="5"/>
  <c r="F21" i="1"/>
  <c r="B5" i="4"/>
  <c r="F20" i="4" s="1"/>
  <c r="C3" i="6"/>
  <c r="D3" i="6" s="1"/>
  <c r="E3" i="6" s="1"/>
  <c r="N8" i="2"/>
  <c r="J5" i="1"/>
  <c r="N10" i="2"/>
  <c r="B5" i="1"/>
  <c r="N18" i="1"/>
  <c r="C10" i="1"/>
  <c r="D10" i="1" s="1"/>
  <c r="E10" i="1" s="1"/>
  <c r="H20" i="1"/>
  <c r="H17" i="2"/>
  <c r="H18" i="2" s="1"/>
  <c r="H19" i="2" s="1"/>
  <c r="H11" i="5" s="1"/>
  <c r="G17" i="2"/>
  <c r="G18" i="2" s="1"/>
  <c r="G19" i="2" s="1"/>
  <c r="G11" i="5" s="1"/>
  <c r="G20" i="1"/>
  <c r="C20" i="1"/>
  <c r="N21" i="5"/>
  <c r="M13" i="3"/>
  <c r="M15" i="2"/>
  <c r="M17" i="2" s="1"/>
  <c r="M18" i="2" s="1"/>
  <c r="M19" i="2" s="1"/>
  <c r="M11" i="5" s="1"/>
  <c r="K13" i="3"/>
  <c r="K16" i="3" s="1"/>
  <c r="K18" i="3" s="1"/>
  <c r="K15" i="2"/>
  <c r="M11" i="3"/>
  <c r="M19" i="1"/>
  <c r="B17" i="2"/>
  <c r="B18" i="2" s="1"/>
  <c r="B19" i="2" s="1"/>
  <c r="B11" i="5" s="1"/>
  <c r="B20" i="1"/>
  <c r="B10" i="2"/>
  <c r="L11" i="3"/>
  <c r="L16" i="3" s="1"/>
  <c r="L18" i="3" s="1"/>
  <c r="L19" i="1"/>
  <c r="E16" i="3"/>
  <c r="M6" i="5"/>
  <c r="M16" i="5"/>
  <c r="M7" i="5"/>
  <c r="J10" i="5"/>
  <c r="J21" i="1"/>
  <c r="C13" i="3"/>
  <c r="C15" i="2"/>
  <c r="C17" i="2" s="1"/>
  <c r="C18" i="2" s="1"/>
  <c r="C19" i="2" s="1"/>
  <c r="C11" i="5" s="1"/>
  <c r="G10" i="2"/>
  <c r="J17" i="2"/>
  <c r="J18" i="2" s="1"/>
  <c r="J19" i="2" s="1"/>
  <c r="J11" i="5" s="1"/>
  <c r="J20" i="1"/>
  <c r="G16" i="3" l="1"/>
  <c r="G18" i="3" s="1"/>
  <c r="I16" i="3"/>
  <c r="I18" i="3" s="1"/>
  <c r="H20" i="4"/>
  <c r="F17" i="4"/>
  <c r="H17" i="4"/>
  <c r="F16" i="4"/>
  <c r="F13" i="4"/>
  <c r="H14" i="4"/>
  <c r="C16" i="4"/>
  <c r="C16" i="3"/>
  <c r="C18" i="3" s="1"/>
  <c r="M10" i="5"/>
  <c r="M21" i="1"/>
  <c r="G9" i="6"/>
  <c r="H9" i="6"/>
  <c r="F9" i="6"/>
  <c r="B10" i="5"/>
  <c r="B21" i="1"/>
  <c r="C12" i="1"/>
  <c r="D12" i="1" s="1"/>
  <c r="E12" i="1" s="1"/>
  <c r="N20" i="1"/>
  <c r="C7" i="6"/>
  <c r="D7" i="6" s="1"/>
  <c r="E7" i="6" s="1"/>
  <c r="L21" i="1"/>
  <c r="L10" i="5"/>
  <c r="E15" i="4"/>
  <c r="C14" i="4"/>
  <c r="E14" i="4"/>
  <c r="C20" i="4"/>
  <c r="H15" i="4"/>
  <c r="C17" i="4"/>
  <c r="E18" i="4"/>
  <c r="N15" i="2"/>
  <c r="F10" i="1"/>
  <c r="G10" i="1"/>
  <c r="C19" i="3"/>
  <c r="D3" i="3" s="1"/>
  <c r="D19" i="3" s="1"/>
  <c r="E3" i="3" s="1"/>
  <c r="E19" i="3" s="1"/>
  <c r="F3" i="3" s="1"/>
  <c r="F19" i="3" s="1"/>
  <c r="G3" i="3" s="1"/>
  <c r="G19" i="3" s="1"/>
  <c r="H3" i="3" s="1"/>
  <c r="H19" i="3" s="1"/>
  <c r="I3" i="3" s="1"/>
  <c r="I19" i="3" s="1"/>
  <c r="J3" i="3" s="1"/>
  <c r="J19" i="3" s="1"/>
  <c r="K3" i="3" s="1"/>
  <c r="K19" i="3" s="1"/>
  <c r="L3" i="3" s="1"/>
  <c r="L19" i="3" s="1"/>
  <c r="M3" i="3" s="1"/>
  <c r="M19" i="3" s="1"/>
  <c r="N19" i="3" s="1"/>
  <c r="H5" i="1" s="1"/>
  <c r="E17" i="4"/>
  <c r="G15" i="4"/>
  <c r="E16" i="4"/>
  <c r="C13" i="4"/>
  <c r="I16" i="4"/>
  <c r="D18" i="4"/>
  <c r="F19" i="4"/>
  <c r="N13" i="3"/>
  <c r="N7" i="5"/>
  <c r="N6" i="5"/>
  <c r="D13" i="4"/>
  <c r="I18" i="4"/>
  <c r="G17" i="4"/>
  <c r="I17" i="4"/>
  <c r="C15" i="4"/>
  <c r="C18" i="4"/>
  <c r="E19" i="4"/>
  <c r="G20" i="4"/>
  <c r="N11" i="3"/>
  <c r="E10" i="5"/>
  <c r="E21" i="1"/>
  <c r="D15" i="4"/>
  <c r="I20" i="4"/>
  <c r="G19" i="4"/>
  <c r="I19" i="4"/>
  <c r="G16" i="4"/>
  <c r="D19" i="4"/>
  <c r="H3" i="6"/>
  <c r="G3" i="6"/>
  <c r="F3" i="6"/>
  <c r="C28" i="4"/>
  <c r="C26" i="4"/>
  <c r="C27" i="4"/>
  <c r="C29" i="4"/>
  <c r="C25" i="4"/>
  <c r="G10" i="5"/>
  <c r="G21" i="1"/>
  <c r="M16" i="3"/>
  <c r="M18" i="3" s="1"/>
  <c r="D5" i="1"/>
  <c r="N21" i="1"/>
  <c r="I10" i="2"/>
  <c r="I17" i="2"/>
  <c r="I18" i="2" s="1"/>
  <c r="I19" i="2" s="1"/>
  <c r="I11" i="5" s="1"/>
  <c r="N11" i="5" s="1"/>
  <c r="I20" i="1"/>
  <c r="H16" i="4"/>
  <c r="I13" i="4"/>
  <c r="D14" i="4"/>
  <c r="B9" i="4"/>
  <c r="G18" i="4"/>
  <c r="E20" i="4"/>
  <c r="H13" i="4"/>
  <c r="C6" i="6"/>
  <c r="D6" i="6" s="1"/>
  <c r="E6" i="6" s="1"/>
  <c r="N19" i="1"/>
  <c r="C11" i="1"/>
  <c r="D11" i="1" s="1"/>
  <c r="E11" i="1" s="1"/>
  <c r="K10" i="5"/>
  <c r="K21" i="1"/>
  <c r="H18" i="4"/>
  <c r="F15" i="4"/>
  <c r="D16" i="4"/>
  <c r="F14" i="4"/>
  <c r="D20" i="4"/>
  <c r="G13" i="4"/>
  <c r="I14" i="4"/>
  <c r="N10" i="5" l="1"/>
  <c r="F25" i="4"/>
  <c r="E25" i="4"/>
  <c r="D25" i="4"/>
  <c r="C11" i="6"/>
  <c r="D11" i="6" s="1"/>
  <c r="E11" i="6" s="1"/>
  <c r="C13" i="1"/>
  <c r="D13" i="1" s="1"/>
  <c r="E13" i="1" s="1"/>
  <c r="N16" i="3"/>
  <c r="N18" i="3" s="1"/>
  <c r="I10" i="5"/>
  <c r="I21" i="1"/>
  <c r="F27" i="4"/>
  <c r="E27" i="4"/>
  <c r="D27" i="4"/>
  <c r="H7" i="6"/>
  <c r="G7" i="6"/>
  <c r="F7" i="6"/>
  <c r="G11" i="1"/>
  <c r="F11" i="1"/>
  <c r="G6" i="6"/>
  <c r="F6" i="6"/>
  <c r="H6" i="6"/>
  <c r="E29" i="4"/>
  <c r="F29" i="4" s="1"/>
  <c r="D29" i="4"/>
  <c r="D26" i="4"/>
  <c r="F26" i="4"/>
  <c r="E26" i="4"/>
  <c r="N17" i="2"/>
  <c r="D28" i="4"/>
  <c r="E28" i="4"/>
  <c r="F28" i="4" s="1"/>
  <c r="G12" i="1"/>
  <c r="F12" i="1"/>
  <c r="F13" i="1" l="1"/>
  <c r="G13" i="1"/>
  <c r="H11" i="6"/>
  <c r="G11" i="6"/>
  <c r="F11" i="6"/>
  <c r="C12" i="6"/>
  <c r="D12" i="6" s="1"/>
  <c r="E12" i="6" s="1"/>
  <c r="N18" i="2"/>
  <c r="C13" i="6" l="1"/>
  <c r="D13" i="6" s="1"/>
  <c r="E13" i="6" s="1"/>
  <c r="F5" i="1"/>
  <c r="C14" i="1"/>
  <c r="D14" i="1" s="1"/>
  <c r="E14" i="1" s="1"/>
  <c r="N19" i="2"/>
  <c r="H12" i="6"/>
  <c r="G12" i="6"/>
  <c r="F12" i="6"/>
  <c r="G14" i="1" l="1"/>
  <c r="F14" i="1"/>
  <c r="H13" i="6"/>
  <c r="G13" i="6"/>
  <c r="F13" i="6"/>
</calcChain>
</file>

<file path=xl/sharedStrings.xml><?xml version="1.0" encoding="utf-8"?>
<sst xmlns="http://schemas.openxmlformats.org/spreadsheetml/2006/main" count="220" uniqueCount="154">
  <si>
    <t>Fiscal Year 2024–2025  |  Two-Location Consolidated  |  Prepared by Anis Bouchema  |  Revenue Base: $550K+</t>
  </si>
  <si>
    <t>Total Revenue</t>
  </si>
  <si>
    <t>Gross Margin</t>
  </si>
  <si>
    <t>Net Income</t>
  </si>
  <si>
    <t>Cash Position</t>
  </si>
  <si>
    <t>YoY Revenue Growth</t>
  </si>
  <si>
    <t>Avg Order Value</t>
  </si>
  <si>
    <t>VARIANCE ALERTS &amp; PERFORMANCE FLAGS</t>
  </si>
  <si>
    <t>Metric</t>
  </si>
  <si>
    <t>Budget</t>
  </si>
  <si>
    <t>Actual</t>
  </si>
  <si>
    <t>Variance ($)</t>
  </si>
  <si>
    <t>Variance (%)</t>
  </si>
  <si>
    <t>Status</t>
  </si>
  <si>
    <t>Alert</t>
  </si>
  <si>
    <t>Revenue</t>
  </si>
  <si>
    <t>COGS</t>
  </si>
  <si>
    <t>Gross Profit</t>
  </si>
  <si>
    <t>Operating Expenses</t>
  </si>
  <si>
    <t>MONTHLY REVENUE TREND — CONSOLIDATED (FY 2024–2025)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</si>
  <si>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</si>
  <si>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</si>
  <si>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</si>
  <si>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</si>
  <si>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</si>
  <si>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</si>
  <si>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</si>
  <si>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</si>
  <si>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</si>
  <si>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</si>
  <si>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</si>
  <si>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</si>
  <si>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Total</t>
  </si>
  <si>
    <t>Gross Margin %</t>
  </si>
  <si>
    <t>CONSOLIDATED MONTHLY PROFIT &amp; LOSS STATEMENT — FY 2024-2025</t>
  </si>
  <si>
    <t>Line Item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</si>
  <si>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</si>
  <si>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</si>
  <si>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</si>
  <si>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</si>
  <si>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</si>
  <si>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</si>
  <si>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</si>
  <si>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</si>
  <si>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</si>
  <si>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</si>
  <si>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</si>
  <si>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</si>
  <si>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REVENUE</t>
  </si>
  <si>
    <t xml:space="preserve">  Oakville Location</t>
  </si>
  <si>
    <t xml:space="preserve">  High Park (Bloor) Location</t>
  </si>
  <si>
    <t>Cost of Goods Sold (COGS)</t>
  </si>
  <si>
    <t>OPERATING EXPENSES</t>
  </si>
  <si>
    <t xml:space="preserve">  Rent (Both Locations)</t>
  </si>
  <si>
    <t xml:space="preserve">  Labor &amp; Staffing</t>
  </si>
  <si>
    <t xml:space="preserve">  Marketing &amp; Promotions</t>
  </si>
  <si>
    <t>Total Operating Expenses</t>
  </si>
  <si>
    <t>EBITDA</t>
  </si>
  <si>
    <t>Net Margin %</t>
  </si>
  <si>
    <t>MoM Revenue Growth</t>
  </si>
  <si>
    <t>—</t>
  </si>
  <si>
    <t>Oakville % of Revenue</t>
  </si>
  <si>
    <t>High Park % of Revenue</t>
  </si>
  <si>
    <t>KEY ASSUMPTIONS (Blue = Input)</t>
  </si>
  <si>
    <t>Assumption</t>
  </si>
  <si>
    <t>COGS % of Revenue</t>
  </si>
  <si>
    <t>Labor % of Revenue</t>
  </si>
  <si>
    <t>CASH FLOW FORECAST — FY 2024-2025</t>
  </si>
  <si>
    <t>Opening Cash Balance</t>
  </si>
  <si>
    <t>CASH INFLOWS</t>
  </si>
  <si>
    <t xml:space="preserve">  Revenue Collected</t>
  </si>
  <si>
    <t xml:space="preserve">  Other Income</t>
  </si>
  <si>
    <t>Total Cash Inflows</t>
  </si>
  <si>
    <t>CASH OUTFLOWS</t>
  </si>
  <si>
    <t xml:space="preserve">  COGS Payments</t>
  </si>
  <si>
    <t xml:space="preserve">  Rent Payments</t>
  </si>
  <si>
    <t xml:space="preserve">  Labor Payments</t>
  </si>
  <si>
    <t xml:space="preserve">  Marketing Spend</t>
  </si>
  <si>
    <t xml:space="preserve">  Capital Expenditures</t>
  </si>
  <si>
    <t>Total Cash Outflows</t>
  </si>
  <si>
    <t>Net Cash Flow</t>
  </si>
  <si>
    <t>Closing Cash Balance</t>
  </si>
  <si>
    <t>MARGIN SENSITIVITY ANALYSIS</t>
  </si>
  <si>
    <t>How does net margin change with different COGS % and Labor % assumptions?</t>
  </si>
  <si>
    <t>BASE CASE INPUTS</t>
  </si>
  <si>
    <t>Annual Revenue</t>
  </si>
  <si>
    <t>Base COGS %</t>
  </si>
  <si>
    <t>Base Labor %</t>
  </si>
  <si>
    <t>Fixed Costs (Rent + Mktg)</t>
  </si>
  <si>
    <t>Base Net Margin</t>
  </si>
  <si>
    <t>NET MARGIN SENSITIVITY TABLE</t>
  </si>
  <si>
    <t>COGS % ↓</t>
  </si>
  <si>
    <t>Labor % →</t>
  </si>
  <si>
    <t>REVENUE SCENARIO ANALYSIS</t>
  </si>
  <si>
    <t>Scenario</t>
  </si>
  <si>
    <t>Growth</t>
  </si>
  <si>
    <t>Projected Revenue</t>
  </si>
  <si>
    <t>Net Margin</t>
  </si>
  <si>
    <t>Bear Case (-15%)</t>
  </si>
  <si>
    <t>Moderate Decline (-8%)</t>
  </si>
  <si>
    <t>Base Case</t>
  </si>
  <si>
    <t>Moderate Growth (+8%)</t>
  </si>
  <si>
    <t>Bull Case (+15%)</t>
  </si>
  <si>
    <t>OPERATIONAL KPI TRACKER — FY 2024-2025</t>
  </si>
  <si>
    <t>KPI</t>
  </si>
  <si>
    <t>FY Avg/Total</t>
  </si>
  <si>
    <t>SALES KPIs</t>
  </si>
  <si>
    <t>Total Transactions</t>
  </si>
  <si>
    <t>Average Order Value (AOV)</t>
  </si>
  <si>
    <t>Revenue per Location</t>
  </si>
  <si>
    <t>PROFITABILITY KPIs</t>
  </si>
  <si>
    <t>EFFICIENCY KPIs</t>
  </si>
  <si>
    <t>Revenue per Staff Member</t>
  </si>
  <si>
    <t>Staff Count</t>
  </si>
  <si>
    <t>Inventory Turnover (est.)</t>
  </si>
  <si>
    <t>GROWTH KPIs</t>
  </si>
  <si>
    <t>Cumulative Revenue</t>
  </si>
  <si>
    <t>BUDGET vs. ACTUAL VARIANCE ANALYSIS — FY 2024-2025</t>
  </si>
  <si>
    <t>Annual Budget</t>
  </si>
  <si>
    <t>Annual Actual</t>
  </si>
  <si>
    <t>Alert Level</t>
  </si>
  <si>
    <t>Action Required</t>
  </si>
  <si>
    <t>Oakville Revenue</t>
  </si>
  <si>
    <t>High Park Revenue</t>
  </si>
  <si>
    <t>Rent</t>
  </si>
  <si>
    <t>Labor</t>
  </si>
  <si>
    <t>Marketing</t>
  </si>
  <si>
    <t>Total OpEx</t>
  </si>
  <si>
    <t>METHODOLOGY &amp; DOCUMENTATION</t>
  </si>
  <si>
    <t>Model Overview</t>
  </si>
  <si>
    <t>AI-assisted financial reporting dashboard for La Diperie (two dessert retail locations). Built to simulate fund-style reporting for strategic decision-making across $550K+ revenue base.</t>
  </si>
  <si>
    <t>Data Source</t>
  </si>
  <si>
    <t>POS system exports (Square), manual inventory logs, bank statements, and payroll records. All figures represent realistic operating data for a dessert retail franchise.</t>
  </si>
  <si>
    <t>Revenue Model</t>
  </si>
  <si>
    <t>Revenue is tracked by location (Oakville and High Park/Bloor). Seasonal patterns reflect dessert retail cycles: peak June–August, trough December–February.</t>
  </si>
  <si>
    <t>COGS Assumptions</t>
  </si>
  <si>
    <t>COGS % varies monthly (29%–34%) reflecting seasonal ingredient cost fluctuations, supplier pricing tiers, and product mix changes. Blue-font inputs are adjustable.</t>
  </si>
  <si>
    <t>Labor Model</t>
  </si>
  <si>
    <t>Labor as % of revenue ranges from 21% (peak season efficiency) to 29% (off-season fixed staff costs). Staff count scales from 6 to 12 based on demand.</t>
  </si>
  <si>
    <t>Cash Flow</t>
  </si>
  <si>
    <t>Opening balance of $42,000. Cash inflows = revenue collected. Outflows include COGS, rent, labor, marketing, and periodic capital expenditures.</t>
  </si>
  <si>
    <t>Margin Sensitivity</t>
  </si>
  <si>
    <t>Two-variable data table testing COGS % (26%–40%) against Labor % (20%–30%) impact on net margin. Color-scaled for quick identification of risk zones.</t>
  </si>
  <si>
    <t>Variance Analysis</t>
  </si>
  <si>
    <t>Budget figures represent planned FY targets. Actual figures pull dynamically from the P&amp;L sheet. Automated alerts flag variances exceeding ±5% for review.</t>
  </si>
  <si>
    <t>Color Convention</t>
  </si>
  <si>
    <t>Blue text = hardcoded input (adjustable). Black text = formula/calculation. Green = cross-sheet reference. Yellow highlight = key output.</t>
  </si>
  <si>
    <t>Prepared By</t>
  </si>
  <si>
    <t>Anis Bouchema — Business Technology Management Student, Toronto Metropolitan University. Contact: anis.bouchema@torontomu.ca</t>
  </si>
  <si>
    <t>Tools Used</t>
  </si>
  <si>
    <t>Microsoft Excel (advanced), POS Analytics (Square), AI-assisted forecasting logic.</t>
  </si>
  <si>
    <t>Version</t>
  </si>
  <si>
    <t>v1.0 — February 2025</t>
  </si>
  <si>
    <t>LA DIPERIE — FINANCIAL REPORTING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</si>
</sst>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"/>
  </numFmts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2B4C7E"/>
      <name val="Arial"/>
      <charset val="1"/>
    </font>
    <font>
      <b/>
      <sz val="16"/>
      <color rgb="FF1B2A4A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404040"/>
      <name val="Arial"/>
      <charset val="1"/>
    </font>
    <font>
      <b/>
      <sz val="13"/>
      <color rgb="FFFFFFFF"/>
      <name val="Arial"/>
      <charset val="1"/>
    </font>
    <font>
      <b/>
      <sz val="9"/>
      <color rgb="FF1B2A4A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b/>
      <sz val="9"/>
      <color rgb="FFC0392B"/>
      <name val="Arial"/>
      <charset val="1"/>
    </font>
    <font>
      <b/>
      <sz val="9"/>
      <color rgb="FF27AE60"/>
      <name val="Arial"/>
      <charset val="1"/>
    </font>
    <font>
      <i/>
      <sz val="9"/>
      <name val="Arial"/>
      <charset val="1"/>
    </font>
    <font>
      <b/>
      <sz val="10"/>
      <color rgb="FF1B2A4A"/>
      <name val="Arial"/>
      <charset val="1"/>
    </font>
    <font>
      <i/>
      <sz val="10"/>
      <color rgb="FF404040"/>
      <name val="Arial"/>
      <charset val="1"/>
    </font>
    <font>
      <sz val="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404040"/>
      </patternFill>
    </fill>
    <fill>
      <patternFill patternType="solid">
        <fgColor rgb="FF2B4C7E"/>
        <bgColor rgb="FF404040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3E6BA8"/>
        <bgColor rgb="FF2B4C7E"/>
      </patternFill>
    </fill>
    <fill>
      <patternFill patternType="solid">
        <fgColor rgb="FFEBF1F8"/>
        <bgColor rgb="FFE8F5E9"/>
      </patternFill>
    </fill>
    <fill>
      <patternFill patternType="solid">
        <fgColor rgb="FFE8F5E9"/>
        <bgColor rgb="FFEBF1F8"/>
      </patternFill>
    </fill>
    <fill>
      <patternFill patternType="solid">
        <fgColor rgb="FFFEF9E7"/>
        <bgColor rgb="FFF9F9F9"/>
      </patternFill>
    </fill>
    <fill>
      <patternFill patternType="solid">
        <fgColor rgb="FFFDEDEC"/>
        <bgColor rgb="FFFEF9E7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5" fillId="0" borderId="0" xfId="0" applyFont="1"/>
    <xf numFmtId="0" fontId="6" fillId="2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vertical="center"/>
    </xf>
    <xf numFmtId="164" fontId="7" fillId="7" borderId="4" xfId="0" applyNumberFormat="1" applyFont="1" applyFill="1" applyBorder="1" applyAlignment="1">
      <alignment vertical="center"/>
    </xf>
    <xf numFmtId="165" fontId="7" fillId="7" borderId="4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165" fontId="7" fillId="5" borderId="4" xfId="0" applyNumberFormat="1" applyFont="1" applyFill="1" applyBorder="1" applyAlignment="1">
      <alignment vertical="center"/>
    </xf>
    <xf numFmtId="0" fontId="9" fillId="4" borderId="0" xfId="0" applyFont="1" applyFill="1"/>
    <xf numFmtId="0" fontId="0" fillId="4" borderId="0" xfId="0" applyFill="1"/>
    <xf numFmtId="0" fontId="10" fillId="0" borderId="0" xfId="0" applyFont="1"/>
    <xf numFmtId="164" fontId="10" fillId="0" borderId="0" xfId="0" applyNumberFormat="1" applyFont="1"/>
    <xf numFmtId="0" fontId="7" fillId="0" borderId="0" xfId="0" applyFont="1"/>
    <xf numFmtId="164" fontId="11" fillId="0" borderId="0" xfId="0" applyNumberFormat="1" applyFont="1"/>
    <xf numFmtId="164" fontId="0" fillId="0" borderId="0" xfId="0" applyNumberFormat="1"/>
    <xf numFmtId="0" fontId="12" fillId="0" borderId="0" xfId="0" applyFont="1"/>
    <xf numFmtId="164" fontId="7" fillId="0" borderId="0" xfId="0" applyNumberFormat="1" applyFont="1"/>
    <xf numFmtId="0" fontId="13" fillId="8" borderId="0" xfId="0" applyFont="1" applyFill="1"/>
    <xf numFmtId="164" fontId="13" fillId="8" borderId="0" xfId="0" applyNumberFormat="1" applyFont="1" applyFill="1"/>
    <xf numFmtId="0" fontId="14" fillId="0" borderId="0" xfId="0" applyFont="1"/>
    <xf numFmtId="165" fontId="14" fillId="0" borderId="0" xfId="0" applyNumberFormat="1" applyFont="1"/>
    <xf numFmtId="164" fontId="12" fillId="0" borderId="0" xfId="0" applyNumberFormat="1" applyFont="1"/>
    <xf numFmtId="0" fontId="9" fillId="0" borderId="0" xfId="0" applyFont="1"/>
    <xf numFmtId="0" fontId="15" fillId="9" borderId="0" xfId="0" applyFont="1" applyFill="1"/>
    <xf numFmtId="164" fontId="15" fillId="9" borderId="0" xfId="0" applyNumberFormat="1" applyFont="1" applyFill="1"/>
    <xf numFmtId="165" fontId="0" fillId="0" borderId="0" xfId="0" applyNumberForma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65" fontId="11" fillId="0" borderId="0" xfId="0" applyNumberFormat="1" applyFont="1"/>
    <xf numFmtId="0" fontId="9" fillId="8" borderId="0" xfId="0" applyFont="1" applyFill="1"/>
    <xf numFmtId="0" fontId="0" fillId="8" borderId="0" xfId="0" applyFill="1"/>
    <xf numFmtId="0" fontId="13" fillId="0" borderId="0" xfId="0" applyFont="1"/>
    <xf numFmtId="164" fontId="13" fillId="0" borderId="0" xfId="0" applyNumberFormat="1" applyFont="1"/>
    <xf numFmtId="0" fontId="9" fillId="10" borderId="0" xfId="0" applyFont="1" applyFill="1"/>
    <xf numFmtId="0" fontId="0" fillId="10" borderId="0" xfId="0" applyFill="1"/>
    <xf numFmtId="165" fontId="10" fillId="0" borderId="0" xfId="0" applyNumberFormat="1" applyFont="1"/>
    <xf numFmtId="0" fontId="3" fillId="0" borderId="0" xfId="0" applyFont="1"/>
    <xf numFmtId="165" fontId="3" fillId="4" borderId="0" xfId="0" applyNumberFormat="1" applyFont="1" applyFill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165" fontId="15" fillId="9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165" fontId="11" fillId="0" borderId="4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165" fontId="10" fillId="9" borderId="4" xfId="0" applyNumberFormat="1" applyFont="1" applyFill="1" applyBorder="1" applyAlignment="1">
      <alignment horizontal="center"/>
    </xf>
    <xf numFmtId="164" fontId="10" fillId="9" borderId="4" xfId="0" applyNumberFormat="1" applyFont="1" applyFill="1" applyBorder="1" applyAlignment="1">
      <alignment horizontal="center"/>
    </xf>
    <xf numFmtId="3" fontId="11" fillId="0" borderId="0" xfId="0" applyNumberFormat="1" applyFont="1"/>
    <xf numFmtId="3" fontId="0" fillId="0" borderId="0" xfId="0" applyNumberFormat="1"/>
    <xf numFmtId="166" fontId="0" fillId="0" borderId="0" xfId="0" applyNumberFormat="1"/>
    <xf numFmtId="167" fontId="11" fillId="0" borderId="0" xfId="0" applyNumberFormat="1" applyFont="1"/>
    <xf numFmtId="167" fontId="0" fillId="0" borderId="0" xfId="0" applyNumberFormat="1"/>
    <xf numFmtId="0" fontId="10" fillId="9" borderId="4" xfId="0" applyFont="1" applyFill="1" applyBorder="1"/>
    <xf numFmtId="164" fontId="11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7" fillId="9" borderId="4" xfId="0" applyFont="1" applyFill="1" applyBorder="1"/>
    <xf numFmtId="0" fontId="17" fillId="5" borderId="4" xfId="0" applyFont="1" applyFill="1" applyBorder="1"/>
    <xf numFmtId="164" fontId="11" fillId="5" borderId="4" xfId="0" applyNumberFormat="1" applyFont="1" applyFill="1" applyBorder="1"/>
    <xf numFmtId="164" fontId="7" fillId="5" borderId="4" xfId="0" applyNumberFormat="1" applyFont="1" applyFill="1" applyBorder="1"/>
    <xf numFmtId="165" fontId="7" fillId="5" borderId="4" xfId="0" applyNumberFormat="1" applyFont="1" applyFill="1" applyBorder="1"/>
    <xf numFmtId="0" fontId="7" fillId="5" borderId="4" xfId="0" applyFont="1" applyFill="1" applyBorder="1"/>
    <xf numFmtId="0" fontId="10" fillId="5" borderId="4" xfId="0" applyFont="1" applyFill="1" applyBorder="1"/>
    <xf numFmtId="0" fontId="17" fillId="7" borderId="4" xfId="0" applyFont="1" applyFill="1" applyBorder="1"/>
    <xf numFmtId="164" fontId="11" fillId="7" borderId="4" xfId="0" applyNumberFormat="1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7" borderId="4" xfId="0" applyFont="1" applyFill="1" applyBorder="1"/>
    <xf numFmtId="0" fontId="10" fillId="7" borderId="4" xfId="0" applyFont="1" applyFill="1" applyBorder="1"/>
    <xf numFmtId="0" fontId="8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6" fontId="4" fillId="5" borderId="2" xfId="0" applyNumberFormat="1" applyFont="1" applyFill="1" applyBorder="1" applyAlignment="1">
      <alignment horizontal="center"/>
    </xf>
    <xf numFmtId="0" fontId="0" fillId="6" borderId="3" xfId="0" applyFill="1" applyBorder="1"/>
    <xf numFmtId="164" fontId="4" fillId="5" borderId="2" xfId="0" applyNumberFormat="1" applyFont="1" applyFill="1" applyBorder="1" applyAlignment="1">
      <alignment horizontal="center"/>
    </xf>
    <xf numFmtId="165" fontId="4" fillId="5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>
          <bgColor rgb="FFFDEDEC"/>
        </patternFill>
      </fill>
    </dxf>
    <dxf>
      <fill>
        <patternFill>
          <bgColor rgb="FFE8F5E9"/>
        </patternFill>
      </fill>
    </dxf>
    <dxf>
      <fill>
        <patternFill>
          <bgColor rgb="FFFDEDEC"/>
        </patternFill>
      </fill>
    </dxf>
    <dxf>
      <fill>
        <patternFill>
          <bgColor rgb="FFE8F5E9"/>
        </patternFill>
      </fill>
    </dxf>
    <dxf>
      <font>
        <b/>
        <color rgb="FFC0392B"/>
      </font>
      <fill>
        <patternFill>
          <bgColor rgb="FFFDEDEC"/>
        </patternFill>
      </fill>
    </dxf>
    <dxf>
      <fill>
        <patternFill>
          <bgColor rgb="FFFDEDEC"/>
        </patternFill>
      </fill>
    </dxf>
    <dxf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EF9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F8"/>
      <rgbColor rgb="FFD6E4F0"/>
      <rgbColor rgb="FFFDEDEC"/>
      <rgbColor rgb="FF99CCFF"/>
      <rgbColor rgb="FFFF99CC"/>
      <rgbColor rgb="FFCC99FF"/>
      <rgbColor rgb="FFF9F9F9"/>
      <rgbColor rgb="FF3366FF"/>
      <rgbColor rgb="FF33CCCC"/>
      <rgbColor rgb="FF99CC00"/>
      <rgbColor rgb="FFFFCC00"/>
      <rgbColor rgb="FFF39C12"/>
      <rgbColor rgb="FFFF6600"/>
      <rgbColor rgb="FF3E6BA8"/>
      <rgbColor rgb="FF969696"/>
      <rgbColor rgb="FF1B2A4A"/>
      <rgbColor rgb="FF27AE60"/>
      <rgbColor rgb="FF003300"/>
      <rgbColor rgb="FF333300"/>
      <rgbColor rgb="FFC0392B"/>
      <rgbColor rgb="FF993366"/>
      <rgbColor rgb="FF2B4C7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Monthly Revenue vs. Gross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3E6B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Dashboard'!$B$17:$M$17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Dashboard'!$B$18:$M$18</c:f>
              <c:numCache>
                <c:formatCode>\$#,##0</c:formatCode>
                <c:ptCount val="12"/>
                <c:pt idx="0">
                  <c:v>46700</c:v>
                </c:pt>
                <c:pt idx="1">
                  <c:v>43900</c:v>
                </c:pt>
                <c:pt idx="2">
                  <c:v>52000</c:v>
                </c:pt>
                <c:pt idx="3">
                  <c:v>65000</c:v>
                </c:pt>
                <c:pt idx="4">
                  <c:v>81000</c:v>
                </c:pt>
                <c:pt idx="5">
                  <c:v>91000</c:v>
                </c:pt>
                <c:pt idx="6">
                  <c:v>101000</c:v>
                </c:pt>
                <c:pt idx="7">
                  <c:v>97000</c:v>
                </c:pt>
                <c:pt idx="8">
                  <c:v>73000</c:v>
                </c:pt>
                <c:pt idx="9">
                  <c:v>60100</c:v>
                </c:pt>
                <c:pt idx="10">
                  <c:v>49600</c:v>
                </c:pt>
                <c:pt idx="11">
                  <c:v>45600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F-4830-B1F9-4304870D648B}"/>
            </c:ext>
          </c:extLst>
        </c:ser>
        <c:ser>
          <c:idx val="1"/>
          <c:order val="1"/>
          <c:tx>
            <c:v>Gross Profit</c:v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Dashboard'!$B$17:$M$17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Dashboard'!$B$20:$M$20</c:f>
              <c:numCache>
                <c:formatCode>\$#,##0</c:formatCode>
                <c:ptCount val="12"/>
                <c:pt idx="0">
                  <c:v>31289</c:v>
                </c:pt>
                <c:pt idx="1">
                  <c:v>28974</c:v>
                </c:pt>
                <c:pt idx="2">
                  <c:v>34840</c:v>
                </c:pt>
                <c:pt idx="3">
                  <c:v>44200</c:v>
                </c:pt>
                <c:pt idx="4">
                  <c:v>55890</c:v>
                </c:pt>
                <c:pt idx="5">
                  <c:v>63700</c:v>
                </c:pt>
                <c:pt idx="6">
                  <c:v>71710</c:v>
                </c:pt>
                <c:pt idx="7">
                  <c:v>67900</c:v>
                </c:pt>
                <c:pt idx="8">
                  <c:v>50370</c:v>
                </c:pt>
                <c:pt idx="9">
                  <c:v>40267</c:v>
                </c:pt>
                <c:pt idx="10">
                  <c:v>32736</c:v>
                </c:pt>
                <c:pt idx="11">
                  <c:v>30096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F-4830-B1F9-4304870D6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76079"/>
        <c:axId val="93949135"/>
      </c:barChart>
      <c:catAx>
        <c:axId val="76576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949135"/>
        <c:crosses val="autoZero"/>
        <c:auto val="1"/>
        <c:lblAlgn val="ctr"/>
        <c:lblOffset val="100"/>
        <c:noMultiLvlLbl val="0"/>
      </c:catAx>
      <c:valAx>
        <c:axId val="93949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76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Gross Margin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 %</c:v>
          </c:tx>
          <c:spPr>
            <a:ln w="4752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Dashboard'!$B$17:$M$17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Dashboard'!$B$21:$M$21</c:f>
              <c:numCache>
                <c:formatCode>0.0%</c:formatCode>
                <c:ptCount val="12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0.68</c:v>
                </c:pt>
                <c:pt idx="4">
                  <c:v>0.69</c:v>
                </c:pt>
                <c:pt idx="5">
                  <c:v>0.7</c:v>
                </c:pt>
                <c:pt idx="6">
                  <c:v>0.71</c:v>
                </c:pt>
                <c:pt idx="7">
                  <c:v>0.7</c:v>
                </c:pt>
                <c:pt idx="8">
                  <c:v>0.69</c:v>
                </c:pt>
                <c:pt idx="9">
                  <c:v>0.67</c:v>
                </c:pt>
                <c:pt idx="10">
                  <c:v>0.66</c:v>
                </c:pt>
                <c:pt idx="11">
                  <c:v>0.66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85-43B8-BCEB-D49076E4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547523"/>
        <c:axId val="74741612"/>
      </c:lineChart>
      <c:catAx>
        <c:axId val="47547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41612"/>
        <c:crosses val="autoZero"/>
        <c:auto val="1"/>
        <c:lblAlgn val="ctr"/>
        <c:lblOffset val="100"/>
        <c:noMultiLvlLbl val="0"/>
      </c:catAx>
      <c:valAx>
        <c:axId val="74741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475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by Location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Oakville</c:v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P&amp;L'!$B$2:$M$2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'Monthly P&amp;L'!$B$5:$M$5</c:f>
              <c:numCache>
                <c:formatCode>\$#,##0</c:formatCode>
                <c:ptCount val="12"/>
                <c:pt idx="0">
                  <c:v>28500</c:v>
                </c:pt>
                <c:pt idx="1">
                  <c:v>26800</c:v>
                </c:pt>
                <c:pt idx="2">
                  <c:v>31200</c:v>
                </c:pt>
                <c:pt idx="3">
                  <c:v>38500</c:v>
                </c:pt>
                <c:pt idx="4">
                  <c:v>47200</c:v>
                </c:pt>
                <c:pt idx="5">
                  <c:v>52800</c:v>
                </c:pt>
                <c:pt idx="6">
                  <c:v>58500</c:v>
                </c:pt>
                <c:pt idx="7">
                  <c:v>56200</c:v>
                </c:pt>
                <c:pt idx="8">
                  <c:v>42800</c:v>
                </c:pt>
                <c:pt idx="9">
                  <c:v>35600</c:v>
                </c:pt>
                <c:pt idx="10">
                  <c:v>29800</c:v>
                </c:pt>
                <c:pt idx="11">
                  <c:v>27500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8-4FD1-BFC1-BECEEBC6CD4C}"/>
            </c:ext>
          </c:extLst>
        </c:ser>
        <c:ser>
          <c:idx val="1"/>
          <c:order val="1"/>
          <c:tx>
            <c:v>High Park</c:v>
          </c:tx>
          <c:spPr>
            <a:solidFill>
              <a:srgbClr val="3E6B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P&amp;L'!$B$2:$M$2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'Monthly P&amp;L'!$B$6:$M$6</c:f>
              <c:numCache>
                <c:formatCode>\$#,##0</c:formatCode>
                <c:ptCount val="12"/>
                <c:pt idx="0">
                  <c:v>18200</c:v>
                </c:pt>
                <c:pt idx="1">
                  <c:v>17100</c:v>
                </c:pt>
                <c:pt idx="2">
                  <c:v>20800</c:v>
                </c:pt>
                <c:pt idx="3">
                  <c:v>26500</c:v>
                </c:pt>
                <c:pt idx="4">
                  <c:v>33800</c:v>
                </c:pt>
                <c:pt idx="5">
                  <c:v>38200</c:v>
                </c:pt>
                <c:pt idx="6">
                  <c:v>42500</c:v>
                </c:pt>
                <c:pt idx="7">
                  <c:v>40800</c:v>
                </c:pt>
                <c:pt idx="8">
                  <c:v>30200</c:v>
                </c:pt>
                <c:pt idx="9">
                  <c:v>24500</c:v>
                </c:pt>
                <c:pt idx="10">
                  <c:v>19800</c:v>
                </c:pt>
                <c:pt idx="11">
                  <c:v>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8-4FD1-BFC1-BECEEBC6C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45507"/>
        <c:axId val="98160504"/>
      </c:barChart>
      <c:catAx>
        <c:axId val="72145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160504"/>
        <c:crosses val="autoZero"/>
        <c:auto val="1"/>
        <c:lblAlgn val="ctr"/>
        <c:lblOffset val="100"/>
        <c:noMultiLvlLbl val="0"/>
      </c:catAx>
      <c:valAx>
        <c:axId val="98160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145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Monthly Net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Cash Flow</c:v>
          </c:tx>
          <c:spPr>
            <a:solidFill>
              <a:srgbClr val="3E6B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Flow'!$B$2:$M$2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'Cash Flow'!$B$18:$M$18</c:f>
              <c:numCache>
                <c:formatCode>\$#,##0</c:formatCode>
                <c:ptCount val="12"/>
                <c:pt idx="0">
                  <c:v>8113</c:v>
                </c:pt>
                <c:pt idx="1">
                  <c:v>6343</c:v>
                </c:pt>
                <c:pt idx="2">
                  <c:v>8300</c:v>
                </c:pt>
                <c:pt idx="3">
                  <c:v>17150</c:v>
                </c:pt>
                <c:pt idx="4">
                  <c:v>25960</c:v>
                </c:pt>
                <c:pt idx="5">
                  <c:v>29180</c:v>
                </c:pt>
                <c:pt idx="6">
                  <c:v>39600</c:v>
                </c:pt>
                <c:pt idx="7">
                  <c:v>35260</c:v>
                </c:pt>
                <c:pt idx="8">
                  <c:v>20550</c:v>
                </c:pt>
                <c:pt idx="9">
                  <c:v>14341</c:v>
                </c:pt>
                <c:pt idx="10">
                  <c:v>8748</c:v>
                </c:pt>
                <c:pt idx="11">
                  <c:v>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5-4309-90B4-E50DB0B93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818632"/>
        <c:axId val="39360863"/>
      </c:barChart>
      <c:catAx>
        <c:axId val="6181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60863"/>
        <c:crosses val="autoZero"/>
        <c:auto val="1"/>
        <c:lblAlgn val="ctr"/>
        <c:lblOffset val="100"/>
        <c:noMultiLvlLbl val="0"/>
      </c:catAx>
      <c:valAx>
        <c:axId val="39360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818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Closing Cash Balance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Cash Balance</c:v>
          </c:tx>
          <c:spPr>
            <a:ln w="4752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Flow'!$B$2:$M$2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'Cash Flow'!$B$19:$M$19</c:f>
              <c:numCache>
                <c:formatCode>\$#,##0</c:formatCode>
                <c:ptCount val="12"/>
                <c:pt idx="0">
                  <c:v>50113</c:v>
                </c:pt>
                <c:pt idx="1">
                  <c:v>56456</c:v>
                </c:pt>
                <c:pt idx="2">
                  <c:v>64756</c:v>
                </c:pt>
                <c:pt idx="3">
                  <c:v>81906</c:v>
                </c:pt>
                <c:pt idx="4">
                  <c:v>107866</c:v>
                </c:pt>
                <c:pt idx="5">
                  <c:v>137046</c:v>
                </c:pt>
                <c:pt idx="6">
                  <c:v>176646</c:v>
                </c:pt>
                <c:pt idx="7">
                  <c:v>211906</c:v>
                </c:pt>
                <c:pt idx="8">
                  <c:v>232456</c:v>
                </c:pt>
                <c:pt idx="9">
                  <c:v>246797</c:v>
                </c:pt>
                <c:pt idx="10">
                  <c:v>255545</c:v>
                </c:pt>
                <c:pt idx="11">
                  <c:v>263017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6F-4D36-A141-FC43B55DE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880538"/>
        <c:axId val="76069574"/>
      </c:lineChart>
      <c:catAx>
        <c:axId val="448805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069574"/>
        <c:crosses val="autoZero"/>
        <c:auto val="1"/>
        <c:lblAlgn val="ctr"/>
        <c:lblOffset val="100"/>
        <c:noMultiLvlLbl val="0"/>
      </c:catAx>
      <c:valAx>
        <c:axId val="76069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880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Budget vs. Actual — Key Line Items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Analysis'!$B$2</c:f>
              <c:strCache>
                <c:ptCount val="1"/>
                <c:pt idx="0">
                  <c:v>Annual Budget</c:v>
                </c:pt>
              </c:strCache>
            </c:strRef>
          </c:tx>
          <c:spPr>
            <a:solidFill>
              <a:srgbClr val="D6E4F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'Variance Analysis'!$A$3:$A$13</c:f>
              <c:strCache>
                <c:ptCount val="11"/>
                <c:pt idx="0">
                  <c:v>Total Revenue</c:v>
                </c:pt>
                <c:pt idx="1">
                  <c:v>Oakville Revenue</c:v>
                </c:pt>
                <c:pt idx="2">
                  <c:v>High Park Revenue</c:v>
                </c:pt>
                <c:pt idx="3">
                  <c:v>COGS</c:v>
                </c:pt>
                <c:pt idx="4">
                  <c:v>Gross Profit</c:v>
                </c:pt>
                <c:pt idx="5">
                  <c:v>Rent</c:v>
                </c:pt>
                <c:pt idx="6">
                  <c:v>Labor</c:v>
                </c:pt>
                <c:pt idx="7">
                  <c:v>Marketing</c:v>
                </c:pt>
                <c:pt idx="8">
                  <c:v>Total OpEx</c:v>
                </c:pt>
                <c:pt idx="9">
                  <c:v>EBITDA</c:v>
                </c:pt>
                <c:pt idx="10">
                  <c:v>Net Income</c:v>
                </c:pt>
              </c:strCache>
            </c:strRef>
          </c:cat>
          <c:val>
            <c:numRef>
              <c:f>'Variance Analysis'!$B$3:$B$13</c:f>
              <c:numCache>
                <c:formatCode>\$#,##0</c:formatCode>
                <c:ptCount val="11"/>
                <c:pt idx="0">
                  <c:v>565000</c:v>
                </c:pt>
                <c:pt idx="1">
                  <c:v>330000</c:v>
                </c:pt>
                <c:pt idx="2">
                  <c:v>235000</c:v>
                </c:pt>
                <c:pt idx="3">
                  <c:v>-178000</c:v>
                </c:pt>
                <c:pt idx="4">
                  <c:v>387000</c:v>
                </c:pt>
                <c:pt idx="5">
                  <c:v>-111600</c:v>
                </c:pt>
                <c:pt idx="6">
                  <c:v>-141250</c:v>
                </c:pt>
                <c:pt idx="7">
                  <c:v>-15000</c:v>
                </c:pt>
                <c:pt idx="8">
                  <c:v>-267850</c:v>
                </c:pt>
                <c:pt idx="9">
                  <c:v>119150</c:v>
                </c:pt>
                <c:pt idx="10">
                  <c:v>119150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6-407D-AFCF-BEC743975945}"/>
            </c:ext>
          </c:extLst>
        </c:ser>
        <c:ser>
          <c:idx val="1"/>
          <c:order val="1"/>
          <c:tx>
            <c:strRef>
              <c:f>'Variance Analysis'!$C$2</c:f>
              <c:strCache>
                <c:ptCount val="1"/>
                <c:pt idx="0">
                  <c:v>Annual Actual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'Variance Analysis'!$A$3:$A$13</c:f>
              <c:strCache>
                <c:ptCount val="11"/>
                <c:pt idx="0">
                  <c:v>Total Revenue</c:v>
                </c:pt>
                <c:pt idx="1">
                  <c:v>Oakville Revenue</c:v>
                </c:pt>
                <c:pt idx="2">
                  <c:v>High Park Revenue</c:v>
                </c:pt>
                <c:pt idx="3">
                  <c:v>COGS</c:v>
                </c:pt>
                <c:pt idx="4">
                  <c:v>Gross Profit</c:v>
                </c:pt>
                <c:pt idx="5">
                  <c:v>Rent</c:v>
                </c:pt>
                <c:pt idx="6">
                  <c:v>Labor</c:v>
                </c:pt>
                <c:pt idx="7">
                  <c:v>Marketing</c:v>
                </c:pt>
                <c:pt idx="8">
                  <c:v>Total OpEx</c:v>
                </c:pt>
                <c:pt idx="9">
                  <c:v>EBITDA</c:v>
                </c:pt>
                <c:pt idx="10">
                  <c:v>Net Income</c:v>
                </c:pt>
              </c:strCache>
            </c:strRef>
          </c:cat>
          <c:val>
            <c:numRef>
              <c:f>'Variance Analysis'!$C$3:$C$13</c:f>
              <c:numCache>
                <c:formatCode>\$#,##0</c:formatCode>
                <c:ptCount val="11"/>
                <c:pt idx="0">
                  <c:v>805900</c:v>
                </c:pt>
                <c:pt idx="1">
                  <c:v>475400</c:v>
                </c:pt>
                <c:pt idx="2">
                  <c:v>330500</c:v>
                </c:pt>
                <c:pt idx="3">
                  <c:v>-253928</c:v>
                </c:pt>
                <c:pt idx="4">
                  <c:v>551972</c:v>
                </c:pt>
                <c:pt idx="5">
                  <c:v>-111600</c:v>
                </c:pt>
                <c:pt idx="6">
                  <c:v>-197555</c:v>
                </c:pt>
                <c:pt idx="7">
                  <c:v>-16600</c:v>
                </c:pt>
                <c:pt idx="8">
                  <c:v>-325755</c:v>
                </c:pt>
                <c:pt idx="9">
                  <c:v>226217</c:v>
                </c:pt>
                <c:pt idx="10">
                  <c:v>226217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6-407D-AFCF-BEC74397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42860"/>
        <c:axId val="17146037"/>
      </c:barChart>
      <c:catAx>
        <c:axId val="87842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146037"/>
        <c:crosses val="autoZero"/>
        <c:auto val="1"/>
        <c:lblAlgn val="ctr"/>
        <c:lblOffset val="100"/>
        <c:noMultiLvlLbl val="0"/>
      </c:catAx>
      <c:valAx>
        <c:axId val="17146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842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11</xdr:col>
      <xdr:colOff>70920</xdr:colOff>
      <xdr:row>48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70920</xdr:colOff>
      <xdr:row>65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9</xdr:col>
      <xdr:colOff>775440</xdr:colOff>
      <xdr:row>56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9</xdr:col>
      <xdr:colOff>775440</xdr:colOff>
      <xdr:row>44</xdr:row>
      <xdr:rowOff>107640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9</xdr:col>
      <xdr:colOff>775440</xdr:colOff>
      <xdr:row>61</xdr:row>
      <xdr:rowOff>107640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7</xdr:col>
      <xdr:colOff>1105200</xdr:colOff>
      <xdr:row>41</xdr:row>
      <xdr:rowOff>86400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N21"/>
  <sheetViews>
    <sheetView tabSelected="1" zoomScale="85" zoomScaleNormal="85" workbookViewId="0">
      <selection activeCell="V6" sqref="V6"/>
    </sheetView>
  </sheetViews>
  <sheetFormatPr defaultColWidth="8.6640625" defaultRowHeight="14.4" x14ac:dyDescent="0.3"/>
  <cols>
    <col min="1" max="1" width="22" customWidth="1"/>
    <col min="2" max="14" width="12" customWidth="1"/>
  </cols>
  <sheetData>
    <row r="1" spans="1:14" ht="39.75" customHeight="1" x14ac:dyDescent="0.3">
      <c r="A1" s="78" t="s">
        <v>153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ht="24.75" customHeight="1" x14ac:dyDescent="0.3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4" spans="1:14" ht="18" customHeight="1" x14ac:dyDescent="0.3">
      <c r="B4" s="80" t="s">
        <v>1</v>
      </c>
      <c r="C4" s="80"/>
      <c r="D4" s="80" t="s">
        <v>2</v>
      </c>
      <c r="E4" s="80"/>
      <c r="F4" s="80" t="s">
        <v>3</v>
      </c>
      <c r="G4" s="80"/>
      <c r="H4" s="80" t="s">
        <v>4</v>
      </c>
      <c r="I4" s="80"/>
      <c r="J4" s="80" t="s">
        <v>5</v>
      </c>
      <c r="K4" s="80"/>
      <c r="L4" s="80" t="s">
        <v>6</v>
      </c>
      <c r="M4" s="80"/>
    </row>
    <row r="5" spans="1:14" ht="37.5" customHeight="1" x14ac:dyDescent="0.4">
      <c r="B5" s="76">
        <f>'Monthly P&amp;L'!N4</f>
        <v>805900</v>
      </c>
      <c r="C5" s="76"/>
      <c r="D5" s="77">
        <f>'Monthly P&amp;L'!N10</f>
        <v>0.68491376101253254</v>
      </c>
      <c r="E5" s="77"/>
      <c r="F5" s="76">
        <f>'Monthly P&amp;L'!N18</f>
        <v>226217</v>
      </c>
      <c r="G5" s="76"/>
      <c r="H5" s="76">
        <f>'Cash Flow'!N19</f>
        <v>263017</v>
      </c>
      <c r="I5" s="76"/>
      <c r="J5" s="77">
        <f>('Monthly P&amp;L'!N4-'Monthly P&amp;L'!B4)/'Monthly P&amp;L'!B4</f>
        <v>16.256959314775159</v>
      </c>
      <c r="K5" s="77"/>
      <c r="L5" s="74">
        <f>'Monthly P&amp;L'!N4/'KPI Tracker'!N5</f>
        <v>9.9987593052109176</v>
      </c>
      <c r="M5" s="74"/>
    </row>
    <row r="6" spans="1:14" ht="18" customHeight="1" x14ac:dyDescent="0.3"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8" spans="1:14" ht="24.75" customHeight="1" x14ac:dyDescent="0.3">
      <c r="A8" s="73" t="s">
        <v>7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</row>
    <row r="9" spans="1:14" ht="26.4" x14ac:dyDescent="0.3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</row>
    <row r="10" spans="1:14" x14ac:dyDescent="0.3">
      <c r="A10" s="3" t="s">
        <v>15</v>
      </c>
      <c r="B10" s="4">
        <v>565000</v>
      </c>
      <c r="C10" s="4">
        <f>'Monthly P&amp;L'!N4</f>
        <v>805900</v>
      </c>
      <c r="D10" s="4">
        <f>C10-B10</f>
        <v>240900</v>
      </c>
      <c r="E10" s="5">
        <f>IF(B10=0,0,D10/B10)</f>
        <v>0.42637168141592918</v>
      </c>
      <c r="F10" s="3" t="str">
        <f>IF(E10&gt;0.02,"Favorable",IF(E10&lt;-0.02,"Unfavorable","On Track"))</f>
        <v>Favorable</v>
      </c>
      <c r="G10" s="3" t="str">
        <f>IF(ABS(E10)&gt;0.05,"⚠ REVIEW",IF(ABS(E10)&gt;0.02,"△ MONITOR","✓ OK"))</f>
        <v>⚠ REVIEW</v>
      </c>
    </row>
    <row r="11" spans="1:14" x14ac:dyDescent="0.3">
      <c r="A11" s="6" t="s">
        <v>16</v>
      </c>
      <c r="B11" s="7">
        <v>197750</v>
      </c>
      <c r="C11" s="7">
        <f>'Monthly P&amp;L'!N7</f>
        <v>-253928</v>
      </c>
      <c r="D11" s="7">
        <f>C11-B11</f>
        <v>-451678</v>
      </c>
      <c r="E11" s="8">
        <f>IF(B11=0,0,D11/B11)</f>
        <v>-2.2840859671302147</v>
      </c>
      <c r="F11" s="6" t="str">
        <f>IF(E11&gt;0.02,"Favorable",IF(E11&lt;-0.02,"Unfavorable","On Track"))</f>
        <v>Unfavorable</v>
      </c>
      <c r="G11" s="6" t="str">
        <f>IF(ABS(E11)&gt;0.05,"⚠ REVIEW",IF(ABS(E11)&gt;0.02,"△ MONITOR","✓ OK"))</f>
        <v>⚠ REVIEW</v>
      </c>
    </row>
    <row r="12" spans="1:14" x14ac:dyDescent="0.3">
      <c r="A12" s="3" t="s">
        <v>17</v>
      </c>
      <c r="B12" s="4">
        <f>B10-B11</f>
        <v>367250</v>
      </c>
      <c r="C12" s="4">
        <f>'Monthly P&amp;L'!N8</f>
        <v>551972</v>
      </c>
      <c r="D12" s="4">
        <f>C12-B12</f>
        <v>184722</v>
      </c>
      <c r="E12" s="5">
        <f>IF(B12=0,0,D12/B12)</f>
        <v>0.50298706603131382</v>
      </c>
      <c r="F12" s="3" t="str">
        <f>IF(E12&gt;0.02,"Favorable",IF(E12&lt;-0.02,"Unfavorable","On Track"))</f>
        <v>Favorable</v>
      </c>
      <c r="G12" s="3" t="str">
        <f>IF(ABS(E12)&gt;0.05,"⚠ REVIEW",IF(ABS(E12)&gt;0.02,"△ MONITOR","✓ OK"))</f>
        <v>⚠ REVIEW</v>
      </c>
    </row>
    <row r="13" spans="1:14" x14ac:dyDescent="0.3">
      <c r="A13" s="6" t="s">
        <v>18</v>
      </c>
      <c r="B13" s="7">
        <v>254250</v>
      </c>
      <c r="C13" s="7">
        <f>'Monthly P&amp;L'!N15</f>
        <v>-325755</v>
      </c>
      <c r="D13" s="7">
        <f>C13-B13</f>
        <v>-580005</v>
      </c>
      <c r="E13" s="8">
        <f>IF(B13=0,0,D13/B13)</f>
        <v>-2.2812389380530975</v>
      </c>
      <c r="F13" s="6" t="str">
        <f>IF(E13&gt;0.02,"Favorable",IF(E13&lt;-0.02,"Unfavorable","On Track"))</f>
        <v>Unfavorable</v>
      </c>
      <c r="G13" s="6" t="str">
        <f>IF(ABS(E13)&gt;0.05,"⚠ REVIEW",IF(ABS(E13)&gt;0.02,"△ MONITOR","✓ OK"))</f>
        <v>⚠ REVIEW</v>
      </c>
    </row>
    <row r="14" spans="1:14" x14ac:dyDescent="0.3">
      <c r="A14" s="3" t="s">
        <v>3</v>
      </c>
      <c r="B14" s="4">
        <f>B12-B13</f>
        <v>113000</v>
      </c>
      <c r="C14" s="4">
        <f>'Monthly P&amp;L'!N18</f>
        <v>226217</v>
      </c>
      <c r="D14" s="4">
        <f>C14-B14</f>
        <v>113217</v>
      </c>
      <c r="E14" s="5">
        <f>IF(B14=0,0,D14/B14)</f>
        <v>1.0019203539823009</v>
      </c>
      <c r="F14" s="3" t="str">
        <f>IF(E14&gt;0.02,"Favorable",IF(E14&lt;-0.02,"Unfavorable","On Track"))</f>
        <v>Favorable</v>
      </c>
      <c r="G14" s="3" t="str">
        <f>IF(ABS(E14)&gt;0.05,"⚠ REVIEW",IF(ABS(E14)&gt;0.02,"△ MONITOR","✓ OK"))</f>
        <v>⚠ REVIEW</v>
      </c>
    </row>
    <row r="16" spans="1:14" x14ac:dyDescent="0.3">
      <c r="A16" s="73" t="s">
        <v>19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</row>
    <row r="17" spans="1:14" x14ac:dyDescent="0.3">
      <c r="A17" s="2" t="s">
        <v>8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26</v>
      </c>
      <c r="I17" s="2" t="s">
        <v>27</v>
      </c>
      <c r="J17" s="2" t="s">
        <v>28</v>
      </c>
      <c r="K17" s="2" t="s">
        <v>29</v>
      </c>
      <c r="L17" s="2" t="s">
        <v>30</v>
      </c>
      <c r="M17" s="2" t="s">
        <v>31</v>
      </c>
      <c r="N17" s="2" t="s">
        <v>32</v>
      </c>
    </row>
    <row r="18" spans="1:14" x14ac:dyDescent="0.3">
      <c r="A18" s="3" t="s">
        <v>15</v>
      </c>
      <c r="B18" s="4">
        <f>'Monthly P&amp;L'!B4</f>
        <v>46700</v>
      </c>
      <c r="C18" s="4">
        <f>'Monthly P&amp;L'!C4</f>
        <v>43900</v>
      </c>
      <c r="D18" s="4">
        <f>'Monthly P&amp;L'!D4</f>
        <v>52000</v>
      </c>
      <c r="E18" s="4">
        <f>'Monthly P&amp;L'!E4</f>
        <v>65000</v>
      </c>
      <c r="F18" s="4">
        <f>'Monthly P&amp;L'!F4</f>
        <v>81000</v>
      </c>
      <c r="G18" s="4">
        <f>'Monthly P&amp;L'!G4</f>
        <v>91000</v>
      </c>
      <c r="H18" s="4">
        <f>'Monthly P&amp;L'!H4</f>
        <v>101000</v>
      </c>
      <c r="I18" s="4">
        <f>'Monthly P&amp;L'!I4</f>
        <v>97000</v>
      </c>
      <c r="J18" s="4">
        <f>'Monthly P&amp;L'!J4</f>
        <v>73000</v>
      </c>
      <c r="K18" s="4">
        <f>'Monthly P&amp;L'!K4</f>
        <v>60100</v>
      </c>
      <c r="L18" s="4">
        <f>'Monthly P&amp;L'!L4</f>
        <v>49600</v>
      </c>
      <c r="M18" s="4">
        <f>'Monthly P&amp;L'!M4</f>
        <v>45600</v>
      </c>
      <c r="N18" s="4">
        <f>'Monthly P&amp;L'!N4</f>
        <v>805900</v>
      </c>
    </row>
    <row r="19" spans="1:14" x14ac:dyDescent="0.3">
      <c r="A19" s="6" t="s">
        <v>16</v>
      </c>
      <c r="B19" s="7">
        <f>'Monthly P&amp;L'!B7</f>
        <v>-15411</v>
      </c>
      <c r="C19" s="7">
        <f>'Monthly P&amp;L'!C7</f>
        <v>-14926.000000000002</v>
      </c>
      <c r="D19" s="7">
        <f>'Monthly P&amp;L'!D7</f>
        <v>-17160</v>
      </c>
      <c r="E19" s="7">
        <f>'Monthly P&amp;L'!E7</f>
        <v>-20800</v>
      </c>
      <c r="F19" s="7">
        <f>'Monthly P&amp;L'!F7</f>
        <v>-25110</v>
      </c>
      <c r="G19" s="7">
        <f>'Monthly P&amp;L'!G7</f>
        <v>-27300</v>
      </c>
      <c r="H19" s="7">
        <f>'Monthly P&amp;L'!H7</f>
        <v>-29289.999999999996</v>
      </c>
      <c r="I19" s="7">
        <f>'Monthly P&amp;L'!I7</f>
        <v>-29100</v>
      </c>
      <c r="J19" s="7">
        <f>'Monthly P&amp;L'!J7</f>
        <v>-22630</v>
      </c>
      <c r="K19" s="7">
        <f>'Monthly P&amp;L'!K7</f>
        <v>-19833</v>
      </c>
      <c r="L19" s="7">
        <f>'Monthly P&amp;L'!L7</f>
        <v>-16864</v>
      </c>
      <c r="M19" s="7">
        <f>'Monthly P&amp;L'!M7</f>
        <v>-15504.000000000002</v>
      </c>
      <c r="N19" s="7">
        <f>'Monthly P&amp;L'!N7</f>
        <v>-253928</v>
      </c>
    </row>
    <row r="20" spans="1:14" x14ac:dyDescent="0.3">
      <c r="A20" s="3" t="s">
        <v>17</v>
      </c>
      <c r="B20" s="4">
        <f>'Monthly P&amp;L'!B8</f>
        <v>31289</v>
      </c>
      <c r="C20" s="4">
        <f>'Monthly P&amp;L'!C8</f>
        <v>28974</v>
      </c>
      <c r="D20" s="4">
        <f>'Monthly P&amp;L'!D8</f>
        <v>34840</v>
      </c>
      <c r="E20" s="4">
        <f>'Monthly P&amp;L'!E8</f>
        <v>44200</v>
      </c>
      <c r="F20" s="4">
        <f>'Monthly P&amp;L'!F8</f>
        <v>55890</v>
      </c>
      <c r="G20" s="4">
        <f>'Monthly P&amp;L'!G8</f>
        <v>63700</v>
      </c>
      <c r="H20" s="4">
        <f>'Monthly P&amp;L'!H8</f>
        <v>71710</v>
      </c>
      <c r="I20" s="4">
        <f>'Monthly P&amp;L'!I8</f>
        <v>67900</v>
      </c>
      <c r="J20" s="4">
        <f>'Monthly P&amp;L'!J8</f>
        <v>50370</v>
      </c>
      <c r="K20" s="4">
        <f>'Monthly P&amp;L'!K8</f>
        <v>40267</v>
      </c>
      <c r="L20" s="4">
        <f>'Monthly P&amp;L'!L8</f>
        <v>32736</v>
      </c>
      <c r="M20" s="4">
        <f>'Monthly P&amp;L'!M8</f>
        <v>30096</v>
      </c>
      <c r="N20" s="4">
        <f>'Monthly P&amp;L'!N8</f>
        <v>551972</v>
      </c>
    </row>
    <row r="21" spans="1:14" x14ac:dyDescent="0.3">
      <c r="A21" s="6" t="s">
        <v>33</v>
      </c>
      <c r="B21" s="8">
        <f>'Monthly P&amp;L'!B10</f>
        <v>0.67</v>
      </c>
      <c r="C21" s="8">
        <f>'Monthly P&amp;L'!C10</f>
        <v>0.66</v>
      </c>
      <c r="D21" s="8">
        <f>'Monthly P&amp;L'!D10</f>
        <v>0.67</v>
      </c>
      <c r="E21" s="8">
        <f>'Monthly P&amp;L'!E10</f>
        <v>0.68</v>
      </c>
      <c r="F21" s="8">
        <f>'Monthly P&amp;L'!F10</f>
        <v>0.69</v>
      </c>
      <c r="G21" s="8">
        <f>'Monthly P&amp;L'!G10</f>
        <v>0.7</v>
      </c>
      <c r="H21" s="8">
        <f>'Monthly P&amp;L'!H10</f>
        <v>0.71</v>
      </c>
      <c r="I21" s="8">
        <f>'Monthly P&amp;L'!I10</f>
        <v>0.7</v>
      </c>
      <c r="J21" s="8">
        <f>'Monthly P&amp;L'!J10</f>
        <v>0.69</v>
      </c>
      <c r="K21" s="8">
        <f>'Monthly P&amp;L'!K10</f>
        <v>0.67</v>
      </c>
      <c r="L21" s="8">
        <f>'Monthly P&amp;L'!L10</f>
        <v>0.66</v>
      </c>
      <c r="M21" s="8">
        <f>'Monthly P&amp;L'!M10</f>
        <v>0.66</v>
      </c>
      <c r="N21" s="8">
        <f>'Monthly P&amp;L'!N10</f>
        <v>0.68491376101253254</v>
      </c>
    </row>
  </sheetData>
  <mergeCells count="22">
    <mergeCell ref="A1:N1"/>
    <mergeCell ref="A2:N2"/>
    <mergeCell ref="B4:C4"/>
    <mergeCell ref="D4:E4"/>
    <mergeCell ref="F4:G4"/>
    <mergeCell ref="H4:I4"/>
    <mergeCell ref="J4:K4"/>
    <mergeCell ref="L4:M4"/>
    <mergeCell ref="A8:N8"/>
    <mergeCell ref="A16:N16"/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</mergeCells>
  <conditionalFormatting sqref="E10:E14">
    <cfRule type="cellIs" dxfId="6" priority="2" operator="greaterThan">
      <formula>0.02</formula>
    </cfRule>
    <cfRule type="cellIs" dxfId="5" priority="3" operator="lessThan">
      <formula>-0.02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B4C7E"/>
  </sheetPr>
  <dimension ref="A1:N3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N1"/>
    </sheetView>
  </sheetViews>
  <sheetFormatPr defaultColWidth="8.6640625" defaultRowHeight="14.4" x14ac:dyDescent="0.3"/>
  <cols>
    <col min="1" max="1" width="28" customWidth="1"/>
    <col min="2" max="14" width="13" customWidth="1"/>
  </cols>
  <sheetData>
    <row r="1" spans="1:14" ht="34.5" customHeight="1" x14ac:dyDescent="0.3">
      <c r="A1" s="81" t="s">
        <v>34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32</v>
      </c>
    </row>
    <row r="3" spans="1:14" x14ac:dyDescent="0.3">
      <c r="A3" s="9" t="s">
        <v>48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3">
      <c r="A4" s="11" t="s">
        <v>1</v>
      </c>
      <c r="B4" s="12">
        <f t="shared" ref="B4:M4" si="0">B5+B6</f>
        <v>46700</v>
      </c>
      <c r="C4" s="12">
        <f t="shared" si="0"/>
        <v>43900</v>
      </c>
      <c r="D4" s="12">
        <f t="shared" si="0"/>
        <v>52000</v>
      </c>
      <c r="E4" s="12">
        <f t="shared" si="0"/>
        <v>65000</v>
      </c>
      <c r="F4" s="12">
        <f t="shared" si="0"/>
        <v>81000</v>
      </c>
      <c r="G4" s="12">
        <f t="shared" si="0"/>
        <v>91000</v>
      </c>
      <c r="H4" s="12">
        <f t="shared" si="0"/>
        <v>101000</v>
      </c>
      <c r="I4" s="12">
        <f t="shared" si="0"/>
        <v>97000</v>
      </c>
      <c r="J4" s="12">
        <f t="shared" si="0"/>
        <v>73000</v>
      </c>
      <c r="K4" s="12">
        <f t="shared" si="0"/>
        <v>60100</v>
      </c>
      <c r="L4" s="12">
        <f t="shared" si="0"/>
        <v>49600</v>
      </c>
      <c r="M4" s="12">
        <f t="shared" si="0"/>
        <v>45600</v>
      </c>
      <c r="N4" s="12">
        <f>SUM(B4:M4)</f>
        <v>805900</v>
      </c>
    </row>
    <row r="5" spans="1:14" x14ac:dyDescent="0.3">
      <c r="A5" s="13" t="s">
        <v>49</v>
      </c>
      <c r="B5" s="14">
        <v>28500</v>
      </c>
      <c r="C5" s="14">
        <v>26800</v>
      </c>
      <c r="D5" s="14">
        <v>31200</v>
      </c>
      <c r="E5" s="14">
        <v>38500</v>
      </c>
      <c r="F5" s="14">
        <v>47200</v>
      </c>
      <c r="G5" s="14">
        <v>52800</v>
      </c>
      <c r="H5" s="14">
        <v>58500</v>
      </c>
      <c r="I5" s="14">
        <v>56200</v>
      </c>
      <c r="J5" s="14">
        <v>42800</v>
      </c>
      <c r="K5" s="14">
        <v>35600</v>
      </c>
      <c r="L5" s="14">
        <v>29800</v>
      </c>
      <c r="M5" s="14">
        <v>27500</v>
      </c>
      <c r="N5" s="15">
        <f>SUM(B5:M5)</f>
        <v>475400</v>
      </c>
    </row>
    <row r="6" spans="1:14" x14ac:dyDescent="0.3">
      <c r="A6" s="13" t="s">
        <v>50</v>
      </c>
      <c r="B6" s="14">
        <v>18200</v>
      </c>
      <c r="C6" s="14">
        <v>17100</v>
      </c>
      <c r="D6" s="14">
        <v>20800</v>
      </c>
      <c r="E6" s="14">
        <v>26500</v>
      </c>
      <c r="F6" s="14">
        <v>33800</v>
      </c>
      <c r="G6" s="14">
        <v>38200</v>
      </c>
      <c r="H6" s="14">
        <v>42500</v>
      </c>
      <c r="I6" s="14">
        <v>40800</v>
      </c>
      <c r="J6" s="14">
        <v>30200</v>
      </c>
      <c r="K6" s="14">
        <v>24500</v>
      </c>
      <c r="L6" s="14">
        <v>19800</v>
      </c>
      <c r="M6" s="14">
        <v>18100</v>
      </c>
      <c r="N6" s="15">
        <f>SUM(B6:M6)</f>
        <v>330500</v>
      </c>
    </row>
    <row r="7" spans="1:14" x14ac:dyDescent="0.3">
      <c r="A7" s="16" t="s">
        <v>51</v>
      </c>
      <c r="B7" s="17">
        <f t="shared" ref="B7:M7" si="1">-B4*B30</f>
        <v>-15411</v>
      </c>
      <c r="C7" s="17">
        <f t="shared" si="1"/>
        <v>-14926.000000000002</v>
      </c>
      <c r="D7" s="17">
        <f t="shared" si="1"/>
        <v>-17160</v>
      </c>
      <c r="E7" s="17">
        <f t="shared" si="1"/>
        <v>-20800</v>
      </c>
      <c r="F7" s="17">
        <f t="shared" si="1"/>
        <v>-25110</v>
      </c>
      <c r="G7" s="17">
        <f t="shared" si="1"/>
        <v>-27300</v>
      </c>
      <c r="H7" s="17">
        <f t="shared" si="1"/>
        <v>-29289.999999999996</v>
      </c>
      <c r="I7" s="17">
        <f t="shared" si="1"/>
        <v>-29100</v>
      </c>
      <c r="J7" s="17">
        <f t="shared" si="1"/>
        <v>-22630</v>
      </c>
      <c r="K7" s="17">
        <f t="shared" si="1"/>
        <v>-19833</v>
      </c>
      <c r="L7" s="17">
        <f t="shared" si="1"/>
        <v>-16864</v>
      </c>
      <c r="M7" s="17">
        <f t="shared" si="1"/>
        <v>-15504.000000000002</v>
      </c>
      <c r="N7" s="15">
        <f>SUM(B7:M7)</f>
        <v>-253928</v>
      </c>
    </row>
    <row r="8" spans="1:14" x14ac:dyDescent="0.3">
      <c r="A8" s="18" t="s">
        <v>17</v>
      </c>
      <c r="B8" s="19">
        <f t="shared" ref="B8:N8" si="2">B4+B7</f>
        <v>31289</v>
      </c>
      <c r="C8" s="19">
        <f t="shared" si="2"/>
        <v>28974</v>
      </c>
      <c r="D8" s="19">
        <f t="shared" si="2"/>
        <v>34840</v>
      </c>
      <c r="E8" s="19">
        <f t="shared" si="2"/>
        <v>44200</v>
      </c>
      <c r="F8" s="19">
        <f t="shared" si="2"/>
        <v>55890</v>
      </c>
      <c r="G8" s="19">
        <f t="shared" si="2"/>
        <v>63700</v>
      </c>
      <c r="H8" s="19">
        <f t="shared" si="2"/>
        <v>71710</v>
      </c>
      <c r="I8" s="19">
        <f t="shared" si="2"/>
        <v>67900</v>
      </c>
      <c r="J8" s="19">
        <f t="shared" si="2"/>
        <v>50370</v>
      </c>
      <c r="K8" s="19">
        <f t="shared" si="2"/>
        <v>40267</v>
      </c>
      <c r="L8" s="19">
        <f t="shared" si="2"/>
        <v>32736</v>
      </c>
      <c r="M8" s="19">
        <f t="shared" si="2"/>
        <v>30096</v>
      </c>
      <c r="N8" s="19">
        <f t="shared" si="2"/>
        <v>551972</v>
      </c>
    </row>
    <row r="10" spans="1:14" x14ac:dyDescent="0.3">
      <c r="A10" s="20" t="s">
        <v>33</v>
      </c>
      <c r="B10" s="21">
        <f t="shared" ref="B10:N10" si="3">IF(B4=0,0,B8/B4)</f>
        <v>0.67</v>
      </c>
      <c r="C10" s="21">
        <f t="shared" si="3"/>
        <v>0.66</v>
      </c>
      <c r="D10" s="21">
        <f t="shared" si="3"/>
        <v>0.67</v>
      </c>
      <c r="E10" s="21">
        <f t="shared" si="3"/>
        <v>0.68</v>
      </c>
      <c r="F10" s="21">
        <f t="shared" si="3"/>
        <v>0.69</v>
      </c>
      <c r="G10" s="21">
        <f t="shared" si="3"/>
        <v>0.7</v>
      </c>
      <c r="H10" s="21">
        <f t="shared" si="3"/>
        <v>0.71</v>
      </c>
      <c r="I10" s="21">
        <f t="shared" si="3"/>
        <v>0.7</v>
      </c>
      <c r="J10" s="21">
        <f t="shared" si="3"/>
        <v>0.69</v>
      </c>
      <c r="K10" s="21">
        <f t="shared" si="3"/>
        <v>0.67</v>
      </c>
      <c r="L10" s="21">
        <f t="shared" si="3"/>
        <v>0.66</v>
      </c>
      <c r="M10" s="21">
        <f t="shared" si="3"/>
        <v>0.66</v>
      </c>
      <c r="N10" s="21">
        <f t="shared" si="3"/>
        <v>0.68491376101253254</v>
      </c>
    </row>
    <row r="11" spans="1:14" x14ac:dyDescent="0.3">
      <c r="A11" s="9" t="s">
        <v>52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3">
      <c r="A12" s="13" t="s">
        <v>53</v>
      </c>
      <c r="B12" s="14">
        <v>9300</v>
      </c>
      <c r="C12" s="14">
        <v>9300</v>
      </c>
      <c r="D12" s="14">
        <v>9300</v>
      </c>
      <c r="E12" s="14">
        <v>9300</v>
      </c>
      <c r="F12" s="14">
        <v>9300</v>
      </c>
      <c r="G12" s="14">
        <v>9300</v>
      </c>
      <c r="H12" s="14">
        <v>9300</v>
      </c>
      <c r="I12" s="14">
        <v>9300</v>
      </c>
      <c r="J12" s="14">
        <v>9300</v>
      </c>
      <c r="K12" s="14">
        <v>9300</v>
      </c>
      <c r="L12" s="14">
        <v>9300</v>
      </c>
      <c r="M12" s="14">
        <v>9300</v>
      </c>
      <c r="N12" s="15">
        <f>SUM(B12:M12)</f>
        <v>111600</v>
      </c>
    </row>
    <row r="13" spans="1:14" x14ac:dyDescent="0.3">
      <c r="A13" s="13" t="s">
        <v>54</v>
      </c>
      <c r="B13" s="17">
        <f t="shared" ref="B13:M13" si="4">B4*B31</f>
        <v>13076.000000000002</v>
      </c>
      <c r="C13" s="17">
        <f t="shared" si="4"/>
        <v>12731</v>
      </c>
      <c r="D13" s="17">
        <f t="shared" si="4"/>
        <v>14040.000000000002</v>
      </c>
      <c r="E13" s="17">
        <f t="shared" si="4"/>
        <v>16250</v>
      </c>
      <c r="F13" s="17">
        <f t="shared" si="4"/>
        <v>18630</v>
      </c>
      <c r="G13" s="17">
        <f t="shared" si="4"/>
        <v>20020</v>
      </c>
      <c r="H13" s="17">
        <f t="shared" si="4"/>
        <v>21210</v>
      </c>
      <c r="I13" s="17">
        <f t="shared" si="4"/>
        <v>21340</v>
      </c>
      <c r="J13" s="17">
        <f t="shared" si="4"/>
        <v>17520</v>
      </c>
      <c r="K13" s="17">
        <f t="shared" si="4"/>
        <v>15626</v>
      </c>
      <c r="L13" s="17">
        <f t="shared" si="4"/>
        <v>13888.000000000002</v>
      </c>
      <c r="M13" s="17">
        <f t="shared" si="4"/>
        <v>13223.999999999998</v>
      </c>
      <c r="N13" s="15">
        <f>SUM(B13:M13)</f>
        <v>197555</v>
      </c>
    </row>
    <row r="14" spans="1:14" x14ac:dyDescent="0.3">
      <c r="A14" s="13" t="s">
        <v>55</v>
      </c>
      <c r="B14" s="14">
        <v>800</v>
      </c>
      <c r="C14" s="14">
        <v>600</v>
      </c>
      <c r="D14" s="14">
        <v>1200</v>
      </c>
      <c r="E14" s="14">
        <v>1500</v>
      </c>
      <c r="F14" s="14">
        <v>2000</v>
      </c>
      <c r="G14" s="14">
        <v>2200</v>
      </c>
      <c r="H14" s="14">
        <v>2400</v>
      </c>
      <c r="I14" s="14">
        <v>2000</v>
      </c>
      <c r="J14" s="14">
        <v>1500</v>
      </c>
      <c r="K14" s="14">
        <v>1000</v>
      </c>
      <c r="L14" s="14">
        <v>800</v>
      </c>
      <c r="M14" s="14">
        <v>600</v>
      </c>
      <c r="N14" s="15">
        <f>SUM(B14:M14)</f>
        <v>16600</v>
      </c>
    </row>
    <row r="15" spans="1:14" x14ac:dyDescent="0.3">
      <c r="A15" s="16" t="s">
        <v>56</v>
      </c>
      <c r="B15" s="22">
        <f t="shared" ref="B15:M15" si="5">-(B12+B13+B14)</f>
        <v>-23176</v>
      </c>
      <c r="C15" s="22">
        <f t="shared" si="5"/>
        <v>-22631</v>
      </c>
      <c r="D15" s="22">
        <f t="shared" si="5"/>
        <v>-24540</v>
      </c>
      <c r="E15" s="22">
        <f t="shared" si="5"/>
        <v>-27050</v>
      </c>
      <c r="F15" s="22">
        <f t="shared" si="5"/>
        <v>-29930</v>
      </c>
      <c r="G15" s="22">
        <f t="shared" si="5"/>
        <v>-31520</v>
      </c>
      <c r="H15" s="22">
        <f t="shared" si="5"/>
        <v>-32910</v>
      </c>
      <c r="I15" s="22">
        <f t="shared" si="5"/>
        <v>-32640</v>
      </c>
      <c r="J15" s="22">
        <f t="shared" si="5"/>
        <v>-28320</v>
      </c>
      <c r="K15" s="22">
        <f t="shared" si="5"/>
        <v>-25926</v>
      </c>
      <c r="L15" s="22">
        <f t="shared" si="5"/>
        <v>-23988</v>
      </c>
      <c r="M15" s="22">
        <f t="shared" si="5"/>
        <v>-23124</v>
      </c>
      <c r="N15" s="22">
        <f>SUM(B15:M15)</f>
        <v>-325755</v>
      </c>
    </row>
    <row r="17" spans="1:14" x14ac:dyDescent="0.3">
      <c r="A17" s="23" t="s">
        <v>57</v>
      </c>
      <c r="B17" s="12">
        <f t="shared" ref="B17:N17" si="6">B8+B15</f>
        <v>8113</v>
      </c>
      <c r="C17" s="12">
        <f t="shared" si="6"/>
        <v>6343</v>
      </c>
      <c r="D17" s="12">
        <f t="shared" si="6"/>
        <v>10300</v>
      </c>
      <c r="E17" s="12">
        <f t="shared" si="6"/>
        <v>17150</v>
      </c>
      <c r="F17" s="12">
        <f t="shared" si="6"/>
        <v>25960</v>
      </c>
      <c r="G17" s="12">
        <f t="shared" si="6"/>
        <v>32180</v>
      </c>
      <c r="H17" s="12">
        <f t="shared" si="6"/>
        <v>38800</v>
      </c>
      <c r="I17" s="12">
        <f t="shared" si="6"/>
        <v>35260</v>
      </c>
      <c r="J17" s="12">
        <f t="shared" si="6"/>
        <v>22050</v>
      </c>
      <c r="K17" s="12">
        <f t="shared" si="6"/>
        <v>14341</v>
      </c>
      <c r="L17" s="12">
        <f t="shared" si="6"/>
        <v>8748</v>
      </c>
      <c r="M17" s="12">
        <f t="shared" si="6"/>
        <v>6972</v>
      </c>
      <c r="N17" s="12">
        <f t="shared" si="6"/>
        <v>226217</v>
      </c>
    </row>
    <row r="18" spans="1:14" x14ac:dyDescent="0.3">
      <c r="A18" s="24" t="s">
        <v>3</v>
      </c>
      <c r="B18" s="25">
        <f t="shared" ref="B18:N18" si="7">B17</f>
        <v>8113</v>
      </c>
      <c r="C18" s="25">
        <f t="shared" si="7"/>
        <v>6343</v>
      </c>
      <c r="D18" s="25">
        <f t="shared" si="7"/>
        <v>10300</v>
      </c>
      <c r="E18" s="25">
        <f t="shared" si="7"/>
        <v>17150</v>
      </c>
      <c r="F18" s="25">
        <f t="shared" si="7"/>
        <v>25960</v>
      </c>
      <c r="G18" s="25">
        <f t="shared" si="7"/>
        <v>32180</v>
      </c>
      <c r="H18" s="25">
        <f t="shared" si="7"/>
        <v>38800</v>
      </c>
      <c r="I18" s="25">
        <f t="shared" si="7"/>
        <v>35260</v>
      </c>
      <c r="J18" s="25">
        <f t="shared" si="7"/>
        <v>22050</v>
      </c>
      <c r="K18" s="25">
        <f t="shared" si="7"/>
        <v>14341</v>
      </c>
      <c r="L18" s="25">
        <f t="shared" si="7"/>
        <v>8748</v>
      </c>
      <c r="M18" s="25">
        <f t="shared" si="7"/>
        <v>6972</v>
      </c>
      <c r="N18" s="25">
        <f t="shared" si="7"/>
        <v>226217</v>
      </c>
    </row>
    <row r="19" spans="1:14" x14ac:dyDescent="0.3">
      <c r="A19" s="20" t="s">
        <v>58</v>
      </c>
      <c r="B19" s="21">
        <f t="shared" ref="B19:N19" si="8">IF(B4=0,0,B18/B4)</f>
        <v>0.17372591006423982</v>
      </c>
      <c r="C19" s="21">
        <f t="shared" si="8"/>
        <v>0.1444874715261959</v>
      </c>
      <c r="D19" s="21">
        <f t="shared" si="8"/>
        <v>0.19807692307692307</v>
      </c>
      <c r="E19" s="21">
        <f t="shared" si="8"/>
        <v>0.26384615384615384</v>
      </c>
      <c r="F19" s="21">
        <f t="shared" si="8"/>
        <v>0.32049382716049385</v>
      </c>
      <c r="G19" s="21">
        <f t="shared" si="8"/>
        <v>0.35362637362637361</v>
      </c>
      <c r="H19" s="21">
        <f t="shared" si="8"/>
        <v>0.38415841584158417</v>
      </c>
      <c r="I19" s="21">
        <f t="shared" si="8"/>
        <v>0.36350515463917527</v>
      </c>
      <c r="J19" s="21">
        <f t="shared" si="8"/>
        <v>0.30205479452054795</v>
      </c>
      <c r="K19" s="21">
        <f t="shared" si="8"/>
        <v>0.23861896838602328</v>
      </c>
      <c r="L19" s="21">
        <f t="shared" si="8"/>
        <v>0.17637096774193547</v>
      </c>
      <c r="M19" s="21">
        <f t="shared" si="8"/>
        <v>0.15289473684210525</v>
      </c>
      <c r="N19" s="21">
        <f t="shared" si="8"/>
        <v>0.28070107953840429</v>
      </c>
    </row>
    <row r="21" spans="1:14" x14ac:dyDescent="0.3">
      <c r="A21" s="20" t="s">
        <v>59</v>
      </c>
      <c r="B21" s="13" t="s">
        <v>60</v>
      </c>
      <c r="C21" s="21">
        <f t="shared" ref="C21:M21" si="9">IF(B4=0,0,(C4-B4)/B4)</f>
        <v>-5.9957173447537475E-2</v>
      </c>
      <c r="D21" s="21">
        <f t="shared" si="9"/>
        <v>0.18451025056947609</v>
      </c>
      <c r="E21" s="21">
        <f t="shared" si="9"/>
        <v>0.25</v>
      </c>
      <c r="F21" s="21">
        <f t="shared" si="9"/>
        <v>0.24615384615384617</v>
      </c>
      <c r="G21" s="21">
        <f t="shared" si="9"/>
        <v>0.12345679012345678</v>
      </c>
      <c r="H21" s="21">
        <f t="shared" si="9"/>
        <v>0.10989010989010989</v>
      </c>
      <c r="I21" s="21">
        <f t="shared" si="9"/>
        <v>-3.9603960396039604E-2</v>
      </c>
      <c r="J21" s="21">
        <f t="shared" si="9"/>
        <v>-0.24742268041237114</v>
      </c>
      <c r="K21" s="21">
        <f t="shared" si="9"/>
        <v>-0.17671232876712328</v>
      </c>
      <c r="L21" s="21">
        <f t="shared" si="9"/>
        <v>-0.17470881863560733</v>
      </c>
      <c r="M21" s="21">
        <f t="shared" si="9"/>
        <v>-8.0645161290322578E-2</v>
      </c>
    </row>
    <row r="22" spans="1:14" x14ac:dyDescent="0.3">
      <c r="A22" s="20" t="s">
        <v>61</v>
      </c>
      <c r="B22" s="26">
        <f t="shared" ref="B22:M22" si="10">IF(B4=0,0,B5/B4)</f>
        <v>0.61027837259100648</v>
      </c>
      <c r="C22" s="26">
        <f t="shared" si="10"/>
        <v>0.61047835990888377</v>
      </c>
      <c r="D22" s="26">
        <f t="shared" si="10"/>
        <v>0.6</v>
      </c>
      <c r="E22" s="26">
        <f t="shared" si="10"/>
        <v>0.59230769230769231</v>
      </c>
      <c r="F22" s="26">
        <f t="shared" si="10"/>
        <v>0.58271604938271604</v>
      </c>
      <c r="G22" s="26">
        <f t="shared" si="10"/>
        <v>0.58021978021978027</v>
      </c>
      <c r="H22" s="26">
        <f t="shared" si="10"/>
        <v>0.57920792079207917</v>
      </c>
      <c r="I22" s="26">
        <f t="shared" si="10"/>
        <v>0.57938144329896912</v>
      </c>
      <c r="J22" s="26">
        <f t="shared" si="10"/>
        <v>0.58630136986301373</v>
      </c>
      <c r="K22" s="26">
        <f t="shared" si="10"/>
        <v>0.59234608985024961</v>
      </c>
      <c r="L22" s="26">
        <f t="shared" si="10"/>
        <v>0.60080645161290325</v>
      </c>
      <c r="M22" s="26">
        <f t="shared" si="10"/>
        <v>0.60307017543859653</v>
      </c>
    </row>
    <row r="23" spans="1:14" x14ac:dyDescent="0.3">
      <c r="A23" s="20" t="s">
        <v>62</v>
      </c>
      <c r="B23" s="26">
        <f t="shared" ref="B23:M23" si="11">IF(B4=0,0,B6/B4)</f>
        <v>0.38972162740899358</v>
      </c>
      <c r="C23" s="26">
        <f t="shared" si="11"/>
        <v>0.38952164009111617</v>
      </c>
      <c r="D23" s="26">
        <f t="shared" si="11"/>
        <v>0.4</v>
      </c>
      <c r="E23" s="26">
        <f t="shared" si="11"/>
        <v>0.40769230769230769</v>
      </c>
      <c r="F23" s="26">
        <f t="shared" si="11"/>
        <v>0.41728395061728396</v>
      </c>
      <c r="G23" s="26">
        <f t="shared" si="11"/>
        <v>0.41978021978021979</v>
      </c>
      <c r="H23" s="26">
        <f t="shared" si="11"/>
        <v>0.42079207920792078</v>
      </c>
      <c r="I23" s="26">
        <f t="shared" si="11"/>
        <v>0.42061855670103093</v>
      </c>
      <c r="J23" s="26">
        <f t="shared" si="11"/>
        <v>0.41369863013698632</v>
      </c>
      <c r="K23" s="26">
        <f t="shared" si="11"/>
        <v>0.40765391014975044</v>
      </c>
      <c r="L23" s="26">
        <f t="shared" si="11"/>
        <v>0.39919354838709675</v>
      </c>
      <c r="M23" s="26">
        <f t="shared" si="11"/>
        <v>0.39692982456140352</v>
      </c>
    </row>
    <row r="25" spans="1:14" x14ac:dyDescent="0.3">
      <c r="A25" s="82" t="s">
        <v>63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</row>
    <row r="26" spans="1:14" x14ac:dyDescent="0.3">
      <c r="A26" s="27" t="s">
        <v>64</v>
      </c>
      <c r="B26" s="28" t="s">
        <v>36</v>
      </c>
      <c r="C26" s="28" t="s">
        <v>37</v>
      </c>
      <c r="D26" s="28" t="s">
        <v>38</v>
      </c>
      <c r="E26" s="28" t="s">
        <v>39</v>
      </c>
      <c r="F26" s="28" t="s">
        <v>40</v>
      </c>
      <c r="G26" s="28" t="s">
        <v>41</v>
      </c>
      <c r="H26" s="28" t="s">
        <v>42</v>
      </c>
      <c r="I26" s="28" t="s">
        <v>43</v>
      </c>
      <c r="J26" s="28" t="s">
        <v>44</v>
      </c>
      <c r="K26" s="28" t="s">
        <v>45</v>
      </c>
      <c r="L26" s="28" t="s">
        <v>46</v>
      </c>
      <c r="M26" s="28" t="s">
        <v>47</v>
      </c>
    </row>
    <row r="30" spans="1:14" x14ac:dyDescent="0.3">
      <c r="A30" s="13" t="s">
        <v>65</v>
      </c>
      <c r="B30" s="29">
        <v>0.33</v>
      </c>
      <c r="C30" s="29">
        <v>0.34</v>
      </c>
      <c r="D30" s="29">
        <v>0.33</v>
      </c>
      <c r="E30" s="29">
        <v>0.32</v>
      </c>
      <c r="F30" s="29">
        <v>0.31</v>
      </c>
      <c r="G30" s="29">
        <v>0.3</v>
      </c>
      <c r="H30" s="29">
        <v>0.28999999999999998</v>
      </c>
      <c r="I30" s="29">
        <v>0.3</v>
      </c>
      <c r="J30" s="29">
        <v>0.31</v>
      </c>
      <c r="K30" s="29">
        <v>0.33</v>
      </c>
      <c r="L30" s="29">
        <v>0.34</v>
      </c>
      <c r="M30" s="29">
        <v>0.34</v>
      </c>
    </row>
    <row r="31" spans="1:14" x14ac:dyDescent="0.3">
      <c r="A31" s="13" t="s">
        <v>66</v>
      </c>
      <c r="B31" s="29">
        <v>0.28000000000000003</v>
      </c>
      <c r="C31" s="29">
        <v>0.28999999999999998</v>
      </c>
      <c r="D31" s="29">
        <v>0.27</v>
      </c>
      <c r="E31" s="29">
        <v>0.25</v>
      </c>
      <c r="F31" s="29">
        <v>0.23</v>
      </c>
      <c r="G31" s="29">
        <v>0.22</v>
      </c>
      <c r="H31" s="29">
        <v>0.21</v>
      </c>
      <c r="I31" s="29">
        <v>0.22</v>
      </c>
      <c r="J31" s="29">
        <v>0.24</v>
      </c>
      <c r="K31" s="29">
        <v>0.26</v>
      </c>
      <c r="L31" s="29">
        <v>0.28000000000000003</v>
      </c>
      <c r="M31" s="29">
        <v>0.28999999999999998</v>
      </c>
    </row>
  </sheetData>
  <mergeCells count="2">
    <mergeCell ref="A1:N1"/>
    <mergeCell ref="A25:N25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N19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3" sqref="A3"/>
      <selection pane="bottomRight" sqref="A1:N1"/>
    </sheetView>
  </sheetViews>
  <sheetFormatPr defaultColWidth="8.6640625" defaultRowHeight="14.4" x14ac:dyDescent="0.3"/>
  <cols>
    <col min="1" max="1" width="28" customWidth="1"/>
    <col min="2" max="14" width="13" customWidth="1"/>
  </cols>
  <sheetData>
    <row r="1" spans="1:14" ht="34.5" customHeight="1" x14ac:dyDescent="0.3">
      <c r="A1" s="81" t="s">
        <v>67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32</v>
      </c>
    </row>
    <row r="3" spans="1:14" x14ac:dyDescent="0.3">
      <c r="A3" s="11" t="s">
        <v>68</v>
      </c>
      <c r="B3" s="14">
        <v>42000</v>
      </c>
      <c r="C3" s="15">
        <f t="shared" ref="C3:M3" si="0">B19</f>
        <v>50113</v>
      </c>
      <c r="D3" s="15">
        <f t="shared" si="0"/>
        <v>56456</v>
      </c>
      <c r="E3" s="15">
        <f t="shared" si="0"/>
        <v>64756</v>
      </c>
      <c r="F3" s="15">
        <f t="shared" si="0"/>
        <v>81906</v>
      </c>
      <c r="G3" s="15">
        <f t="shared" si="0"/>
        <v>107866</v>
      </c>
      <c r="H3" s="15">
        <f t="shared" si="0"/>
        <v>137046</v>
      </c>
      <c r="I3" s="15">
        <f t="shared" si="0"/>
        <v>176646</v>
      </c>
      <c r="J3" s="15">
        <f t="shared" si="0"/>
        <v>211906</v>
      </c>
      <c r="K3" s="15">
        <f t="shared" si="0"/>
        <v>232456</v>
      </c>
      <c r="L3" s="15">
        <f t="shared" si="0"/>
        <v>246797</v>
      </c>
      <c r="M3" s="15">
        <f t="shared" si="0"/>
        <v>255545</v>
      </c>
    </row>
    <row r="5" spans="1:14" x14ac:dyDescent="0.3">
      <c r="A5" s="30" t="s">
        <v>69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x14ac:dyDescent="0.3">
      <c r="A6" s="13" t="s">
        <v>70</v>
      </c>
      <c r="B6" s="15">
        <f>'Monthly P&amp;L'!B4</f>
        <v>46700</v>
      </c>
      <c r="C6" s="15">
        <f>'Monthly P&amp;L'!C4</f>
        <v>43900</v>
      </c>
      <c r="D6" s="15">
        <f>'Monthly P&amp;L'!D4</f>
        <v>52000</v>
      </c>
      <c r="E6" s="15">
        <f>'Monthly P&amp;L'!E4</f>
        <v>65000</v>
      </c>
      <c r="F6" s="15">
        <f>'Monthly P&amp;L'!F4</f>
        <v>81000</v>
      </c>
      <c r="G6" s="15">
        <f>'Monthly P&amp;L'!G4</f>
        <v>91000</v>
      </c>
      <c r="H6" s="15">
        <f>'Monthly P&amp;L'!H4</f>
        <v>101000</v>
      </c>
      <c r="I6" s="15">
        <f>'Monthly P&amp;L'!I4</f>
        <v>97000</v>
      </c>
      <c r="J6" s="15">
        <f>'Monthly P&amp;L'!J4</f>
        <v>73000</v>
      </c>
      <c r="K6" s="15">
        <f>'Monthly P&amp;L'!K4</f>
        <v>60100</v>
      </c>
      <c r="L6" s="15">
        <f>'Monthly P&amp;L'!L4</f>
        <v>49600</v>
      </c>
      <c r="M6" s="15">
        <f>'Monthly P&amp;L'!M4</f>
        <v>45600</v>
      </c>
      <c r="N6" s="15">
        <f>SUM(B6:M6)</f>
        <v>805900</v>
      </c>
    </row>
    <row r="7" spans="1:14" x14ac:dyDescent="0.3">
      <c r="A7" s="13" t="s">
        <v>71</v>
      </c>
      <c r="B7" s="14">
        <v>0</v>
      </c>
      <c r="C7" s="14">
        <v>0</v>
      </c>
      <c r="D7" s="14">
        <v>500</v>
      </c>
      <c r="E7" s="14">
        <v>0</v>
      </c>
      <c r="F7" s="14">
        <v>0</v>
      </c>
      <c r="G7" s="14">
        <v>0</v>
      </c>
      <c r="H7" s="14">
        <v>800</v>
      </c>
      <c r="I7" s="14">
        <v>0</v>
      </c>
      <c r="J7" s="14">
        <v>0</v>
      </c>
      <c r="K7" s="14">
        <v>0</v>
      </c>
      <c r="L7" s="14">
        <v>0</v>
      </c>
      <c r="M7" s="14">
        <v>500</v>
      </c>
      <c r="N7" s="15">
        <f>SUM(B7:M7)</f>
        <v>1800</v>
      </c>
    </row>
    <row r="8" spans="1:14" x14ac:dyDescent="0.3">
      <c r="A8" s="32" t="s">
        <v>72</v>
      </c>
      <c r="B8" s="33">
        <f t="shared" ref="B8:N8" si="1">B6+B7</f>
        <v>46700</v>
      </c>
      <c r="C8" s="33">
        <f t="shared" si="1"/>
        <v>43900</v>
      </c>
      <c r="D8" s="33">
        <f t="shared" si="1"/>
        <v>52500</v>
      </c>
      <c r="E8" s="33">
        <f t="shared" si="1"/>
        <v>65000</v>
      </c>
      <c r="F8" s="33">
        <f t="shared" si="1"/>
        <v>81000</v>
      </c>
      <c r="G8" s="33">
        <f t="shared" si="1"/>
        <v>91000</v>
      </c>
      <c r="H8" s="33">
        <f t="shared" si="1"/>
        <v>101800</v>
      </c>
      <c r="I8" s="33">
        <f t="shared" si="1"/>
        <v>97000</v>
      </c>
      <c r="J8" s="33">
        <f t="shared" si="1"/>
        <v>73000</v>
      </c>
      <c r="K8" s="33">
        <f t="shared" si="1"/>
        <v>60100</v>
      </c>
      <c r="L8" s="33">
        <f t="shared" si="1"/>
        <v>49600</v>
      </c>
      <c r="M8" s="33">
        <f t="shared" si="1"/>
        <v>46100</v>
      </c>
      <c r="N8" s="33">
        <f t="shared" si="1"/>
        <v>807700</v>
      </c>
    </row>
    <row r="10" spans="1:14" x14ac:dyDescent="0.3">
      <c r="A10" s="34" t="s">
        <v>73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3">
      <c r="A11" s="13" t="s">
        <v>74</v>
      </c>
      <c r="B11" s="15">
        <f>'Monthly P&amp;L'!B7</f>
        <v>-15411</v>
      </c>
      <c r="C11" s="15">
        <f>'Monthly P&amp;L'!C7</f>
        <v>-14926.000000000002</v>
      </c>
      <c r="D11" s="15">
        <f>'Monthly P&amp;L'!D7</f>
        <v>-17160</v>
      </c>
      <c r="E11" s="15">
        <f>'Monthly P&amp;L'!E7</f>
        <v>-20800</v>
      </c>
      <c r="F11" s="15">
        <f>'Monthly P&amp;L'!F7</f>
        <v>-25110</v>
      </c>
      <c r="G11" s="15">
        <f>'Monthly P&amp;L'!G7</f>
        <v>-27300</v>
      </c>
      <c r="H11" s="15">
        <f>'Monthly P&amp;L'!H7</f>
        <v>-29289.999999999996</v>
      </c>
      <c r="I11" s="15">
        <f>'Monthly P&amp;L'!I7</f>
        <v>-29100</v>
      </c>
      <c r="J11" s="15">
        <f>'Monthly P&amp;L'!J7</f>
        <v>-22630</v>
      </c>
      <c r="K11" s="15">
        <f>'Monthly P&amp;L'!K7</f>
        <v>-19833</v>
      </c>
      <c r="L11" s="15">
        <f>'Monthly P&amp;L'!L7</f>
        <v>-16864</v>
      </c>
      <c r="M11" s="15">
        <f>'Monthly P&amp;L'!M7</f>
        <v>-15504.000000000002</v>
      </c>
      <c r="N11" s="15">
        <f>SUM(B11:M11)</f>
        <v>-253928</v>
      </c>
    </row>
    <row r="12" spans="1:14" x14ac:dyDescent="0.3">
      <c r="A12" s="13" t="s">
        <v>75</v>
      </c>
      <c r="B12" s="15">
        <f>-'Monthly P&amp;L'!B12</f>
        <v>-9300</v>
      </c>
      <c r="C12" s="15">
        <f>-'Monthly P&amp;L'!C12</f>
        <v>-9300</v>
      </c>
      <c r="D12" s="15">
        <f>-'Monthly P&amp;L'!D12</f>
        <v>-9300</v>
      </c>
      <c r="E12" s="15">
        <f>-'Monthly P&amp;L'!E12</f>
        <v>-9300</v>
      </c>
      <c r="F12" s="15">
        <f>-'Monthly P&amp;L'!F12</f>
        <v>-9300</v>
      </c>
      <c r="G12" s="15">
        <f>-'Monthly P&amp;L'!G12</f>
        <v>-9300</v>
      </c>
      <c r="H12" s="15">
        <f>-'Monthly P&amp;L'!H12</f>
        <v>-9300</v>
      </c>
      <c r="I12" s="15">
        <f>-'Monthly P&amp;L'!I12</f>
        <v>-9300</v>
      </c>
      <c r="J12" s="15">
        <f>-'Monthly P&amp;L'!J12</f>
        <v>-9300</v>
      </c>
      <c r="K12" s="15">
        <f>-'Monthly P&amp;L'!K12</f>
        <v>-9300</v>
      </c>
      <c r="L12" s="15">
        <f>-'Monthly P&amp;L'!L12</f>
        <v>-9300</v>
      </c>
      <c r="M12" s="15">
        <f>-'Monthly P&amp;L'!M12</f>
        <v>-9300</v>
      </c>
      <c r="N12" s="15">
        <f>SUM(B12:M12)</f>
        <v>-111600</v>
      </c>
    </row>
    <row r="13" spans="1:14" x14ac:dyDescent="0.3">
      <c r="A13" s="13" t="s">
        <v>76</v>
      </c>
      <c r="B13" s="15">
        <f>-'Monthly P&amp;L'!B13</f>
        <v>-13076.000000000002</v>
      </c>
      <c r="C13" s="15">
        <f>-'Monthly P&amp;L'!C13</f>
        <v>-12731</v>
      </c>
      <c r="D13" s="15">
        <f>-'Monthly P&amp;L'!D13</f>
        <v>-14040.000000000002</v>
      </c>
      <c r="E13" s="15">
        <f>-'Monthly P&amp;L'!E13</f>
        <v>-16250</v>
      </c>
      <c r="F13" s="15">
        <f>-'Monthly P&amp;L'!F13</f>
        <v>-18630</v>
      </c>
      <c r="G13" s="15">
        <f>-'Monthly P&amp;L'!G13</f>
        <v>-20020</v>
      </c>
      <c r="H13" s="15">
        <f>-'Monthly P&amp;L'!H13</f>
        <v>-21210</v>
      </c>
      <c r="I13" s="15">
        <f>-'Monthly P&amp;L'!I13</f>
        <v>-21340</v>
      </c>
      <c r="J13" s="15">
        <f>-'Monthly P&amp;L'!J13</f>
        <v>-17520</v>
      </c>
      <c r="K13" s="15">
        <f>-'Monthly P&amp;L'!K13</f>
        <v>-15626</v>
      </c>
      <c r="L13" s="15">
        <f>-'Monthly P&amp;L'!L13</f>
        <v>-13888.000000000002</v>
      </c>
      <c r="M13" s="15">
        <f>-'Monthly P&amp;L'!M13</f>
        <v>-13223.999999999998</v>
      </c>
      <c r="N13" s="15">
        <f>SUM(B13:M13)</f>
        <v>-197555</v>
      </c>
    </row>
    <row r="14" spans="1:14" x14ac:dyDescent="0.3">
      <c r="A14" s="13" t="s">
        <v>77</v>
      </c>
      <c r="B14" s="15">
        <f>-'Monthly P&amp;L'!B14</f>
        <v>-800</v>
      </c>
      <c r="C14" s="15">
        <f>-'Monthly P&amp;L'!C14</f>
        <v>-600</v>
      </c>
      <c r="D14" s="15">
        <f>-'Monthly P&amp;L'!D14</f>
        <v>-1200</v>
      </c>
      <c r="E14" s="15">
        <f>-'Monthly P&amp;L'!E14</f>
        <v>-1500</v>
      </c>
      <c r="F14" s="15">
        <f>-'Monthly P&amp;L'!F14</f>
        <v>-2000</v>
      </c>
      <c r="G14" s="15">
        <f>-'Monthly P&amp;L'!G14</f>
        <v>-2200</v>
      </c>
      <c r="H14" s="15">
        <f>-'Monthly P&amp;L'!H14</f>
        <v>-2400</v>
      </c>
      <c r="I14" s="15">
        <f>-'Monthly P&amp;L'!I14</f>
        <v>-2000</v>
      </c>
      <c r="J14" s="15">
        <f>-'Monthly P&amp;L'!J14</f>
        <v>-1500</v>
      </c>
      <c r="K14" s="15">
        <f>-'Monthly P&amp;L'!K14</f>
        <v>-1000</v>
      </c>
      <c r="L14" s="15">
        <f>-'Monthly P&amp;L'!L14</f>
        <v>-800</v>
      </c>
      <c r="M14" s="15">
        <f>-'Monthly P&amp;L'!M14</f>
        <v>-600</v>
      </c>
      <c r="N14" s="15">
        <f>SUM(B14:M14)</f>
        <v>-16600</v>
      </c>
    </row>
    <row r="15" spans="1:14" x14ac:dyDescent="0.3">
      <c r="A15" s="13" t="s">
        <v>78</v>
      </c>
      <c r="B15" s="14">
        <v>0</v>
      </c>
      <c r="C15" s="14">
        <v>0</v>
      </c>
      <c r="D15" s="14">
        <v>-2500</v>
      </c>
      <c r="E15" s="14">
        <v>0</v>
      </c>
      <c r="F15" s="14">
        <v>0</v>
      </c>
      <c r="G15" s="14">
        <v>-3000</v>
      </c>
      <c r="H15" s="14">
        <v>0</v>
      </c>
      <c r="I15" s="14">
        <v>0</v>
      </c>
      <c r="J15" s="14">
        <v>-1500</v>
      </c>
      <c r="K15" s="14">
        <v>0</v>
      </c>
      <c r="L15" s="14">
        <v>0</v>
      </c>
      <c r="M15" s="14">
        <v>0</v>
      </c>
      <c r="N15" s="15">
        <f>SUM(B15:M15)</f>
        <v>-7000</v>
      </c>
    </row>
    <row r="16" spans="1:14" x14ac:dyDescent="0.3">
      <c r="A16" s="16" t="s">
        <v>79</v>
      </c>
      <c r="B16" s="22">
        <f t="shared" ref="B16:N16" si="2">B11+B12+B13+B14+B15</f>
        <v>-38587</v>
      </c>
      <c r="C16" s="22">
        <f t="shared" si="2"/>
        <v>-37557</v>
      </c>
      <c r="D16" s="22">
        <f t="shared" si="2"/>
        <v>-44200</v>
      </c>
      <c r="E16" s="22">
        <f t="shared" si="2"/>
        <v>-47850</v>
      </c>
      <c r="F16" s="22">
        <f t="shared" si="2"/>
        <v>-55040</v>
      </c>
      <c r="G16" s="22">
        <f t="shared" si="2"/>
        <v>-61820</v>
      </c>
      <c r="H16" s="22">
        <f t="shared" si="2"/>
        <v>-62200</v>
      </c>
      <c r="I16" s="22">
        <f t="shared" si="2"/>
        <v>-61740</v>
      </c>
      <c r="J16" s="22">
        <f t="shared" si="2"/>
        <v>-52450</v>
      </c>
      <c r="K16" s="22">
        <f t="shared" si="2"/>
        <v>-45759</v>
      </c>
      <c r="L16" s="22">
        <f t="shared" si="2"/>
        <v>-40852</v>
      </c>
      <c r="M16" s="22">
        <f t="shared" si="2"/>
        <v>-38628</v>
      </c>
      <c r="N16" s="22">
        <f t="shared" si="2"/>
        <v>-586683</v>
      </c>
    </row>
    <row r="18" spans="1:14" x14ac:dyDescent="0.3">
      <c r="A18" s="11" t="s">
        <v>80</v>
      </c>
      <c r="B18" s="12">
        <f t="shared" ref="B18:N18" si="3">B8+B16</f>
        <v>8113</v>
      </c>
      <c r="C18" s="12">
        <f t="shared" si="3"/>
        <v>6343</v>
      </c>
      <c r="D18" s="12">
        <f t="shared" si="3"/>
        <v>8300</v>
      </c>
      <c r="E18" s="12">
        <f t="shared" si="3"/>
        <v>17150</v>
      </c>
      <c r="F18" s="12">
        <f t="shared" si="3"/>
        <v>25960</v>
      </c>
      <c r="G18" s="12">
        <f t="shared" si="3"/>
        <v>29180</v>
      </c>
      <c r="H18" s="12">
        <f t="shared" si="3"/>
        <v>39600</v>
      </c>
      <c r="I18" s="12">
        <f t="shared" si="3"/>
        <v>35260</v>
      </c>
      <c r="J18" s="12">
        <f t="shared" si="3"/>
        <v>20550</v>
      </c>
      <c r="K18" s="12">
        <f t="shared" si="3"/>
        <v>14341</v>
      </c>
      <c r="L18" s="12">
        <f t="shared" si="3"/>
        <v>8748</v>
      </c>
      <c r="M18" s="12">
        <f t="shared" si="3"/>
        <v>7472</v>
      </c>
      <c r="N18" s="12">
        <f t="shared" si="3"/>
        <v>221017</v>
      </c>
    </row>
    <row r="19" spans="1:14" x14ac:dyDescent="0.3">
      <c r="A19" s="24" t="s">
        <v>81</v>
      </c>
      <c r="B19" s="25">
        <f t="shared" ref="B19:M19" si="4">B3+B18</f>
        <v>50113</v>
      </c>
      <c r="C19" s="25">
        <f t="shared" si="4"/>
        <v>56456</v>
      </c>
      <c r="D19" s="25">
        <f t="shared" si="4"/>
        <v>64756</v>
      </c>
      <c r="E19" s="25">
        <f t="shared" si="4"/>
        <v>81906</v>
      </c>
      <c r="F19" s="25">
        <f t="shared" si="4"/>
        <v>107866</v>
      </c>
      <c r="G19" s="25">
        <f t="shared" si="4"/>
        <v>137046</v>
      </c>
      <c r="H19" s="25">
        <f t="shared" si="4"/>
        <v>176646</v>
      </c>
      <c r="I19" s="25">
        <f t="shared" si="4"/>
        <v>211906</v>
      </c>
      <c r="J19" s="25">
        <f t="shared" si="4"/>
        <v>232456</v>
      </c>
      <c r="K19" s="25">
        <f t="shared" si="4"/>
        <v>246797</v>
      </c>
      <c r="L19" s="25">
        <f t="shared" si="4"/>
        <v>255545</v>
      </c>
      <c r="M19" s="25">
        <f t="shared" si="4"/>
        <v>263017</v>
      </c>
      <c r="N19" s="25">
        <f>M19</f>
        <v>263017</v>
      </c>
    </row>
  </sheetData>
  <mergeCells count="1">
    <mergeCell ref="A1:N1"/>
  </mergeCells>
  <conditionalFormatting sqref="B18:M18">
    <cfRule type="cellIs" dxfId="4" priority="2" operator="lessThan">
      <formula>0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I29"/>
  <sheetViews>
    <sheetView topLeftCell="A26" zoomScaleNormal="100" workbookViewId="0">
      <selection sqref="A1:I1"/>
    </sheetView>
  </sheetViews>
  <sheetFormatPr defaultColWidth="8.6640625" defaultRowHeight="14.4" x14ac:dyDescent="0.3"/>
  <cols>
    <col min="1" max="1" width="25" customWidth="1"/>
    <col min="2" max="2" width="18" customWidth="1"/>
    <col min="3" max="9" width="16" customWidth="1"/>
  </cols>
  <sheetData>
    <row r="1" spans="1:9" ht="34.5" customHeight="1" x14ac:dyDescent="0.3">
      <c r="A1" s="72" t="s">
        <v>82</v>
      </c>
      <c r="B1" s="72"/>
      <c r="C1" s="72"/>
      <c r="D1" s="72"/>
      <c r="E1" s="72"/>
      <c r="F1" s="72"/>
      <c r="G1" s="72"/>
      <c r="H1" s="72"/>
      <c r="I1" s="72"/>
    </row>
    <row r="2" spans="1:9" x14ac:dyDescent="0.3">
      <c r="A2" s="83" t="s">
        <v>83</v>
      </c>
      <c r="B2" s="83"/>
      <c r="C2" s="83"/>
      <c r="D2" s="83"/>
      <c r="E2" s="83"/>
      <c r="F2" s="83"/>
      <c r="G2" s="83"/>
      <c r="H2" s="83"/>
      <c r="I2" s="83"/>
    </row>
    <row r="4" spans="1:9" x14ac:dyDescent="0.3">
      <c r="A4" s="1" t="s">
        <v>84</v>
      </c>
    </row>
    <row r="5" spans="1:9" x14ac:dyDescent="0.3">
      <c r="A5" s="13" t="s">
        <v>85</v>
      </c>
      <c r="B5" s="15">
        <f>'Monthly P&amp;L'!N4</f>
        <v>805900</v>
      </c>
    </row>
    <row r="6" spans="1:9" x14ac:dyDescent="0.3">
      <c r="A6" s="13" t="s">
        <v>86</v>
      </c>
      <c r="B6" s="29">
        <v>0.315</v>
      </c>
    </row>
    <row r="7" spans="1:9" x14ac:dyDescent="0.3">
      <c r="A7" s="13" t="s">
        <v>87</v>
      </c>
      <c r="B7" s="29">
        <v>0.25</v>
      </c>
    </row>
    <row r="8" spans="1:9" x14ac:dyDescent="0.3">
      <c r="A8" s="13" t="s">
        <v>88</v>
      </c>
      <c r="B8" s="15">
        <f>'Monthly P&amp;L'!N12+'Monthly P&amp;L'!N14</f>
        <v>128200</v>
      </c>
    </row>
    <row r="9" spans="1:9" x14ac:dyDescent="0.3">
      <c r="A9" s="11" t="s">
        <v>89</v>
      </c>
      <c r="B9" s="36">
        <f>1-B6-B7-B8/B5</f>
        <v>0.27592319146296074</v>
      </c>
    </row>
    <row r="11" spans="1:9" x14ac:dyDescent="0.3">
      <c r="A11" s="84" t="s">
        <v>90</v>
      </c>
      <c r="B11" s="84"/>
      <c r="C11" s="84"/>
      <c r="D11" s="84"/>
      <c r="E11" s="84"/>
      <c r="F11" s="84"/>
      <c r="G11" s="84"/>
      <c r="H11" s="84"/>
      <c r="I11" s="84"/>
    </row>
    <row r="12" spans="1:9" x14ac:dyDescent="0.3">
      <c r="A12" s="37" t="s">
        <v>91</v>
      </c>
      <c r="B12" s="37" t="s">
        <v>92</v>
      </c>
      <c r="C12" s="38">
        <v>0.2</v>
      </c>
      <c r="D12" s="38">
        <v>0.22</v>
      </c>
      <c r="E12" s="38">
        <v>0.24</v>
      </c>
      <c r="F12" s="38">
        <v>0.25</v>
      </c>
      <c r="G12" s="38">
        <v>0.26</v>
      </c>
      <c r="H12" s="38">
        <v>0.28000000000000003</v>
      </c>
      <c r="I12" s="38">
        <v>0.3</v>
      </c>
    </row>
    <row r="13" spans="1:9" x14ac:dyDescent="0.3">
      <c r="A13" s="38">
        <v>0.26</v>
      </c>
      <c r="C13" s="39">
        <f t="shared" ref="C13:I20" si="0">1-$A13-C$12-$B$8/$B$5</f>
        <v>0.38092319146296072</v>
      </c>
      <c r="D13" s="39">
        <f t="shared" si="0"/>
        <v>0.3609231914629607</v>
      </c>
      <c r="E13" s="39">
        <f t="shared" si="0"/>
        <v>0.34092319146296068</v>
      </c>
      <c r="F13" s="39">
        <f t="shared" si="0"/>
        <v>0.33092319146296068</v>
      </c>
      <c r="G13" s="39">
        <f t="shared" si="0"/>
        <v>0.32092319146296067</v>
      </c>
      <c r="H13" s="39">
        <f t="shared" si="0"/>
        <v>0.30092319146296065</v>
      </c>
      <c r="I13" s="39">
        <f t="shared" si="0"/>
        <v>0.28092319146296063</v>
      </c>
    </row>
    <row r="14" spans="1:9" x14ac:dyDescent="0.3">
      <c r="A14" s="38">
        <v>0.28000000000000003</v>
      </c>
      <c r="C14" s="39">
        <f t="shared" si="0"/>
        <v>0.3609231914629607</v>
      </c>
      <c r="D14" s="39">
        <f t="shared" si="0"/>
        <v>0.34092319146296068</v>
      </c>
      <c r="E14" s="39">
        <f t="shared" si="0"/>
        <v>0.32092319146296067</v>
      </c>
      <c r="F14" s="39">
        <f t="shared" si="0"/>
        <v>0.31092319146296066</v>
      </c>
      <c r="G14" s="39">
        <f t="shared" si="0"/>
        <v>0.30092319146296065</v>
      </c>
      <c r="H14" s="39">
        <f t="shared" si="0"/>
        <v>0.28092319146296063</v>
      </c>
      <c r="I14" s="39">
        <f t="shared" si="0"/>
        <v>0.26092319146296061</v>
      </c>
    </row>
    <row r="15" spans="1:9" x14ac:dyDescent="0.3">
      <c r="A15" s="38">
        <v>0.3</v>
      </c>
      <c r="C15" s="39">
        <f t="shared" si="0"/>
        <v>0.34092319146296057</v>
      </c>
      <c r="D15" s="39">
        <f t="shared" si="0"/>
        <v>0.32092319146296067</v>
      </c>
      <c r="E15" s="39">
        <f t="shared" si="0"/>
        <v>0.30092319146296065</v>
      </c>
      <c r="F15" s="39">
        <f t="shared" si="0"/>
        <v>0.29092319146296064</v>
      </c>
      <c r="G15" s="39">
        <f t="shared" si="0"/>
        <v>0.28092319146296063</v>
      </c>
      <c r="H15" s="39">
        <f t="shared" si="0"/>
        <v>0.26092319146296061</v>
      </c>
      <c r="I15" s="39">
        <f t="shared" si="0"/>
        <v>0.24092319146296062</v>
      </c>
    </row>
    <row r="16" spans="1:9" x14ac:dyDescent="0.3">
      <c r="A16" s="38">
        <v>0.315</v>
      </c>
      <c r="C16" s="40">
        <f t="shared" si="0"/>
        <v>0.32592319146296067</v>
      </c>
      <c r="D16" s="40">
        <f t="shared" si="0"/>
        <v>0.30592319146296076</v>
      </c>
      <c r="E16" s="40">
        <f t="shared" si="0"/>
        <v>0.28592319146296075</v>
      </c>
      <c r="F16" s="41">
        <f t="shared" si="0"/>
        <v>0.27592319146296074</v>
      </c>
      <c r="G16" s="40">
        <f t="shared" si="0"/>
        <v>0.26592319146296073</v>
      </c>
      <c r="H16" s="40">
        <f t="shared" si="0"/>
        <v>0.24592319146296068</v>
      </c>
      <c r="I16" s="40">
        <f t="shared" si="0"/>
        <v>0.22592319146296072</v>
      </c>
    </row>
    <row r="17" spans="1:9" x14ac:dyDescent="0.3">
      <c r="A17" s="38">
        <v>0.33</v>
      </c>
      <c r="C17" s="39">
        <f t="shared" si="0"/>
        <v>0.31092319146296055</v>
      </c>
      <c r="D17" s="39">
        <f t="shared" si="0"/>
        <v>0.29092319146296064</v>
      </c>
      <c r="E17" s="39">
        <f t="shared" si="0"/>
        <v>0.27092319146296062</v>
      </c>
      <c r="F17" s="39">
        <f t="shared" si="0"/>
        <v>0.26092319146296061</v>
      </c>
      <c r="G17" s="39">
        <f t="shared" si="0"/>
        <v>0.2509231914629606</v>
      </c>
      <c r="H17" s="39">
        <f t="shared" si="0"/>
        <v>0.23092319146296056</v>
      </c>
      <c r="I17" s="39">
        <f t="shared" si="0"/>
        <v>0.2109231914629606</v>
      </c>
    </row>
    <row r="18" spans="1:9" x14ac:dyDescent="0.3">
      <c r="A18" s="38">
        <v>0.35</v>
      </c>
      <c r="C18" s="39">
        <f t="shared" si="0"/>
        <v>0.29092319146296064</v>
      </c>
      <c r="D18" s="39">
        <f t="shared" si="0"/>
        <v>0.27092319146296073</v>
      </c>
      <c r="E18" s="39">
        <f t="shared" si="0"/>
        <v>0.25092319146296072</v>
      </c>
      <c r="F18" s="39">
        <f t="shared" si="0"/>
        <v>0.24092319146296068</v>
      </c>
      <c r="G18" s="39">
        <f t="shared" si="0"/>
        <v>0.23092319146296067</v>
      </c>
      <c r="H18" s="39">
        <f t="shared" si="0"/>
        <v>0.21092319146296065</v>
      </c>
      <c r="I18" s="39">
        <f t="shared" si="0"/>
        <v>0.19092319146296069</v>
      </c>
    </row>
    <row r="19" spans="1:9" x14ac:dyDescent="0.3">
      <c r="A19" s="38">
        <v>0.37</v>
      </c>
      <c r="C19" s="39">
        <f t="shared" si="0"/>
        <v>0.27092319146296062</v>
      </c>
      <c r="D19" s="39">
        <f t="shared" si="0"/>
        <v>0.25092319146296072</v>
      </c>
      <c r="E19" s="39">
        <f t="shared" si="0"/>
        <v>0.23092319146296067</v>
      </c>
      <c r="F19" s="39">
        <f t="shared" si="0"/>
        <v>0.22092319146296066</v>
      </c>
      <c r="G19" s="39">
        <f t="shared" si="0"/>
        <v>0.21092319146296065</v>
      </c>
      <c r="H19" s="39">
        <f t="shared" si="0"/>
        <v>0.19092319146296063</v>
      </c>
      <c r="I19" s="39">
        <f t="shared" si="0"/>
        <v>0.17092319146296067</v>
      </c>
    </row>
    <row r="20" spans="1:9" x14ac:dyDescent="0.3">
      <c r="A20" s="38">
        <v>0.4</v>
      </c>
      <c r="C20" s="39">
        <f t="shared" si="0"/>
        <v>0.24092319146296062</v>
      </c>
      <c r="D20" s="39">
        <f t="shared" si="0"/>
        <v>0.22092319146296066</v>
      </c>
      <c r="E20" s="39">
        <f t="shared" si="0"/>
        <v>0.20092319146296064</v>
      </c>
      <c r="F20" s="39">
        <f t="shared" si="0"/>
        <v>0.19092319146296063</v>
      </c>
      <c r="G20" s="39">
        <f t="shared" si="0"/>
        <v>0.18092319146296063</v>
      </c>
      <c r="H20" s="39">
        <f t="shared" si="0"/>
        <v>0.16092319146296061</v>
      </c>
      <c r="I20" s="39">
        <f t="shared" si="0"/>
        <v>0.14092319146296065</v>
      </c>
    </row>
    <row r="23" spans="1:9" x14ac:dyDescent="0.3">
      <c r="A23" s="84" t="s">
        <v>93</v>
      </c>
      <c r="B23" s="84"/>
      <c r="C23" s="84"/>
      <c r="D23" s="84"/>
      <c r="E23" s="84"/>
      <c r="F23" s="84"/>
      <c r="G23" s="84"/>
      <c r="H23" s="84"/>
      <c r="I23" s="84"/>
    </row>
    <row r="24" spans="1:9" x14ac:dyDescent="0.3">
      <c r="A24" s="42" t="s">
        <v>94</v>
      </c>
      <c r="B24" s="42" t="s">
        <v>95</v>
      </c>
      <c r="C24" s="42" t="s">
        <v>96</v>
      </c>
      <c r="D24" s="42" t="s">
        <v>17</v>
      </c>
      <c r="E24" s="42" t="s">
        <v>3</v>
      </c>
      <c r="F24" s="42" t="s">
        <v>97</v>
      </c>
    </row>
    <row r="25" spans="1:9" x14ac:dyDescent="0.3">
      <c r="A25" s="43" t="s">
        <v>98</v>
      </c>
      <c r="B25" s="44">
        <v>-0.15</v>
      </c>
      <c r="C25" s="45">
        <f>$B$5*(1+B25)</f>
        <v>685015</v>
      </c>
      <c r="D25" s="45">
        <f>C25*(1-$B$6)</f>
        <v>469235.27500000002</v>
      </c>
      <c r="E25" s="45">
        <f>C25*(1-$B$6-$B$7)-$B$8</f>
        <v>169781.52500000002</v>
      </c>
      <c r="F25" s="46">
        <f>IF(C25=0,0,E25/C25)</f>
        <v>0.2478508134858361</v>
      </c>
    </row>
    <row r="26" spans="1:9" x14ac:dyDescent="0.3">
      <c r="A26" s="43" t="s">
        <v>99</v>
      </c>
      <c r="B26" s="44">
        <v>-0.08</v>
      </c>
      <c r="C26" s="45">
        <f>$B$5*(1+B26)</f>
        <v>741428</v>
      </c>
      <c r="D26" s="45">
        <f>C26*(1-$B$6)</f>
        <v>507878.18000000005</v>
      </c>
      <c r="E26" s="45">
        <f>C26*(1-$B$6-$B$7)-$B$8</f>
        <v>194321.18000000005</v>
      </c>
      <c r="F26" s="46">
        <f>IF(C26=0,0,E26/C26)</f>
        <v>0.26209042550321821</v>
      </c>
    </row>
    <row r="27" spans="1:9" x14ac:dyDescent="0.3">
      <c r="A27" s="47" t="s">
        <v>100</v>
      </c>
      <c r="B27" s="48">
        <v>0</v>
      </c>
      <c r="C27" s="49">
        <f>$B$5*(1+B27)</f>
        <v>805900</v>
      </c>
      <c r="D27" s="49">
        <f>C27*(1-$B$6)</f>
        <v>552041.5</v>
      </c>
      <c r="E27" s="49">
        <f>C27*(1-$B$6-$B$7)-$B$8</f>
        <v>222366.50000000006</v>
      </c>
      <c r="F27" s="48">
        <f>IF(C27=0,0,E27/C27)</f>
        <v>0.27592319146296074</v>
      </c>
    </row>
    <row r="28" spans="1:9" x14ac:dyDescent="0.3">
      <c r="A28" s="43" t="s">
        <v>101</v>
      </c>
      <c r="B28" s="44">
        <v>0.08</v>
      </c>
      <c r="C28" s="45">
        <f>$B$5*(1+B28)</f>
        <v>870372</v>
      </c>
      <c r="D28" s="45">
        <f>C28*(1-$B$6)</f>
        <v>596204.82000000007</v>
      </c>
      <c r="E28" s="45">
        <f>C28*(1-$B$6-$B$7)-$B$8</f>
        <v>250411.82000000007</v>
      </c>
      <c r="F28" s="46">
        <f>IF(C28=0,0,E28/C28)</f>
        <v>0.28770665876200069</v>
      </c>
    </row>
    <row r="29" spans="1:9" x14ac:dyDescent="0.3">
      <c r="A29" s="43" t="s">
        <v>102</v>
      </c>
      <c r="B29" s="44">
        <v>0.15</v>
      </c>
      <c r="C29" s="45">
        <f>$B$5*(1+B29)</f>
        <v>926784.99999999988</v>
      </c>
      <c r="D29" s="45">
        <f>C29*(1-$B$6)</f>
        <v>634847.72499999998</v>
      </c>
      <c r="E29" s="45">
        <f>C29*(1-$B$6-$B$7)-$B$8</f>
        <v>274951.47499999998</v>
      </c>
      <c r="F29" s="46">
        <f>IF(C29=0,0,E29/C29)</f>
        <v>0.29667234040257451</v>
      </c>
    </row>
  </sheetData>
  <mergeCells count="4">
    <mergeCell ref="A1:I1"/>
    <mergeCell ref="A2:I2"/>
    <mergeCell ref="A11:I11"/>
    <mergeCell ref="A23:I23"/>
  </mergeCells>
  <conditionalFormatting sqref="C13:I20">
    <cfRule type="colorScale" priority="2">
      <colorScale>
        <cfvo type="min"/>
        <cfvo type="percentile" val="50"/>
        <cfvo type="max"/>
        <color rgb="FFF5B7B1"/>
        <color rgb="FFFDEBD0"/>
        <color rgb="FFABEBC6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E6BA8"/>
  </sheetPr>
  <dimension ref="A1:N2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7" sqref="F27"/>
    </sheetView>
  </sheetViews>
  <sheetFormatPr defaultColWidth="8.6640625" defaultRowHeight="14.4" x14ac:dyDescent="0.3"/>
  <cols>
    <col min="1" max="1" width="28" customWidth="1"/>
    <col min="2" max="14" width="13" customWidth="1"/>
  </cols>
  <sheetData>
    <row r="1" spans="1:14" ht="34.5" customHeight="1" x14ac:dyDescent="0.3">
      <c r="A1" s="72" t="s">
        <v>103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x14ac:dyDescent="0.3">
      <c r="A2" s="2" t="s">
        <v>104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105</v>
      </c>
    </row>
    <row r="3" spans="1:14" x14ac:dyDescent="0.3">
      <c r="A3" s="9" t="s">
        <v>106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3">
      <c r="A4" s="13" t="s">
        <v>1</v>
      </c>
      <c r="B4" s="15">
        <f>'Monthly P&amp;L'!B4</f>
        <v>46700</v>
      </c>
      <c r="C4" s="15">
        <f>'Monthly P&amp;L'!C4</f>
        <v>43900</v>
      </c>
      <c r="D4" s="15">
        <f>'Monthly P&amp;L'!D4</f>
        <v>52000</v>
      </c>
      <c r="E4" s="15">
        <f>'Monthly P&amp;L'!E4</f>
        <v>65000</v>
      </c>
      <c r="F4" s="15">
        <f>'Monthly P&amp;L'!F4</f>
        <v>81000</v>
      </c>
      <c r="G4" s="15">
        <f>'Monthly P&amp;L'!G4</f>
        <v>91000</v>
      </c>
      <c r="H4" s="15">
        <f>'Monthly P&amp;L'!H4</f>
        <v>101000</v>
      </c>
      <c r="I4" s="15">
        <f>'Monthly P&amp;L'!I4</f>
        <v>97000</v>
      </c>
      <c r="J4" s="15">
        <f>'Monthly P&amp;L'!J4</f>
        <v>73000</v>
      </c>
      <c r="K4" s="15">
        <f>'Monthly P&amp;L'!K4</f>
        <v>60100</v>
      </c>
      <c r="L4" s="15">
        <f>'Monthly P&amp;L'!L4</f>
        <v>49600</v>
      </c>
      <c r="M4" s="15">
        <f>'Monthly P&amp;L'!M4</f>
        <v>45600</v>
      </c>
      <c r="N4" s="15">
        <f>SUM(B4:M4)</f>
        <v>805900</v>
      </c>
    </row>
    <row r="5" spans="1:14" x14ac:dyDescent="0.3">
      <c r="A5" s="13" t="s">
        <v>107</v>
      </c>
      <c r="B5" s="50">
        <v>4680</v>
      </c>
      <c r="C5" s="50">
        <v>4390</v>
      </c>
      <c r="D5" s="50">
        <v>5200</v>
      </c>
      <c r="E5" s="50">
        <v>6500</v>
      </c>
      <c r="F5" s="50">
        <v>8100</v>
      </c>
      <c r="G5" s="50">
        <v>9100</v>
      </c>
      <c r="H5" s="50">
        <v>10100</v>
      </c>
      <c r="I5" s="50">
        <v>9700</v>
      </c>
      <c r="J5" s="50">
        <v>7300</v>
      </c>
      <c r="K5" s="50">
        <v>6010</v>
      </c>
      <c r="L5" s="50">
        <v>4960</v>
      </c>
      <c r="M5" s="50">
        <v>4560</v>
      </c>
      <c r="N5" s="51">
        <f>SUM(B5:M5)</f>
        <v>80600</v>
      </c>
    </row>
    <row r="6" spans="1:14" x14ac:dyDescent="0.3">
      <c r="A6" s="13" t="s">
        <v>108</v>
      </c>
      <c r="B6" s="52">
        <f t="shared" ref="B6:N6" si="0">IF(B5=0,0,B4/B5)</f>
        <v>9.9786324786324787</v>
      </c>
      <c r="C6" s="52">
        <f>IF(C5=0,0,C4/C5)</f>
        <v>10</v>
      </c>
      <c r="D6" s="52">
        <f t="shared" si="0"/>
        <v>10</v>
      </c>
      <c r="E6" s="52">
        <f>IF(E5=0,0,E4/E5)</f>
        <v>10</v>
      </c>
      <c r="F6" s="52">
        <f t="shared" si="0"/>
        <v>10</v>
      </c>
      <c r="G6" s="52">
        <f t="shared" si="0"/>
        <v>10</v>
      </c>
      <c r="H6" s="52">
        <f t="shared" si="0"/>
        <v>10</v>
      </c>
      <c r="I6" s="52">
        <f t="shared" si="0"/>
        <v>10</v>
      </c>
      <c r="J6" s="52">
        <f t="shared" si="0"/>
        <v>10</v>
      </c>
      <c r="K6" s="52">
        <f t="shared" si="0"/>
        <v>10</v>
      </c>
      <c r="L6" s="52">
        <f t="shared" si="0"/>
        <v>10</v>
      </c>
      <c r="M6" s="52">
        <f t="shared" si="0"/>
        <v>10</v>
      </c>
      <c r="N6" s="52">
        <f t="shared" si="0"/>
        <v>9.9987593052109176</v>
      </c>
    </row>
    <row r="7" spans="1:14" x14ac:dyDescent="0.3">
      <c r="A7" s="13" t="s">
        <v>109</v>
      </c>
      <c r="B7" s="15">
        <f t="shared" ref="B7:N7" si="1">B4/2</f>
        <v>23350</v>
      </c>
      <c r="C7" s="15">
        <f t="shared" si="1"/>
        <v>21950</v>
      </c>
      <c r="D7" s="15">
        <f t="shared" si="1"/>
        <v>26000</v>
      </c>
      <c r="E7" s="15">
        <f t="shared" si="1"/>
        <v>32500</v>
      </c>
      <c r="F7" s="15">
        <f t="shared" si="1"/>
        <v>40500</v>
      </c>
      <c r="G7" s="15">
        <f t="shared" si="1"/>
        <v>45500</v>
      </c>
      <c r="H7" s="15">
        <f t="shared" si="1"/>
        <v>50500</v>
      </c>
      <c r="I7" s="15">
        <f t="shared" si="1"/>
        <v>48500</v>
      </c>
      <c r="J7" s="15">
        <f t="shared" si="1"/>
        <v>36500</v>
      </c>
      <c r="K7" s="15">
        <f t="shared" si="1"/>
        <v>30050</v>
      </c>
      <c r="L7" s="15">
        <f t="shared" si="1"/>
        <v>24800</v>
      </c>
      <c r="M7" s="15">
        <f t="shared" si="1"/>
        <v>22800</v>
      </c>
      <c r="N7" s="15">
        <f t="shared" si="1"/>
        <v>402950</v>
      </c>
    </row>
    <row r="9" spans="1:14" x14ac:dyDescent="0.3">
      <c r="A9" s="9" t="s">
        <v>110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3">
      <c r="A10" s="13" t="s">
        <v>33</v>
      </c>
      <c r="B10" s="26">
        <f>'Monthly P&amp;L'!B10</f>
        <v>0.67</v>
      </c>
      <c r="C10" s="26">
        <f>'Monthly P&amp;L'!C10</f>
        <v>0.66</v>
      </c>
      <c r="D10" s="26">
        <f>'Monthly P&amp;L'!D10</f>
        <v>0.67</v>
      </c>
      <c r="E10" s="26">
        <f>'Monthly P&amp;L'!E10</f>
        <v>0.68</v>
      </c>
      <c r="F10" s="26">
        <f>'Monthly P&amp;L'!F10</f>
        <v>0.69</v>
      </c>
      <c r="G10" s="26">
        <f>'Monthly P&amp;L'!G10</f>
        <v>0.7</v>
      </c>
      <c r="H10" s="26">
        <f>'Monthly P&amp;L'!H10</f>
        <v>0.71</v>
      </c>
      <c r="I10" s="26">
        <f>'Monthly P&amp;L'!I10</f>
        <v>0.7</v>
      </c>
      <c r="J10" s="26">
        <f>'Monthly P&amp;L'!J10</f>
        <v>0.69</v>
      </c>
      <c r="K10" s="26">
        <f>'Monthly P&amp;L'!K10</f>
        <v>0.67</v>
      </c>
      <c r="L10" s="26">
        <f>'Monthly P&amp;L'!L10</f>
        <v>0.66</v>
      </c>
      <c r="M10" s="26">
        <f>'Monthly P&amp;L'!M10</f>
        <v>0.66</v>
      </c>
      <c r="N10" s="26">
        <f>AVERAGE(B10:M10)</f>
        <v>0.68</v>
      </c>
    </row>
    <row r="11" spans="1:14" x14ac:dyDescent="0.3">
      <c r="A11" s="13" t="s">
        <v>58</v>
      </c>
      <c r="B11" s="26">
        <f>'Monthly P&amp;L'!B19</f>
        <v>0.17372591006423982</v>
      </c>
      <c r="C11" s="26">
        <f>'Monthly P&amp;L'!C19</f>
        <v>0.1444874715261959</v>
      </c>
      <c r="D11" s="26">
        <f>'Monthly P&amp;L'!D19</f>
        <v>0.19807692307692307</v>
      </c>
      <c r="E11" s="26">
        <f>'Monthly P&amp;L'!E19</f>
        <v>0.26384615384615384</v>
      </c>
      <c r="F11" s="26">
        <f>'Monthly P&amp;L'!F19</f>
        <v>0.32049382716049385</v>
      </c>
      <c r="G11" s="26">
        <f>'Monthly P&amp;L'!G19</f>
        <v>0.35362637362637361</v>
      </c>
      <c r="H11" s="26">
        <f>'Monthly P&amp;L'!H19</f>
        <v>0.38415841584158417</v>
      </c>
      <c r="I11" s="26">
        <f>'Monthly P&amp;L'!I19</f>
        <v>0.36350515463917527</v>
      </c>
      <c r="J11" s="26">
        <f>'Monthly P&amp;L'!J19</f>
        <v>0.30205479452054795</v>
      </c>
      <c r="K11" s="26">
        <f>'Monthly P&amp;L'!K19</f>
        <v>0.23861896838602328</v>
      </c>
      <c r="L11" s="26">
        <f>'Monthly P&amp;L'!L19</f>
        <v>0.17637096774193547</v>
      </c>
      <c r="M11" s="26">
        <f>'Monthly P&amp;L'!M19</f>
        <v>0.15289473684210525</v>
      </c>
      <c r="N11" s="26">
        <f>AVERAGE(B11:M11)</f>
        <v>0.25598830810597928</v>
      </c>
    </row>
    <row r="12" spans="1:14" x14ac:dyDescent="0.3">
      <c r="A12" s="13" t="s">
        <v>65</v>
      </c>
      <c r="B12" s="26">
        <f>'Monthly P&amp;L'!B30</f>
        <v>0.33</v>
      </c>
      <c r="C12" s="26">
        <f>'Monthly P&amp;L'!C30</f>
        <v>0.34</v>
      </c>
      <c r="D12" s="26">
        <f>'Monthly P&amp;L'!D30</f>
        <v>0.33</v>
      </c>
      <c r="E12" s="26">
        <f>'Monthly P&amp;L'!E30</f>
        <v>0.32</v>
      </c>
      <c r="F12" s="26">
        <f>'Monthly P&amp;L'!F30</f>
        <v>0.31</v>
      </c>
      <c r="G12" s="26">
        <f>'Monthly P&amp;L'!G30</f>
        <v>0.3</v>
      </c>
      <c r="H12" s="26">
        <f>'Monthly P&amp;L'!H30</f>
        <v>0.28999999999999998</v>
      </c>
      <c r="I12" s="26">
        <f>'Monthly P&amp;L'!I30</f>
        <v>0.3</v>
      </c>
      <c r="J12" s="26">
        <f>'Monthly P&amp;L'!J30</f>
        <v>0.31</v>
      </c>
      <c r="K12" s="26">
        <f>'Monthly P&amp;L'!K30</f>
        <v>0.33</v>
      </c>
      <c r="L12" s="26">
        <f>'Monthly P&amp;L'!L30</f>
        <v>0.34</v>
      </c>
      <c r="M12" s="26">
        <f>'Monthly P&amp;L'!M30</f>
        <v>0.34</v>
      </c>
      <c r="N12" s="26">
        <f>AVERAGE(B12:M12)</f>
        <v>0.32</v>
      </c>
    </row>
    <row r="13" spans="1:14" x14ac:dyDescent="0.3">
      <c r="A13" s="13" t="s">
        <v>66</v>
      </c>
      <c r="B13" s="26">
        <f>'Monthly P&amp;L'!B31</f>
        <v>0.28000000000000003</v>
      </c>
      <c r="C13" s="26">
        <f>'Monthly P&amp;L'!C31</f>
        <v>0.28999999999999998</v>
      </c>
      <c r="D13" s="26">
        <f>'Monthly P&amp;L'!D31</f>
        <v>0.27</v>
      </c>
      <c r="E13" s="26">
        <f>'Monthly P&amp;L'!E31</f>
        <v>0.25</v>
      </c>
      <c r="F13" s="26">
        <f>'Monthly P&amp;L'!F31</f>
        <v>0.23</v>
      </c>
      <c r="G13" s="26">
        <f>'Monthly P&amp;L'!G31</f>
        <v>0.22</v>
      </c>
      <c r="H13" s="26">
        <f>'Monthly P&amp;L'!H31</f>
        <v>0.21</v>
      </c>
      <c r="I13" s="26">
        <f>'Monthly P&amp;L'!I31</f>
        <v>0.22</v>
      </c>
      <c r="J13" s="26">
        <f>'Monthly P&amp;L'!J31</f>
        <v>0.24</v>
      </c>
      <c r="K13" s="26">
        <f>'Monthly P&amp;L'!K31</f>
        <v>0.26</v>
      </c>
      <c r="L13" s="26">
        <f>'Monthly P&amp;L'!L31</f>
        <v>0.28000000000000003</v>
      </c>
      <c r="M13" s="26">
        <f>'Monthly P&amp;L'!M31</f>
        <v>0.28999999999999998</v>
      </c>
      <c r="N13" s="26">
        <f>AVERAGE(B13:M13)</f>
        <v>0.25333333333333335</v>
      </c>
    </row>
    <row r="15" spans="1:14" x14ac:dyDescent="0.3">
      <c r="A15" s="9" t="s">
        <v>111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3">
      <c r="A16" s="13" t="s">
        <v>112</v>
      </c>
      <c r="B16" s="15">
        <f t="shared" ref="B16:M16" si="2">B4/B17</f>
        <v>7783.333333333333</v>
      </c>
      <c r="C16" s="15">
        <f t="shared" si="2"/>
        <v>7316.666666666667</v>
      </c>
      <c r="D16" s="15">
        <f t="shared" si="2"/>
        <v>7428.5714285714284</v>
      </c>
      <c r="E16" s="15">
        <f t="shared" si="2"/>
        <v>8125</v>
      </c>
      <c r="F16" s="15">
        <f t="shared" si="2"/>
        <v>8100</v>
      </c>
      <c r="G16" s="15">
        <f t="shared" si="2"/>
        <v>7583.333333333333</v>
      </c>
      <c r="H16" s="15">
        <f t="shared" si="2"/>
        <v>8416.6666666666661</v>
      </c>
      <c r="I16" s="15">
        <f t="shared" si="2"/>
        <v>8818.181818181818</v>
      </c>
      <c r="J16" s="15">
        <f t="shared" si="2"/>
        <v>8111.1111111111113</v>
      </c>
      <c r="K16" s="15">
        <f t="shared" si="2"/>
        <v>7512.5</v>
      </c>
      <c r="L16" s="15">
        <f t="shared" si="2"/>
        <v>7085.7142857142853</v>
      </c>
      <c r="M16" s="15">
        <f t="shared" si="2"/>
        <v>7600</v>
      </c>
    </row>
    <row r="17" spans="1:14" x14ac:dyDescent="0.3">
      <c r="A17" s="13" t="s">
        <v>113</v>
      </c>
      <c r="B17" s="50">
        <v>6</v>
      </c>
      <c r="C17" s="50">
        <v>6</v>
      </c>
      <c r="D17" s="50">
        <v>7</v>
      </c>
      <c r="E17" s="50">
        <v>8</v>
      </c>
      <c r="F17" s="50">
        <v>10</v>
      </c>
      <c r="G17" s="50">
        <v>12</v>
      </c>
      <c r="H17" s="50">
        <v>12</v>
      </c>
      <c r="I17" s="50">
        <v>11</v>
      </c>
      <c r="J17" s="50">
        <v>9</v>
      </c>
      <c r="K17" s="50">
        <v>8</v>
      </c>
      <c r="L17" s="50">
        <v>7</v>
      </c>
      <c r="M17" s="50">
        <v>6</v>
      </c>
      <c r="N17" s="51">
        <f>MAX(B17:M17)</f>
        <v>12</v>
      </c>
    </row>
    <row r="18" spans="1:14" x14ac:dyDescent="0.3">
      <c r="A18" s="13" t="s">
        <v>114</v>
      </c>
      <c r="B18" s="53">
        <v>8.1999999999999993</v>
      </c>
      <c r="C18" s="53">
        <v>7.9</v>
      </c>
      <c r="D18" s="53">
        <v>8.5</v>
      </c>
      <c r="E18" s="53">
        <v>9.1</v>
      </c>
      <c r="F18" s="53">
        <v>10.199999999999999</v>
      </c>
      <c r="G18" s="53">
        <v>11</v>
      </c>
      <c r="H18" s="53">
        <v>11.5</v>
      </c>
      <c r="I18" s="53">
        <v>10.8</v>
      </c>
      <c r="J18" s="53">
        <v>9.5</v>
      </c>
      <c r="K18" s="53">
        <v>8.8000000000000007</v>
      </c>
      <c r="L18" s="53">
        <v>8.1</v>
      </c>
      <c r="M18" s="53">
        <v>7.8</v>
      </c>
      <c r="N18" s="54">
        <f>AVERAGE(B18:M18)</f>
        <v>9.2833333333333332</v>
      </c>
    </row>
    <row r="20" spans="1:14" x14ac:dyDescent="0.3">
      <c r="A20" s="9" t="s">
        <v>115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3">
      <c r="A21" s="13" t="s">
        <v>59</v>
      </c>
      <c r="B21" t="s">
        <v>60</v>
      </c>
      <c r="C21" s="26">
        <f>'Monthly P&amp;L'!C21</f>
        <v>-5.9957173447537475E-2</v>
      </c>
      <c r="D21" s="26">
        <f>'Monthly P&amp;L'!D21</f>
        <v>0.18451025056947609</v>
      </c>
      <c r="E21" s="26">
        <f>'Monthly P&amp;L'!E21</f>
        <v>0.25</v>
      </c>
      <c r="F21" s="26">
        <f>'Monthly P&amp;L'!F21</f>
        <v>0.24615384615384617</v>
      </c>
      <c r="G21" s="26">
        <f>'Monthly P&amp;L'!G21</f>
        <v>0.12345679012345678</v>
      </c>
      <c r="H21" s="26">
        <f>'Monthly P&amp;L'!H21</f>
        <v>0.10989010989010989</v>
      </c>
      <c r="I21" s="26">
        <f>'Monthly P&amp;L'!I21</f>
        <v>-3.9603960396039604E-2</v>
      </c>
      <c r="J21" s="26">
        <f>'Monthly P&amp;L'!J21</f>
        <v>-0.24742268041237114</v>
      </c>
      <c r="K21" s="26">
        <f>'Monthly P&amp;L'!K21</f>
        <v>-0.17671232876712328</v>
      </c>
      <c r="L21" s="26">
        <f>'Monthly P&amp;L'!L21</f>
        <v>-0.17470881863560733</v>
      </c>
      <c r="M21" s="26">
        <f>'Monthly P&amp;L'!M21</f>
        <v>-8.0645161290322578E-2</v>
      </c>
      <c r="N21" s="26">
        <f>AVERAGE(C21:M21)</f>
        <v>1.2269170344353415E-2</v>
      </c>
    </row>
    <row r="22" spans="1:14" x14ac:dyDescent="0.3">
      <c r="A22" s="13" t="s">
        <v>116</v>
      </c>
      <c r="B22" s="15">
        <f>B4</f>
        <v>46700</v>
      </c>
      <c r="C22" s="15">
        <f t="shared" ref="C22:M22" si="3">B22+C4</f>
        <v>90600</v>
      </c>
      <c r="D22" s="15">
        <f t="shared" si="3"/>
        <v>142600</v>
      </c>
      <c r="E22" s="15">
        <f t="shared" si="3"/>
        <v>207600</v>
      </c>
      <c r="F22" s="15">
        <f t="shared" si="3"/>
        <v>288600</v>
      </c>
      <c r="G22" s="15">
        <f t="shared" si="3"/>
        <v>379600</v>
      </c>
      <c r="H22" s="15">
        <f t="shared" si="3"/>
        <v>480600</v>
      </c>
      <c r="I22" s="15">
        <f t="shared" si="3"/>
        <v>577600</v>
      </c>
      <c r="J22" s="15">
        <f t="shared" si="3"/>
        <v>650600</v>
      </c>
      <c r="K22" s="15">
        <f t="shared" si="3"/>
        <v>710700</v>
      </c>
      <c r="L22" s="15">
        <f t="shared" si="3"/>
        <v>760300</v>
      </c>
      <c r="M22" s="15">
        <f t="shared" si="3"/>
        <v>805900</v>
      </c>
      <c r="N22" s="15">
        <f>M22</f>
        <v>805900</v>
      </c>
    </row>
  </sheetData>
  <mergeCells count="1">
    <mergeCell ref="A1:N1"/>
  </mergeCells>
  <conditionalFormatting sqref="B10:M10">
    <cfRule type="cellIs" dxfId="3" priority="2" operator="greaterThan">
      <formula>0.68</formula>
    </cfRule>
    <cfRule type="cellIs" dxfId="2" priority="3" operator="lessThan">
      <formula>0.65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H13"/>
  <sheetViews>
    <sheetView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4" width="16" customWidth="1"/>
    <col min="5" max="7" width="14" customWidth="1"/>
    <col min="8" max="8" width="22" customWidth="1"/>
  </cols>
  <sheetData>
    <row r="1" spans="1:8" ht="34.5" customHeight="1" x14ac:dyDescent="0.3">
      <c r="A1" s="72" t="s">
        <v>117</v>
      </c>
      <c r="B1" s="72"/>
      <c r="C1" s="72"/>
      <c r="D1" s="72"/>
      <c r="E1" s="72"/>
      <c r="F1" s="72"/>
      <c r="G1" s="72"/>
      <c r="H1" s="72"/>
    </row>
    <row r="2" spans="1:8" x14ac:dyDescent="0.3">
      <c r="A2" s="2" t="s">
        <v>35</v>
      </c>
      <c r="B2" s="2" t="s">
        <v>118</v>
      </c>
      <c r="C2" s="2" t="s">
        <v>119</v>
      </c>
      <c r="D2" s="2" t="s">
        <v>11</v>
      </c>
      <c r="E2" s="2" t="s">
        <v>12</v>
      </c>
      <c r="F2" s="2" t="s">
        <v>13</v>
      </c>
      <c r="G2" s="2" t="s">
        <v>120</v>
      </c>
      <c r="H2" s="2" t="s">
        <v>121</v>
      </c>
    </row>
    <row r="3" spans="1:8" x14ac:dyDescent="0.3">
      <c r="A3" s="55" t="s">
        <v>1</v>
      </c>
      <c r="B3" s="56">
        <v>565000</v>
      </c>
      <c r="C3" s="57">
        <f>'Monthly P&amp;L'!N4</f>
        <v>805900</v>
      </c>
      <c r="D3" s="57">
        <f t="shared" ref="D3:D13" si="0">C3-B3</f>
        <v>240900</v>
      </c>
      <c r="E3" s="58">
        <f t="shared" ref="E3:E13" si="1">IF(B3=0,0,D3/ABS(B3))</f>
        <v>0.42637168141592918</v>
      </c>
      <c r="F3" s="59" t="str">
        <f t="shared" ref="F3:F13" si="2">IF(E3&gt;0.02,"Favorable",IF(E3&lt;-0.02,"Unfavorable","On Track"))</f>
        <v>Favorable</v>
      </c>
      <c r="G3" s="55" t="str">
        <f t="shared" ref="G3:G13" si="3">IF(ABS(E3)&gt;0.1,"HIGH",IF(ABS(E3)&gt;0.05,"MEDIUM","LOW"))</f>
        <v>HIGH</v>
      </c>
      <c r="H3" s="59" t="str">
        <f t="shared" ref="H3:H13" si="4">IF(ABS(E3)&gt;0.05,"Review &amp; adjust forecast","Monitor")</f>
        <v>Review &amp; adjust forecast</v>
      </c>
    </row>
    <row r="4" spans="1:8" x14ac:dyDescent="0.3">
      <c r="A4" s="60" t="s">
        <v>122</v>
      </c>
      <c r="B4" s="61">
        <v>330000</v>
      </c>
      <c r="C4" s="62">
        <f>'Monthly P&amp;L'!N5</f>
        <v>475400</v>
      </c>
      <c r="D4" s="62">
        <f t="shared" si="0"/>
        <v>145400</v>
      </c>
      <c r="E4" s="63">
        <f t="shared" si="1"/>
        <v>0.44060606060606061</v>
      </c>
      <c r="F4" s="64" t="str">
        <f t="shared" si="2"/>
        <v>Favorable</v>
      </c>
      <c r="G4" s="65" t="str">
        <f t="shared" si="3"/>
        <v>HIGH</v>
      </c>
      <c r="H4" s="64" t="str">
        <f t="shared" si="4"/>
        <v>Review &amp; adjust forecast</v>
      </c>
    </row>
    <row r="5" spans="1:8" x14ac:dyDescent="0.3">
      <c r="A5" s="66" t="s">
        <v>123</v>
      </c>
      <c r="B5" s="67">
        <v>235000</v>
      </c>
      <c r="C5" s="68">
        <f>'Monthly P&amp;L'!N6</f>
        <v>330500</v>
      </c>
      <c r="D5" s="68">
        <f t="shared" si="0"/>
        <v>95500</v>
      </c>
      <c r="E5" s="69">
        <f t="shared" si="1"/>
        <v>0.40638297872340423</v>
      </c>
      <c r="F5" s="70" t="str">
        <f t="shared" si="2"/>
        <v>Favorable</v>
      </c>
      <c r="G5" s="71" t="str">
        <f t="shared" si="3"/>
        <v>HIGH</v>
      </c>
      <c r="H5" s="70" t="str">
        <f t="shared" si="4"/>
        <v>Review &amp; adjust forecast</v>
      </c>
    </row>
    <row r="6" spans="1:8" x14ac:dyDescent="0.3">
      <c r="A6" s="60" t="s">
        <v>16</v>
      </c>
      <c r="B6" s="61">
        <v>-178000</v>
      </c>
      <c r="C6" s="62">
        <f>'Monthly P&amp;L'!N7</f>
        <v>-253928</v>
      </c>
      <c r="D6" s="62">
        <f t="shared" si="0"/>
        <v>-75928</v>
      </c>
      <c r="E6" s="63">
        <f t="shared" si="1"/>
        <v>-0.426561797752809</v>
      </c>
      <c r="F6" s="64" t="str">
        <f t="shared" si="2"/>
        <v>Unfavorable</v>
      </c>
      <c r="G6" s="65" t="str">
        <f t="shared" si="3"/>
        <v>HIGH</v>
      </c>
      <c r="H6" s="64" t="str">
        <f t="shared" si="4"/>
        <v>Review &amp; adjust forecast</v>
      </c>
    </row>
    <row r="7" spans="1:8" x14ac:dyDescent="0.3">
      <c r="A7" s="71" t="s">
        <v>17</v>
      </c>
      <c r="B7" s="67">
        <v>387000</v>
      </c>
      <c r="C7" s="68">
        <f>'Monthly P&amp;L'!N8</f>
        <v>551972</v>
      </c>
      <c r="D7" s="68">
        <f t="shared" si="0"/>
        <v>164972</v>
      </c>
      <c r="E7" s="69">
        <f t="shared" si="1"/>
        <v>0.42628423772609819</v>
      </c>
      <c r="F7" s="70" t="str">
        <f t="shared" si="2"/>
        <v>Favorable</v>
      </c>
      <c r="G7" s="71" t="str">
        <f t="shared" si="3"/>
        <v>HIGH</v>
      </c>
      <c r="H7" s="70" t="str">
        <f t="shared" si="4"/>
        <v>Review &amp; adjust forecast</v>
      </c>
    </row>
    <row r="8" spans="1:8" x14ac:dyDescent="0.3">
      <c r="A8" s="60" t="s">
        <v>124</v>
      </c>
      <c r="B8" s="61">
        <v>-111600</v>
      </c>
      <c r="C8" s="62">
        <f>-'Monthly P&amp;L'!N12</f>
        <v>-111600</v>
      </c>
      <c r="D8" s="62">
        <f t="shared" si="0"/>
        <v>0</v>
      </c>
      <c r="E8" s="63">
        <f t="shared" si="1"/>
        <v>0</v>
      </c>
      <c r="F8" s="64" t="str">
        <f t="shared" si="2"/>
        <v>On Track</v>
      </c>
      <c r="G8" s="65" t="str">
        <f t="shared" si="3"/>
        <v>LOW</v>
      </c>
      <c r="H8" s="64" t="str">
        <f t="shared" si="4"/>
        <v>Monitor</v>
      </c>
    </row>
    <row r="9" spans="1:8" x14ac:dyDescent="0.3">
      <c r="A9" s="66" t="s">
        <v>125</v>
      </c>
      <c r="B9" s="67">
        <v>-141250</v>
      </c>
      <c r="C9" s="68">
        <f>-'Monthly P&amp;L'!N13</f>
        <v>-197555</v>
      </c>
      <c r="D9" s="68">
        <f t="shared" si="0"/>
        <v>-56305</v>
      </c>
      <c r="E9" s="69">
        <f t="shared" si="1"/>
        <v>-0.39861946902654866</v>
      </c>
      <c r="F9" s="70" t="str">
        <f t="shared" si="2"/>
        <v>Unfavorable</v>
      </c>
      <c r="G9" s="71" t="str">
        <f t="shared" si="3"/>
        <v>HIGH</v>
      </c>
      <c r="H9" s="70" t="str">
        <f t="shared" si="4"/>
        <v>Review &amp; adjust forecast</v>
      </c>
    </row>
    <row r="10" spans="1:8" x14ac:dyDescent="0.3">
      <c r="A10" s="60" t="s">
        <v>126</v>
      </c>
      <c r="B10" s="61">
        <v>-15000</v>
      </c>
      <c r="C10" s="62">
        <f>-'Monthly P&amp;L'!N14</f>
        <v>-16600</v>
      </c>
      <c r="D10" s="62">
        <f t="shared" si="0"/>
        <v>-1600</v>
      </c>
      <c r="E10" s="63">
        <f t="shared" si="1"/>
        <v>-0.10666666666666667</v>
      </c>
      <c r="F10" s="64" t="str">
        <f t="shared" si="2"/>
        <v>Unfavorable</v>
      </c>
      <c r="G10" s="65" t="str">
        <f t="shared" si="3"/>
        <v>HIGH</v>
      </c>
      <c r="H10" s="64" t="str">
        <f t="shared" si="4"/>
        <v>Review &amp; adjust forecast</v>
      </c>
    </row>
    <row r="11" spans="1:8" x14ac:dyDescent="0.3">
      <c r="A11" s="66" t="s">
        <v>127</v>
      </c>
      <c r="B11" s="67">
        <v>-267850</v>
      </c>
      <c r="C11" s="68">
        <f>'Monthly P&amp;L'!N15</f>
        <v>-325755</v>
      </c>
      <c r="D11" s="68">
        <f t="shared" si="0"/>
        <v>-57905</v>
      </c>
      <c r="E11" s="69">
        <f t="shared" si="1"/>
        <v>-0.21618443158484227</v>
      </c>
      <c r="F11" s="70" t="str">
        <f t="shared" si="2"/>
        <v>Unfavorable</v>
      </c>
      <c r="G11" s="71" t="str">
        <f t="shared" si="3"/>
        <v>HIGH</v>
      </c>
      <c r="H11" s="70" t="str">
        <f t="shared" si="4"/>
        <v>Review &amp; adjust forecast</v>
      </c>
    </row>
    <row r="12" spans="1:8" x14ac:dyDescent="0.3">
      <c r="A12" s="65" t="s">
        <v>57</v>
      </c>
      <c r="B12" s="61">
        <v>119150</v>
      </c>
      <c r="C12" s="62">
        <f>'Monthly P&amp;L'!N17</f>
        <v>226217</v>
      </c>
      <c r="D12" s="62">
        <f t="shared" si="0"/>
        <v>107067</v>
      </c>
      <c r="E12" s="63">
        <f t="shared" si="1"/>
        <v>0.89859001258917326</v>
      </c>
      <c r="F12" s="64" t="str">
        <f t="shared" si="2"/>
        <v>Favorable</v>
      </c>
      <c r="G12" s="65" t="str">
        <f t="shared" si="3"/>
        <v>HIGH</v>
      </c>
      <c r="H12" s="64" t="str">
        <f t="shared" si="4"/>
        <v>Review &amp; adjust forecast</v>
      </c>
    </row>
    <row r="13" spans="1:8" x14ac:dyDescent="0.3">
      <c r="A13" s="55" t="s">
        <v>3</v>
      </c>
      <c r="B13" s="56">
        <v>119150</v>
      </c>
      <c r="C13" s="57">
        <f>'Monthly P&amp;L'!N18</f>
        <v>226217</v>
      </c>
      <c r="D13" s="57">
        <f t="shared" si="0"/>
        <v>107067</v>
      </c>
      <c r="E13" s="58">
        <f t="shared" si="1"/>
        <v>0.89859001258917326</v>
      </c>
      <c r="F13" s="59" t="str">
        <f t="shared" si="2"/>
        <v>Favorable</v>
      </c>
      <c r="G13" s="55" t="str">
        <f t="shared" si="3"/>
        <v>HIGH</v>
      </c>
      <c r="H13" s="59" t="str">
        <f t="shared" si="4"/>
        <v>Review &amp; adjust forecast</v>
      </c>
    </row>
  </sheetData>
  <mergeCells count="1">
    <mergeCell ref="A1:H1"/>
  </mergeCells>
  <conditionalFormatting sqref="E3:E13">
    <cfRule type="cellIs" dxfId="1" priority="2" operator="greaterThan">
      <formula>0.02</formula>
    </cfRule>
    <cfRule type="cellIs" dxfId="0" priority="3" operator="lessThan">
      <formula>-0.02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04040"/>
  </sheetPr>
  <dimension ref="A1:E14"/>
  <sheetViews>
    <sheetView zoomScaleNormal="100" workbookViewId="0"/>
  </sheetViews>
  <sheetFormatPr defaultColWidth="8.6640625" defaultRowHeight="14.4" x14ac:dyDescent="0.3"/>
  <cols>
    <col min="1" max="1" width="22" customWidth="1"/>
    <col min="2" max="5" width="25" customWidth="1"/>
  </cols>
  <sheetData>
    <row r="1" spans="1:5" ht="34.5" customHeight="1" x14ac:dyDescent="0.3">
      <c r="A1" s="72" t="s">
        <v>128</v>
      </c>
      <c r="B1" s="72"/>
      <c r="C1" s="72"/>
      <c r="D1" s="72"/>
      <c r="E1" s="72"/>
    </row>
    <row r="3" spans="1:5" ht="34.5" customHeight="1" x14ac:dyDescent="0.3">
      <c r="A3" s="1" t="s">
        <v>129</v>
      </c>
      <c r="B3" s="85" t="s">
        <v>130</v>
      </c>
      <c r="C3" s="85"/>
      <c r="D3" s="85"/>
      <c r="E3" s="85"/>
    </row>
    <row r="4" spans="1:5" ht="34.5" customHeight="1" x14ac:dyDescent="0.3">
      <c r="A4" s="1" t="s">
        <v>131</v>
      </c>
      <c r="B4" s="85" t="s">
        <v>132</v>
      </c>
      <c r="C4" s="85"/>
      <c r="D4" s="85"/>
      <c r="E4" s="85"/>
    </row>
    <row r="5" spans="1:5" ht="34.5" customHeight="1" x14ac:dyDescent="0.3">
      <c r="A5" s="1" t="s">
        <v>133</v>
      </c>
      <c r="B5" s="85" t="s">
        <v>134</v>
      </c>
      <c r="C5" s="85"/>
      <c r="D5" s="85"/>
      <c r="E5" s="85"/>
    </row>
    <row r="6" spans="1:5" ht="34.5" customHeight="1" x14ac:dyDescent="0.3">
      <c r="A6" s="1" t="s">
        <v>135</v>
      </c>
      <c r="B6" s="85" t="s">
        <v>136</v>
      </c>
      <c r="C6" s="85"/>
      <c r="D6" s="85"/>
      <c r="E6" s="85"/>
    </row>
    <row r="7" spans="1:5" ht="34.5" customHeight="1" x14ac:dyDescent="0.3">
      <c r="A7" s="1" t="s">
        <v>137</v>
      </c>
      <c r="B7" s="85" t="s">
        <v>138</v>
      </c>
      <c r="C7" s="85"/>
      <c r="D7" s="85"/>
      <c r="E7" s="85"/>
    </row>
    <row r="8" spans="1:5" ht="34.5" customHeight="1" x14ac:dyDescent="0.3">
      <c r="A8" s="1" t="s">
        <v>139</v>
      </c>
      <c r="B8" s="85" t="s">
        <v>140</v>
      </c>
      <c r="C8" s="85"/>
      <c r="D8" s="85"/>
      <c r="E8" s="85"/>
    </row>
    <row r="9" spans="1:5" ht="34.5" customHeight="1" x14ac:dyDescent="0.3">
      <c r="A9" s="1" t="s">
        <v>141</v>
      </c>
      <c r="B9" s="85" t="s">
        <v>142</v>
      </c>
      <c r="C9" s="85"/>
      <c r="D9" s="85"/>
      <c r="E9" s="85"/>
    </row>
    <row r="10" spans="1:5" ht="34.5" customHeight="1" x14ac:dyDescent="0.3">
      <c r="A10" s="1" t="s">
        <v>143</v>
      </c>
      <c r="B10" s="85" t="s">
        <v>144</v>
      </c>
      <c r="C10" s="85"/>
      <c r="D10" s="85"/>
      <c r="E10" s="85"/>
    </row>
    <row r="11" spans="1:5" ht="34.5" customHeight="1" x14ac:dyDescent="0.3">
      <c r="A11" s="1" t="s">
        <v>145</v>
      </c>
      <c r="B11" s="85" t="s">
        <v>146</v>
      </c>
      <c r="C11" s="85"/>
      <c r="D11" s="85"/>
      <c r="E11" s="85"/>
    </row>
    <row r="12" spans="1:5" ht="34.5" customHeight="1" x14ac:dyDescent="0.3">
      <c r="A12" s="1" t="s">
        <v>147</v>
      </c>
      <c r="B12" s="85" t="s">
        <v>148</v>
      </c>
      <c r="C12" s="85"/>
      <c r="D12" s="85"/>
      <c r="E12" s="85"/>
    </row>
    <row r="13" spans="1:5" ht="34.5" customHeight="1" x14ac:dyDescent="0.3">
      <c r="A13" s="1" t="s">
        <v>149</v>
      </c>
      <c r="B13" s="85" t="s">
        <v>150</v>
      </c>
      <c r="C13" s="85"/>
      <c r="D13" s="85"/>
      <c r="E13" s="85"/>
    </row>
    <row r="14" spans="1:5" ht="34.5" customHeight="1" x14ac:dyDescent="0.3">
      <c r="A14" s="1" t="s">
        <v>151</v>
      </c>
      <c r="B14" s="85" t="s">
        <v>152</v>
      </c>
      <c r="C14" s="85"/>
      <c r="D14" s="85"/>
      <c r="E14" s="85"/>
    </row>
  </sheetData>
  <mergeCells count="13">
    <mergeCell ref="A1:E1"/>
    <mergeCell ref="B3:E3"/>
    <mergeCell ref="B4:E4"/>
    <mergeCell ref="B5:E5"/>
    <mergeCell ref="B6:E6"/>
    <mergeCell ref="B12:E12"/>
    <mergeCell ref="B13:E13"/>
    <mergeCell ref="B14:E14"/>
    <mergeCell ref="B7:E7"/>
    <mergeCell ref="B8:E8"/>
    <mergeCell ref="B9:E9"/>
    <mergeCell ref="B10:E10"/>
    <mergeCell ref="B11:E11"/>
  </mergeCells>
  <pageMargins left="0.75" right="0.75" top="1" bottom="1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D6C76F84398A41A53A60C07F81A9B5" ma:contentTypeVersion="6" ma:contentTypeDescription="Create a new document." ma:contentTypeScope="" ma:versionID="c91096c1c8612838bebadade59160af2">
  <xsd:schema xmlns:xsd="http://www.w3.org/2001/XMLSchema" xmlns:xs="http://www.w3.org/2001/XMLSchema" xmlns:p="http://schemas.microsoft.com/office/2006/metadata/properties" xmlns:ns3="f3452750-bd6e-4faa-8be9-b44469fa6588" targetNamespace="http://schemas.microsoft.com/office/2006/metadata/properties" ma:root="true" ma:fieldsID="df44778161682ae429ee3d6470084482" ns3:_="">
    <xsd:import namespace="f3452750-bd6e-4faa-8be9-b44469fa65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52750-bd6e-4faa-8be9-b44469fa65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452750-bd6e-4faa-8be9-b44469fa65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841C6E-50A1-456B-A165-CBF9C741AA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52750-bd6e-4faa-8be9-b44469fa6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E50AFD-36FC-4A8B-BD76-D1B4D1C58C87}">
  <ds:schemaRefs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f3452750-bd6e-4faa-8be9-b44469fa6588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6D2F3BF-B83A-496F-80B6-F8857E66B1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Monthly P&amp;L</vt:lpstr>
      <vt:lpstr>Cash Flow</vt:lpstr>
      <vt:lpstr>Margin Sensitivity</vt:lpstr>
      <vt:lpstr>KPI Tracker</vt:lpstr>
      <vt:lpstr>Variance Analysis</vt:lpstr>
      <vt:lpstr>Notes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Anis Bouchema</cp:lastModifiedBy>
  <cp:revision>1</cp:revision>
  <dcterms:created xsi:type="dcterms:W3CDTF">2026-02-13T23:29:22Z</dcterms:created>
  <dcterms:modified xsi:type="dcterms:W3CDTF">2026-02-22T19:20:45Z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0x0101003ED6C76F84398A41A53A60C07F81A9B5</vt:lpwstr>
  </property>
</Properties>
</file>