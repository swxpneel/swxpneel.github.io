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IMPORT" sheetId="2" state="visible" r:id="rId4"/>
    <sheet name="SETTINGS" sheetId="3" state="visible" r:id="rId5"/>
    <sheet name="ITEM_MASTER_CLEAN" sheetId="4" state="visible" r:id="rId6"/>
    <sheet name="DEMAND_MODEL" sheetId="5" state="visible" r:id="rId7"/>
    <sheet name="PAR_LEVELS" sheetId="6" state="visible" r:id="rId8"/>
    <sheet name="REBALANCE_PLAN" sheetId="7" state="visible" r:id="rId9"/>
    <sheet name="LOW_CASH_MODE" sheetId="8" state="visible" r:id="rId10"/>
    <sheet name="SHARED_BULK_LEDGER" sheetId="9" state="visible" r:id="rId11"/>
    <sheet name="SETTLEMENT_SUMMARY" sheetId="10" state="visible" r:id="rId12"/>
    <sheet name="SUPPLIER_ORDER_PLAN" sheetId="11" state="visible" r:id="rId13"/>
    <sheet name="INV_VALUE_HEALTH" sheetId="12" state="visible" r:id="rId14"/>
    <sheet name="DASHBOARD" sheetId="13" state="visible" r:id="rId15"/>
    <sheet name="DATA_ISSUES" sheetId="14" state="visible" r:id="rId16"/>
  </sheets>
  <definedNames>
    <definedName function="false" hidden="false" name="CashCap" vbProcedure="false">SETTINGS!$B$7</definedName>
    <definedName function="false" hidden="false" name="LeadTime" vbProcedure="false">SETTINGS!$B$3</definedName>
    <definedName function="false" hidden="false" name="LowCashMode" vbProcedure="false">SETTINGS!$B$6</definedName>
    <definedName function="false" hidden="false" name="ReorderCycle" vbProcedure="false">SETTINGS!$B$4</definedName>
    <definedName function="false" hidden="false" name="SafetyDays" vbProcedure="false">SETTINGS!$B$5</definedName>
    <definedName function="false" hidden="false" name="SlowMoverCap" vbProcedure="false">SETTINGS!$B$9</definedName>
    <definedName function="false" hidden="false" name="TransferMin" vbProcedure="false">SETTINGS!$B$8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<sst xmlns="http://schemas.openxmlformats.org/spreadsheetml/2006/main" count="1897" uniqueCount="682">
  <si>
    <t xml:space="preserve">LA DIPERIE — Dual-Location Inventory Optimization Workbook</t>
  </si>
  <si>
    <t xml:space="preserve">WHAT THIS WORKBOOK DOES</t>
  </si>
  <si>
    <t xml:space="preserve">Coordinates inventory across Oakville and High Park: calculates par levels,</t>
  </si>
  <si>
    <t xml:space="preserve">suggests transfers between stores, plans purchases, enforces cash caps in</t>
  </si>
  <si>
    <t xml:space="preserve">Low Cash Mode, tracks shared bulk purchases, and settles costs between locations.</t>
  </si>
  <si>
    <t xml:space="preserve">⚠ SIMULATED DATA LOADED</t>
  </si>
  <si>
    <t xml:space="preserve">This workbook contains realistic simulated data for all 262 items. Unit costs,</t>
  </si>
  <si>
    <t xml:space="preserve">on-hand quantities, and weekly usage are estimates typical of a La Diperie-style</t>
  </si>
  <si>
    <t xml:space="preserve">ice cream dip shop. Replace the blue cells with your real numbers over time.</t>
  </si>
  <si>
    <t xml:space="preserve">HOW TO USE — 5 STEPS</t>
  </si>
  <si>
    <t xml:space="preserve">1. Review ITEM_MASTER_CLEAN: Simulated costs &amp; on-hand are pre-filled. Update to actuals.</t>
  </si>
  <si>
    <t xml:space="preserve">2. Adjust SETTINGS: Lead time (3d), reorder cycle (7d), safety (3d), category speeds.</t>
  </si>
  <si>
    <t xml:space="preserve">3. Review DEMAND_MODEL: Weekly usage is pre-filled. Override for items you track.</t>
  </si>
  <si>
    <t xml:space="preserve">4. Check REBALANCE_PLAN: Transfer and purchase suggestions are live.</t>
  </si>
  <si>
    <t xml:space="preserve">5. Log shared purchases in SHARED_BULK_LEDGER → check SETTLEMENT_SUMMARY.</t>
  </si>
  <si>
    <t xml:space="preserve">DEFINITIONS</t>
  </si>
  <si>
    <t xml:space="preserve">Par Level: Target inventory = Avg Daily Usage × (Lead Time + Reorder Cycle + Safety Days)</t>
  </si>
  <si>
    <t xml:space="preserve">Safety Stock: Buffer to prevent stockouts = Avg Daily Usage × Safety Days.</t>
  </si>
  <si>
    <t xml:space="preserve">Transfer: Moving surplus from one location to the other to avoid a purchase.</t>
  </si>
  <si>
    <t xml:space="preserve">Allocation: How shared bulk costs are split (fixed %, units, or usage ratio).</t>
  </si>
  <si>
    <t xml:space="preserve">Settlement: Net amount one location owes the other after all shared costs.</t>
  </si>
  <si>
    <t xml:space="preserve">COLOR CODING</t>
  </si>
  <si>
    <t xml:space="preserve">Blue text = Editable inputs (pre-filled with simulated data)</t>
  </si>
  <si>
    <t xml:space="preserve">Green text = Formulas pulling from other sheets</t>
  </si>
  <si>
    <t xml:space="preserve">Red background = Understock / missing / urgent</t>
  </si>
  <si>
    <t xml:space="preserve">Yellow background = Overstock / attention needed</t>
  </si>
  <si>
    <t xml:space="preserve">Green background = On-target / healthy</t>
  </si>
  <si>
    <t xml:space="preserve">Line</t>
  </si>
  <si>
    <t xml:space="preserve">Qty</t>
  </si>
  <si>
    <t xml:space="preserve">Description</t>
  </si>
  <si>
    <t xml:space="preserve">Brand</t>
  </si>
  <si>
    <t xml:space="preserve">Format</t>
  </si>
  <si>
    <t xml:space="preserve">Code</t>
  </si>
  <si>
    <t xml:space="preserve">9 CAKE WHITE LAYER 8" 24X354G</t>
  </si>
  <si>
    <t xml:space="preserve">RICH</t>
  </si>
  <si>
    <t xml:space="preserve">24X354GM</t>
  </si>
  <si>
    <t xml:space="preserve">9 CAKE CHOC LAYER 8" 24X354G</t>
  </si>
  <si>
    <t xml:space="preserve">ICING PRE-WHIPPED VANILLA 6.8K</t>
  </si>
  <si>
    <t xml:space="preserve">6.8KG</t>
  </si>
  <si>
    <t xml:space="preserve">LADIP LABEL CHOCOLATE CAKE 1RLX50UN</t>
  </si>
  <si>
    <t xml:space="preserve">LA DIPERIE</t>
  </si>
  <si>
    <t xml:space="preserve">1RLX50UN</t>
  </si>
  <si>
    <t xml:space="preserve">LADIP LABEL BIRTHDAY CAKE 1RLX50UN</t>
  </si>
  <si>
    <t xml:space="preserve">LADIP LABEL COOKIE &amp; CREAM CAKE 1RL</t>
  </si>
  <si>
    <t xml:space="preserve">LADIP LABEL SALTD CARAMEL CAKE 1RL</t>
  </si>
  <si>
    <t xml:space="preserve">LADIP LABEL STRABERRY CAKE 1RLX50UN</t>
  </si>
  <si>
    <t xml:space="preserve">CAKE CARDBOARD 8" BLCK GOLD 100</t>
  </si>
  <si>
    <t xml:space="preserve">CAPITALE</t>
  </si>
  <si>
    <t xml:space="preserve">100UN</t>
  </si>
  <si>
    <t xml:space="preserve">ACETATE ROLL 3.5"X1250" 4MM 1RL</t>
  </si>
  <si>
    <t xml:space="preserve">1RL</t>
  </si>
  <si>
    <t xml:space="preserve">CAKE CUPCAKE BLACKOUT 8X4UN</t>
  </si>
  <si>
    <t xml:space="preserve">COV CAKES</t>
  </si>
  <si>
    <t xml:space="preserve">8X4UN</t>
  </si>
  <si>
    <t xml:space="preserve">CAKE CUPCAKE RED VELVET 8X4UN</t>
  </si>
  <si>
    <t xml:space="preserve">CAKE CUPCAKE VANILLA BEAN 8X4UN</t>
  </si>
  <si>
    <t xml:space="preserve">CAKE CHEESE ORIGINAL 6X6"</t>
  </si>
  <si>
    <t xml:space="preserve">6X6"</t>
  </si>
  <si>
    <t xml:space="preserve">CAKE CHEESE WHT CHOC/RASP 6X6"</t>
  </si>
  <si>
    <t xml:space="preserve">CAKE CHEESE CHOC MOUSSE 6X6"</t>
  </si>
  <si>
    <t xml:space="preserve">CAKE CHEESE CAKE FACTORY 2X14UN</t>
  </si>
  <si>
    <t xml:space="preserve">C.CAKES CO</t>
  </si>
  <si>
    <t xml:space="preserve">2X14UN</t>
  </si>
  <si>
    <t xml:space="preserve">CAKE CHEESE MANGO LIME X2</t>
  </si>
  <si>
    <t xml:space="preserve">X2</t>
  </si>
  <si>
    <t xml:space="preserve">CAKE CHEESE CINNABON X2</t>
  </si>
  <si>
    <t xml:space="preserve">CAKE GODIVA DBL CHOC CHEESE 2X28PC</t>
  </si>
  <si>
    <t xml:space="preserve">C.CAKES</t>
  </si>
  <si>
    <t xml:space="preserve">2UN</t>
  </si>
  <si>
    <t xml:space="preserve">CAKE CHEESE OREO X2</t>
  </si>
  <si>
    <t xml:space="preserve">CAKE CHEESE BANANA FOSTER X2</t>
  </si>
  <si>
    <t xml:space="preserve">CAKE CHEESE WILD STRWBERRY X2</t>
  </si>
  <si>
    <t xml:space="preserve">CAKE CHEESE DULCE DE LECHE X2</t>
  </si>
  <si>
    <t xml:space="preserve">CAKE REESE P.BUTTER CHOC 2X28PC</t>
  </si>
  <si>
    <t xml:space="preserve">CAKE CHEESE RED VELVET X2</t>
  </si>
  <si>
    <t xml:space="preserve">CAKE CHEESE TUXEDO MOUSSE X2</t>
  </si>
  <si>
    <t xml:space="preserve">CAKE WHITE CHOC RSPBRY CHEESE X2</t>
  </si>
  <si>
    <t xml:space="preserve">X2UN</t>
  </si>
  <si>
    <t xml:space="preserve">BISC DOUGH OREO V-VIT0013V 5K</t>
  </si>
  <si>
    <t xml:space="preserve">VITACUIRE</t>
  </si>
  <si>
    <t xml:space="preserve">5KG</t>
  </si>
  <si>
    <t xml:space="preserve">BISC DOUGH BLK CHOCO MED SWEET 5K</t>
  </si>
  <si>
    <t xml:space="preserve">BISC DOUGH DBL CHOCO PAIL 5K</t>
  </si>
  <si>
    <t xml:space="preserve">Bisc PUCK Dbl Choc 160x2oz</t>
  </si>
  <si>
    <t xml:space="preserve">ARYZTA</t>
  </si>
  <si>
    <t xml:space="preserve">160X2OZ</t>
  </si>
  <si>
    <t xml:space="preserve">Bisc PUCK ChocBln/Maca 160x2oz</t>
  </si>
  <si>
    <t xml:space="preserve">ASPIRE</t>
  </si>
  <si>
    <t xml:space="preserve">160X57GM</t>
  </si>
  <si>
    <t xml:space="preserve">Bisc PUCK ChocChunk 160x2oz</t>
  </si>
  <si>
    <t xml:space="preserve">SWT DISCOV</t>
  </si>
  <si>
    <t xml:space="preserve">160X50GM</t>
  </si>
  <si>
    <t xml:space="preserve">MTY TREAT FOR DOGS 24UN</t>
  </si>
  <si>
    <t xml:space="preserve">S.GLACES</t>
  </si>
  <si>
    <t xml:space="preserve">24UN</t>
  </si>
  <si>
    <t xml:space="preserve">BISC LOTUS BISCOFF 10X250G</t>
  </si>
  <si>
    <t xml:space="preserve">EURO-EXCEL</t>
  </si>
  <si>
    <t xml:space="preserve">10X250GM</t>
  </si>
  <si>
    <t xml:space="preserve">DONUT REGULAR 00726  140X28G</t>
  </si>
  <si>
    <t xml:space="preserve">140X28GM</t>
  </si>
  <si>
    <t xml:space="preserve">DONUT MINI VANILLA 2442 300X12G</t>
  </si>
  <si>
    <t xml:space="preserve">DBA EXPRES</t>
  </si>
  <si>
    <t xml:space="preserve">300X12GM</t>
  </si>
  <si>
    <t xml:space="preserve">MTY CHOC FF 3100051  5X1L</t>
  </si>
  <si>
    <t xml:space="preserve">MTY</t>
  </si>
  <si>
    <t xml:space="preserve">5X1LT</t>
  </si>
  <si>
    <t xml:space="preserve">SCE CARAMEL REG MCL 5X1L</t>
  </si>
  <si>
    <t xml:space="preserve">BERTHELET</t>
  </si>
  <si>
    <t xml:space="preserve">MTY fraise fr flow 10x1L</t>
  </si>
  <si>
    <t xml:space="preserve">10X1LT</t>
  </si>
  <si>
    <t xml:space="preserve">SPICE CINNAMON GRND 400G</t>
  </si>
  <si>
    <t xml:space="preserve">400GM</t>
  </si>
  <si>
    <t xml:space="preserve">SUGAR SPECIAL FINE K 1X2K</t>
  </si>
  <si>
    <t xml:space="preserve">LANTIC</t>
  </si>
  <si>
    <t xml:space="preserve">2KG</t>
  </si>
  <si>
    <t xml:space="preserve">SUGAR ICING K 1X1K</t>
  </si>
  <si>
    <t xml:space="preserve">SUNBEC</t>
  </si>
  <si>
    <t xml:space="preserve">1KG</t>
  </si>
  <si>
    <t xml:space="preserve">CREPE DUTCH 105498 100X63G</t>
  </si>
  <si>
    <t xml:space="preserve">CERELIA</t>
  </si>
  <si>
    <t xml:space="preserve">100X63GM</t>
  </si>
  <si>
    <t xml:space="preserve">WAFFLE BELGIAN VAN IND.WRAP 80X70G</t>
  </si>
  <si>
    <t xml:space="preserve">BEL GAUFRE</t>
  </si>
  <si>
    <t xml:space="preserve">80X70GM</t>
  </si>
  <si>
    <t xml:space="preserve">CHOC FONDANT BKD V-FX956 32X105G</t>
  </si>
  <si>
    <t xml:space="preserve">32X105GM</t>
  </si>
  <si>
    <t xml:space="preserve">LADIP CAKE MARSHMELLOW C.DOUGH X2</t>
  </si>
  <si>
    <t xml:space="preserve">FAIRFIELD</t>
  </si>
  <si>
    <t xml:space="preserve">LADIP CAKE CARNIVAL 10" X2</t>
  </si>
  <si>
    <t xml:space="preserve">D.COOKIES</t>
  </si>
  <si>
    <t xml:space="preserve">LADIP CAKE RAINBOW X2</t>
  </si>
  <si>
    <t xml:space="preserve">BROWNIE PLAIN 10" 14PC X2</t>
  </si>
  <si>
    <t xml:space="preserve">KILO</t>
  </si>
  <si>
    <t xml:space="preserve">14PC</t>
  </si>
  <si>
    <t xml:space="preserve">CAKE CARROT BEAUX 10" 14PC</t>
  </si>
  <si>
    <t xml:space="preserve">2.4KG</t>
  </si>
  <si>
    <t xml:space="preserve">CAKE REODELIGHT 10" 16PC</t>
  </si>
  <si>
    <t xml:space="preserve">2.8KG</t>
  </si>
  <si>
    <t xml:space="preserve">CAKE TIRAMISU 9" 12PC</t>
  </si>
  <si>
    <t xml:space="preserve">1.3KG</t>
  </si>
  <si>
    <t xml:space="preserve">CAKE RED VELVET 10" 14PC  X1</t>
  </si>
  <si>
    <t xml:space="preserve">1UN</t>
  </si>
  <si>
    <t xml:space="preserve">*NOUVEAU - gât choc décadent 6" 6un</t>
  </si>
  <si>
    <t xml:space="preserve">6UN</t>
  </si>
  <si>
    <t xml:space="preserve">*NOUVEAU - gât choc-noiset. 6" 6un</t>
  </si>
  <si>
    <t xml:space="preserve">*NOUVEAU - gât Mangue Msse 6" 6un</t>
  </si>
  <si>
    <t xml:space="preserve">LADIP CAKE RED BERRY MOUSSE 6" 6UN</t>
  </si>
  <si>
    <t xml:space="preserve">*NOUVEAU -gât d'anniversaire 6"6un</t>
  </si>
  <si>
    <t xml:space="preserve">PIE KEY LIME GRAHAM 10" KILO 12PC</t>
  </si>
  <si>
    <t xml:space="preserve">1X10"</t>
  </si>
  <si>
    <t xml:space="preserve">LC ICE CRM MIX VANILLA 2X10L</t>
  </si>
  <si>
    <t xml:space="preserve">NATREL</t>
  </si>
  <si>
    <t xml:space="preserve">2X10LT</t>
  </si>
  <si>
    <t xml:space="preserve">LADIP MANGO S/SERVE VEGAN 8X1.89L</t>
  </si>
  <si>
    <t xml:space="preserve">8X1.89LT</t>
  </si>
  <si>
    <t xml:space="preserve">LC ICE CRM MIX CHOCOLATE 2X10L</t>
  </si>
  <si>
    <t xml:space="preserve">BEV MILKSHAKE CARAMILK 12X310ML</t>
  </si>
  <si>
    <t xml:space="preserve">SAPUTO</t>
  </si>
  <si>
    <t xml:space="preserve">12X310ML</t>
  </si>
  <si>
    <t xml:space="preserve">BEV MILKSHAKE COFFE CRISP 12X473ML</t>
  </si>
  <si>
    <t xml:space="preserve">12X473ML</t>
  </si>
  <si>
    <t xml:space="preserve">PRVT MILK HOMO 2L</t>
  </si>
  <si>
    <t xml:space="preserve">2LT</t>
  </si>
  <si>
    <t xml:space="preserve">PRVT MILK CHOCOLATE 2L</t>
  </si>
  <si>
    <t xml:space="preserve">PRVT MILK STRAWBERRY 473ML</t>
  </si>
  <si>
    <t xml:space="preserve">473ML</t>
  </si>
  <si>
    <t xml:space="preserve">WHIP CREAM AEROSOL 19% 12X225G</t>
  </si>
  <si>
    <t xml:space="preserve">12X225GM</t>
  </si>
  <si>
    <t xml:space="preserve">DIPP CUP 16OZ PL 31016MTYL PP* 1M</t>
  </si>
  <si>
    <t xml:space="preserve">POLAR</t>
  </si>
  <si>
    <t xml:space="preserve">20X50UN</t>
  </si>
  <si>
    <t xml:space="preserve">Couv. Plat 16oz 10x100 units</t>
  </si>
  <si>
    <t xml:space="preserve">POLARPAK</t>
  </si>
  <si>
    <t xml:space="preserve">10X100UN</t>
  </si>
  <si>
    <t xml:space="preserve">LID 16 OZ DOME W/SPOON HOLE PP X100</t>
  </si>
  <si>
    <t xml:space="preserve">Montreal paper cup 16oz</t>
  </si>
  <si>
    <t xml:space="preserve">SERV-A INC</t>
  </si>
  <si>
    <t xml:space="preserve">1M</t>
  </si>
  <si>
    <t xml:space="preserve">Montreal 16oz flat lid</t>
  </si>
  <si>
    <t xml:space="preserve">1000UN</t>
  </si>
  <si>
    <t xml:space="preserve">Montreal 16oz dome lids</t>
  </si>
  <si>
    <t xml:space="preserve">CALIBRE</t>
  </si>
  <si>
    <t xml:space="preserve">STRAW 10" PAP  BLK JUMBO 8MM WRP 2M</t>
  </si>
  <si>
    <t xml:space="preserve">GRN CIRCLE</t>
  </si>
  <si>
    <t xml:space="preserve">2000UN</t>
  </si>
  <si>
    <t xml:space="preserve">STRAW 7.75"PAPER S/J 8MM BLK WRP 2M</t>
  </si>
  <si>
    <t xml:space="preserve">STRAW 8.5" BBL/TEA 12MM WH/PAP 2M</t>
  </si>
  <si>
    <t xml:space="preserve">GREEN CIRC</t>
  </si>
  <si>
    <t xml:space="preserve">Nouv CRM GLC BISC MONSTRE 11.4L</t>
  </si>
  <si>
    <t xml:space="preserve">C.SMITH</t>
  </si>
  <si>
    <t xml:space="preserve">11.4LT</t>
  </si>
  <si>
    <t xml:space="preserve">ICE CREAM CHOCOLATE 11.4L</t>
  </si>
  <si>
    <t xml:space="preserve">COATICOOK</t>
  </si>
  <si>
    <t xml:space="preserve">ICE CREAM COTTON CANDY 11449 11.4L</t>
  </si>
  <si>
    <t xml:space="preserve">ICE CREAM COOKIE/CRM 11438 11.4L</t>
  </si>
  <si>
    <t xml:space="preserve">ICE CREAM CHOC BROWNIE 11446 11.4L</t>
  </si>
  <si>
    <t xml:space="preserve">ICE CREAM PRALN/CRM 11440 11.4L</t>
  </si>
  <si>
    <t xml:space="preserve">ICE CREAM RIBAMBL 3-COL 11429 11.4L</t>
  </si>
  <si>
    <t xml:space="preserve">ICE CREAM MAPLE TAFFY 11426 11.4L</t>
  </si>
  <si>
    <t xml:space="preserve">ICE CREAM VANILLA 11401 11.4L</t>
  </si>
  <si>
    <t xml:space="preserve">11,4L</t>
  </si>
  <si>
    <t xml:space="preserve">ICE CRM COOKIE DGH/CHOC FUDGE 11.4L</t>
  </si>
  <si>
    <t xml:space="preserve">ICE CREAM MINT CHOC CHIP  11.4L</t>
  </si>
  <si>
    <t xml:space="preserve">ICE CRM CHOC/CHERRY/AMARETTO 11.4L</t>
  </si>
  <si>
    <t xml:space="preserve">ICE CRM DBL STRAWBERRY 11407 11.4L</t>
  </si>
  <si>
    <t xml:space="preserve">ICE CRM SALTED CARAMEL 11445 11.4L</t>
  </si>
  <si>
    <t xml:space="preserve">ICE CREAM PISTACHIO 11416 11.4L</t>
  </si>
  <si>
    <t xml:space="preserve">LC ICE CRM PCN/CARAM/FDG11435 11.4L</t>
  </si>
  <si>
    <t xml:space="preserve">ICE CREAM BUBBLE GUM 11413 11.4L</t>
  </si>
  <si>
    <t xml:space="preserve">ICE CREAM MANGO 851 11.4L</t>
  </si>
  <si>
    <t xml:space="preserve">ICE CREAM RHUM&amp;RAISIN 11.4L</t>
  </si>
  <si>
    <t xml:space="preserve">ICE CREAM CHERRY CHEESECAKE 11.4L</t>
  </si>
  <si>
    <t xml:space="preserve">SORBET LEMON LIME 152 11.4L</t>
  </si>
  <si>
    <t xml:space="preserve">SORBET STRAWBERRY 162 11.4L</t>
  </si>
  <si>
    <t xml:space="preserve">SHERBERT WATERMELON 860 11.4L</t>
  </si>
  <si>
    <t xml:space="preserve">SORBET PEACH 11.4L</t>
  </si>
  <si>
    <t xml:space="preserve">MONSTER COOKIE ICE CRM BAR 8X4UN</t>
  </si>
  <si>
    <t xml:space="preserve">CENT SMITH</t>
  </si>
  <si>
    <t xml:space="preserve">BAR VEGAN CHOC SV20214 24UN</t>
  </si>
  <si>
    <t xml:space="preserve">BAR VEGAN VANIL SV20114 24UN</t>
  </si>
  <si>
    <t xml:space="preserve">MTY DIP 56% CHOCOLATE 6X1K</t>
  </si>
  <si>
    <t xml:space="preserve">6X1KG</t>
  </si>
  <si>
    <t xml:space="preserve">MTY DIP 70% DARK CHOC 6X1K</t>
  </si>
  <si>
    <t xml:space="preserve">MTY DIP BANANA 6X1K</t>
  </si>
  <si>
    <t xml:space="preserve">MTY DIP PEANUT BUTTER 6X1K</t>
  </si>
  <si>
    <t xml:space="preserve">MTY DIP MAPLE 6X1K</t>
  </si>
  <si>
    <t xml:space="preserve">MTY GROUP</t>
  </si>
  <si>
    <t xml:space="preserve">MTY DIP WHITE 6X1K</t>
  </si>
  <si>
    <t xml:space="preserve">MTY DIP CARAMEL ET SEL 6X1K</t>
  </si>
  <si>
    <t xml:space="preserve">MTY DIP CHOC CARAMEL PECAN 6X1K</t>
  </si>
  <si>
    <t xml:space="preserve">MTY DIP DULCE DE LECHE 6X1K</t>
  </si>
  <si>
    <t xml:space="preserve">MTY DIP MILK CHOCOLATE 6X1K</t>
  </si>
  <si>
    <t xml:space="preserve">MTY DIP IRISH CRM BAILEYS WH 6X1K</t>
  </si>
  <si>
    <t xml:space="preserve">MTY DIP ESPRESSO 6X1KG</t>
  </si>
  <si>
    <t xml:space="preserve">MTY DIP FLEUR DE SEL DARK 6X1K</t>
  </si>
  <si>
    <t xml:space="preserve">MTY DIP STRAWBERRY CREAM 6X1K</t>
  </si>
  <si>
    <t xml:space="preserve">MTY DIP CHEESE CAKE 6X1K</t>
  </si>
  <si>
    <t xml:space="preserve">MTY DIP BIRTHDAY CAKE  6X1K</t>
  </si>
  <si>
    <t xml:space="preserve">MTY DIP LEMONADE 6X1K</t>
  </si>
  <si>
    <t xml:space="preserve">MTY DIP MANGO 6X1K</t>
  </si>
  <si>
    <t xml:space="preserve">MTY MINT DARK CHOC  6X1K</t>
  </si>
  <si>
    <t xml:space="preserve">MTY DIP ORANGE SORBET 6X1K</t>
  </si>
  <si>
    <t xml:space="preserve">MTY DIP OREO 6X1K</t>
  </si>
  <si>
    <t xml:space="preserve">MTY DIP COOKIE DOUGH 6X1K</t>
  </si>
  <si>
    <t xml:space="preserve">6X1K</t>
  </si>
  <si>
    <t xml:space="preserve">MTY DIP PISTACHIO 6X1K</t>
  </si>
  <si>
    <t xml:space="preserve">MTY DIP PRALINE/HAZLENUT 6X1K</t>
  </si>
  <si>
    <t xml:space="preserve">MTY DIP RED VELVET 6X1K</t>
  </si>
  <si>
    <t xml:space="preserve">MTY DIP SMORES 6X1K</t>
  </si>
  <si>
    <t xml:space="preserve">MTY DIP BUENO 6X1K</t>
  </si>
  <si>
    <t xml:space="preserve">MTY DIP LOTUS BISCOFF 6X1K</t>
  </si>
  <si>
    <t xml:space="preserve">MTY LIQUIFIANT 6X700G</t>
  </si>
  <si>
    <t xml:space="preserve">6X700GM</t>
  </si>
  <si>
    <t xml:space="preserve">MTY CONE SOFT #55 SML 920</t>
  </si>
  <si>
    <t xml:space="preserve">920UN</t>
  </si>
  <si>
    <t xml:space="preserve">MTY CONE SOFT REG #59 10X100UN</t>
  </si>
  <si>
    <t xml:space="preserve">CONE SUGAR #52 200UN</t>
  </si>
  <si>
    <t xml:space="preserve">RIO</t>
  </si>
  <si>
    <t xml:space="preserve">200UN</t>
  </si>
  <si>
    <t xml:space="preserve">WAFFLE CONE #60 312UN</t>
  </si>
  <si>
    <t xml:space="preserve">RIO CANDY</t>
  </si>
  <si>
    <t xml:space="preserve">312UN</t>
  </si>
  <si>
    <t xml:space="preserve">BISC OREO GRINDED 24X450G</t>
  </si>
  <si>
    <t xml:space="preserve">CHRISTIE</t>
  </si>
  <si>
    <t xml:space="preserve">24X450GM</t>
  </si>
  <si>
    <t xml:space="preserve">CANDY COTTON CANDY PCS 80252 10LB</t>
  </si>
  <si>
    <t xml:space="preserve">TOOTSI</t>
  </si>
  <si>
    <t xml:space="preserve">10LB</t>
  </si>
  <si>
    <t xml:space="preserve">CANDY GUMMIE BEAR ASS'T 1X1.5K</t>
  </si>
  <si>
    <t xml:space="preserve">DÉL.FORÊT</t>
  </si>
  <si>
    <t xml:space="preserve">1X1.5KG</t>
  </si>
  <si>
    <t xml:space="preserve">CANDY NERDS RAINBOW N390-100 2X5LB</t>
  </si>
  <si>
    <t xml:space="preserve">TR TOPPERS</t>
  </si>
  <si>
    <t xml:space="preserve">2X5LB</t>
  </si>
  <si>
    <t xml:space="preserve">CRUMB GRAHAM DARE 5K</t>
  </si>
  <si>
    <t xml:space="preserve">DARE</t>
  </si>
  <si>
    <t xml:space="preserve">CHOC KIT KAT CRUSHED 4X907G</t>
  </si>
  <si>
    <t xml:space="preserve">KIT KAT</t>
  </si>
  <si>
    <t xml:space="preserve">4X907GM</t>
  </si>
  <si>
    <t xml:space="preserve">CHOC SKOR BITE BULK 413 4X1.36K</t>
  </si>
  <si>
    <t xml:space="preserve">CHIPITS</t>
  </si>
  <si>
    <t xml:space="preserve">4X1.36KG</t>
  </si>
  <si>
    <t xml:space="preserve">CHOC SMARTIES CRUSHED BULK 10X1.1K</t>
  </si>
  <si>
    <t xml:space="preserve">SMARTIES</t>
  </si>
  <si>
    <t xml:space="preserve">10X1.1KG</t>
  </si>
  <si>
    <t xml:space="preserve">MAPLE NUGGET SUGAR 4065 1X1K</t>
  </si>
  <si>
    <t xml:space="preserve">FRT.D'ERAB</t>
  </si>
  <si>
    <t xml:space="preserve">NUTS ALMOND DICED 10658 25LB</t>
  </si>
  <si>
    <t xml:space="preserve">25LB</t>
  </si>
  <si>
    <t xml:space="preserve">NUTS PEANUT CRSHD RSTED 3X1K</t>
  </si>
  <si>
    <t xml:space="preserve">3X1KG</t>
  </si>
  <si>
    <t xml:space="preserve">COCONUT SHREDDED SWEET 10780 25LB</t>
  </si>
  <si>
    <t xml:space="preserve">NUT HAZELNUT RSTD 3X1K</t>
  </si>
  <si>
    <t xml:space="preserve">PET GRAIN</t>
  </si>
  <si>
    <t xml:space="preserve">NUT PISTACHIO N/SHELL 1KG</t>
  </si>
  <si>
    <t xml:space="preserve">NOIX!NOIX!</t>
  </si>
  <si>
    <t xml:space="preserve">PRETZEL MINI PRT5204 20LB</t>
  </si>
  <si>
    <t xml:space="preserve">DEL FOREST</t>
  </si>
  <si>
    <t xml:space="preserve">20LB</t>
  </si>
  <si>
    <t xml:space="preserve">SPRINKLES CHOCOLATE K 3K</t>
  </si>
  <si>
    <t xml:space="preserve">CSP</t>
  </si>
  <si>
    <t xml:space="preserve">1X3KG</t>
  </si>
  <si>
    <t xml:space="preserve">SPRINKLES RAINBOW 3K</t>
  </si>
  <si>
    <t xml:space="preserve">DAWN FOODS</t>
  </si>
  <si>
    <t xml:space="preserve">3KG</t>
  </si>
  <si>
    <t xml:space="preserve">SYRUP VANILLA MONIN K 750ML</t>
  </si>
  <si>
    <t xml:space="preserve">MONIN</t>
  </si>
  <si>
    <t xml:space="preserve">1X750ML</t>
  </si>
  <si>
    <t xml:space="preserve">SYRUP PUR CANE SUG MONIN 750ML</t>
  </si>
  <si>
    <t xml:space="preserve">750ML</t>
  </si>
  <si>
    <t xml:space="preserve">SYRUP MOJITO MONIN 750ML</t>
  </si>
  <si>
    <t xml:space="preserve">PUMP SYRUP MONIN 750ML(WHITE) 1</t>
  </si>
  <si>
    <t xml:space="preserve">COFF ICED CONCENTRATE M-FT216F 4X1L</t>
  </si>
  <si>
    <t xml:space="preserve">4X1LT</t>
  </si>
  <si>
    <t xml:space="preserve">WATER ESKA NATURAL SPRING 24X500ML</t>
  </si>
  <si>
    <t xml:space="preserve">ESKA</t>
  </si>
  <si>
    <t xml:space="preserve">24X500ML</t>
  </si>
  <si>
    <t xml:space="preserve">BEV RED BULL SUGAR FREE 24X250ML</t>
  </si>
  <si>
    <t xml:space="preserve">RED BULL</t>
  </si>
  <si>
    <t xml:space="preserve">24X250ML</t>
  </si>
  <si>
    <t xml:space="preserve">BEV RED BULL 24X250ML</t>
  </si>
  <si>
    <t xml:space="preserve">BEV RED BULL WATERMELON 24X250ML</t>
  </si>
  <si>
    <t xml:space="preserve">POPPING BOBBA MANGO 2X3.1K</t>
  </si>
  <si>
    <t xml:space="preserve">BOBBA INC</t>
  </si>
  <si>
    <t xml:space="preserve">2X3.1KG</t>
  </si>
  <si>
    <t xml:space="preserve">POPPING BOBBA STRAWBERRY 2X3.1K</t>
  </si>
  <si>
    <t xml:space="preserve">LADIP SMOOTH MAN/PCH(SUNRIZE)40X135</t>
  </si>
  <si>
    <t xml:space="preserve">EVIVE</t>
  </si>
  <si>
    <t xml:space="preserve">40X135GM</t>
  </si>
  <si>
    <t xml:space="preserve">LADIP SMOOTHIE MAN/KIWI(AZUR)40X135</t>
  </si>
  <si>
    <t xml:space="preserve">JCE LEMON REALEMON K 2X3.8L</t>
  </si>
  <si>
    <t xml:space="preserve">REALMON</t>
  </si>
  <si>
    <t xml:space="preserve">2X3.8LT</t>
  </si>
  <si>
    <t xml:space="preserve">SYRUP MANGO M-FR032F 1L</t>
  </si>
  <si>
    <t xml:space="preserve">1LT</t>
  </si>
  <si>
    <t xml:space="preserve">SYRUP PASSION FRUIT 1L</t>
  </si>
  <si>
    <t xml:space="preserve">SYRUP BLUE CURACAO M-AR007A  750ML</t>
  </si>
  <si>
    <t xml:space="preserve">SYRUP RUBY RD GRFRUIT MONIN 1L</t>
  </si>
  <si>
    <t xml:space="preserve">SYRUP STRAWBERRY MONIN K 750ML</t>
  </si>
  <si>
    <t xml:space="preserve">SYRUP DRAGON FRUIT M-FR298F   1L</t>
  </si>
  <si>
    <t xml:space="preserve">SYRUP HIBISCUS MONIN 1L</t>
  </si>
  <si>
    <t xml:space="preserve">LADIP SMOOTH VANILLA/MAPLE 40X150G</t>
  </si>
  <si>
    <t xml:space="preserve">40X150GM</t>
  </si>
  <si>
    <t xml:space="preserve">SYRUP PEACH MONIN K 750ML</t>
  </si>
  <si>
    <t xml:space="preserve">PUMP FOR SYRUP 1L X1</t>
  </si>
  <si>
    <t xml:space="preserve">SYRUP STRAWBERRY WILD MONIN 1L</t>
  </si>
  <si>
    <t xml:space="preserve">1X1LT</t>
  </si>
  <si>
    <t xml:space="preserve">SLUSH BASE RTU 5+1 2X4L</t>
  </si>
  <si>
    <t xml:space="preserve">2X4LT</t>
  </si>
  <si>
    <t xml:space="preserve">9 SLUSH CONC.BUBBLE GUM  2X4L</t>
  </si>
  <si>
    <t xml:space="preserve">9 SLUSH CONC.PEACH 3133024 2X4L</t>
  </si>
  <si>
    <t xml:space="preserve">4LT</t>
  </si>
  <si>
    <t xml:space="preserve">DIPP BAG COOKIE GREASPRF  PTD 1M</t>
  </si>
  <si>
    <t xml:space="preserve">MPC PAPIER</t>
  </si>
  <si>
    <t xml:space="preserve">DIP BOX BLUE/DONUT 25X15X10  125</t>
  </si>
  <si>
    <t xml:space="preserve">VIARGE VER</t>
  </si>
  <si>
    <t xml:space="preserve">125UN</t>
  </si>
  <si>
    <t xml:space="preserve">DIPP BOWL 6 OZ S605T-168259 1M</t>
  </si>
  <si>
    <t xml:space="preserve">DART</t>
  </si>
  <si>
    <t xml:space="preserve">Couv 6oz</t>
  </si>
  <si>
    <t xml:space="preserve">GENPAK</t>
  </si>
  <si>
    <t xml:space="preserve">4X250UN</t>
  </si>
  <si>
    <t xml:space="preserve">DIPP BOWL 8OZ VS608-168260 1M</t>
  </si>
  <si>
    <t xml:space="preserve">couv / Lid  8oz</t>
  </si>
  <si>
    <t xml:space="preserve">Dipp Bowl 12oz 1M</t>
  </si>
  <si>
    <t xml:space="preserve">Lid for 12oz Bowl</t>
  </si>
  <si>
    <t xml:space="preserve">DIPP CUP 10 OZ PAP RAZZLE PRT  1M</t>
  </si>
  <si>
    <t xml:space="preserve">511 FOODS</t>
  </si>
  <si>
    <t xml:space="preserve">Lid Razzle/Coffee  white 1000</t>
  </si>
  <si>
    <t xml:space="preserve">Lid Razzle Dome Clr 1000</t>
  </si>
  <si>
    <t xml:space="preserve">CAKE DOME COMBO CLR 10"X5" 100</t>
  </si>
  <si>
    <t xml:space="preserve">STICKS POPSICLE WOOD  1X1M</t>
  </si>
  <si>
    <t xml:space="preserve">JOHN LEWIS</t>
  </si>
  <si>
    <t xml:space="preserve">1X1000UN</t>
  </si>
  <si>
    <t xml:space="preserve">Cont Gauffre 6x6 500 units</t>
  </si>
  <si>
    <t xml:space="preserve">DORFIN</t>
  </si>
  <si>
    <t xml:space="preserve">500UN</t>
  </si>
  <si>
    <t xml:space="preserve">Cont crepe 9"x6"x3"  250 units</t>
  </si>
  <si>
    <t xml:space="preserve">250UN</t>
  </si>
  <si>
    <t xml:space="preserve">Cont ChsCake slc tray 800un</t>
  </si>
  <si>
    <t xml:space="preserve">800UN</t>
  </si>
  <si>
    <t xml:space="preserve">Lid  ChsCake slc 800un</t>
  </si>
  <si>
    <t xml:space="preserve">CONT CAKE SLICE PETE 6X6.3 X2.9 240</t>
  </si>
  <si>
    <t xml:space="preserve">POLAR PAK</t>
  </si>
  <si>
    <t xml:space="preserve">240UN</t>
  </si>
  <si>
    <t xml:space="preserve">CONT PORT 2 OZ PLASTIC PP* 125UN</t>
  </si>
  <si>
    <t xml:space="preserve">LID PORTION 2 OZ PL 125UN</t>
  </si>
  <si>
    <t xml:space="preserve">CUTL KNIFE WOOD TI80691 1M</t>
  </si>
  <si>
    <t xml:space="preserve">TOUCH</t>
  </si>
  <si>
    <t xml:space="preserve">10X100</t>
  </si>
  <si>
    <t xml:space="preserve">CUTLERY KNIVE POL WH MED PYL PP* 1M</t>
  </si>
  <si>
    <t xml:space="preserve">CUTLERY SPOON POL TEA WH PYL PP* 1M</t>
  </si>
  <si>
    <t xml:space="preserve">CUTL SPOON WOOD TI80692 1M</t>
  </si>
  <si>
    <t xml:space="preserve">CUTLERY FORK POL WH MED PYL PP* 1M</t>
  </si>
  <si>
    <t xml:space="preserve">CUTL FORK WOOD TI80690 1M</t>
  </si>
  <si>
    <t xml:space="preserve">SPOON WOOD TASTER WRP 1M</t>
  </si>
  <si>
    <t xml:space="preserve">MTY CUTLERY SPOON SODA 7.2" WOOD 1M</t>
  </si>
  <si>
    <t xml:space="preserve">TRAY 4CUP CARRIER 8-32OZ  300</t>
  </si>
  <si>
    <t xml:space="preserve">300UN</t>
  </si>
  <si>
    <t xml:space="preserve">ROLL CASH THERMAL 3 1/8 X 210'   50</t>
  </si>
  <si>
    <t xml:space="preserve">JL INC</t>
  </si>
  <si>
    <t xml:space="preserve">50UN</t>
  </si>
  <si>
    <t xml:space="preserve">BAGS GROCERY BROWN  8LB 500</t>
  </si>
  <si>
    <t xml:space="preserve">FRONTENAC</t>
  </si>
  <si>
    <t xml:space="preserve">BAGS GROCERY BROWN 10LB 500</t>
  </si>
  <si>
    <t xml:space="preserve">SERV-A</t>
  </si>
  <si>
    <t xml:space="preserve">BAGS GROCERY BROWN 14LB 500</t>
  </si>
  <si>
    <t xml:space="preserve">BAGS GROCERY  30LB  DD50  500UN</t>
  </si>
  <si>
    <t xml:space="preserve">BAG KFT W/HANDLE 14X10X16  200</t>
  </si>
  <si>
    <t xml:space="preserve">NAPKIN COCTAIL 4M</t>
  </si>
  <si>
    <t xml:space="preserve">4000UN</t>
  </si>
  <si>
    <t xml:space="preserve">NAPKIN MEALMATES 1PL KRAFT 12X300</t>
  </si>
  <si>
    <t xml:space="preserve">KRUGER</t>
  </si>
  <si>
    <t xml:space="preserve">12X300</t>
  </si>
  <si>
    <t xml:space="preserve">SANITIZER STERA SHEEN 010425 1UN</t>
  </si>
  <si>
    <t xml:space="preserve">BAZINET TA</t>
  </si>
  <si>
    <t xml:space="preserve">LUBRICANT 047518 X1UN</t>
  </si>
  <si>
    <t xml:space="preserve">TOWEL ROLL 8"X205' WHITE  24RL</t>
  </si>
  <si>
    <t xml:space="preserve">24RL</t>
  </si>
  <si>
    <t xml:space="preserve">TOWEL ROLL WHITE 2 PLY 24X1RL</t>
  </si>
  <si>
    <t xml:space="preserve">SNOWSOFT</t>
  </si>
  <si>
    <t xml:space="preserve">24X1RL</t>
  </si>
  <si>
    <t xml:space="preserve">NET FOR BEARD BROWN POLYESTER 100</t>
  </si>
  <si>
    <t xml:space="preserve">CARROUSEL</t>
  </si>
  <si>
    <t xml:space="preserve">HAIRNET INVISIBLE 89-420 1X144UN</t>
  </si>
  <si>
    <t xml:space="preserve">144UN</t>
  </si>
  <si>
    <t xml:space="preserve">MASK DISP BLUE MEDICAL DISTECH 50UN</t>
  </si>
  <si>
    <t xml:space="preserve">MEDICOM</t>
  </si>
  <si>
    <t xml:space="preserve">GLOVES TPE CLR PDR FREE SM 100UN</t>
  </si>
  <si>
    <t xml:space="preserve">GLOVE TPE CLR PDF FREE MED 100UN</t>
  </si>
  <si>
    <t xml:space="preserve">GLOVES TPE CLR PDR FREE LG 100</t>
  </si>
  <si>
    <t xml:space="preserve">100</t>
  </si>
  <si>
    <t xml:space="preserve">GLOVES TPE CLR PDR FREE XL 100</t>
  </si>
  <si>
    <t xml:space="preserve">GLOVES POLY DISP SM 9945B 500</t>
  </si>
  <si>
    <t xml:space="preserve">AMD MEDICO</t>
  </si>
  <si>
    <t xml:space="preserve">1X500UN</t>
  </si>
  <si>
    <t xml:space="preserve">GLOVES POLY DISP MED 9945C 1X500</t>
  </si>
  <si>
    <t xml:space="preserve">GLOVES POLY DISP LRG 9945D 500</t>
  </si>
  <si>
    <t xml:space="preserve">CLOTH JCHIX BLUE 12X24" 6279 1X100</t>
  </si>
  <si>
    <t xml:space="preserve">CHICOPEE</t>
  </si>
  <si>
    <t xml:space="preserve">1X100UN</t>
  </si>
  <si>
    <t xml:space="preserve">MOP HEAD 650G 1</t>
  </si>
  <si>
    <t xml:space="preserve">AZ TRADING</t>
  </si>
  <si>
    <t xml:space="preserve">1 UN</t>
  </si>
  <si>
    <t xml:space="preserve">TOILET PAP 2PL METRO 48X500S</t>
  </si>
  <si>
    <t xml:space="preserve">METRO</t>
  </si>
  <si>
    <t xml:space="preserve">48X500'</t>
  </si>
  <si>
    <t xml:space="preserve">BAGS GARBAGE 35X50 X-STG BLK 100</t>
  </si>
  <si>
    <t xml:space="preserve">GOULD</t>
  </si>
  <si>
    <t xml:space="preserve">PAD SCOUR #97 GRN 6"X9"   X10UN</t>
  </si>
  <si>
    <t xml:space="preserve">3M</t>
  </si>
  <si>
    <t xml:space="preserve">1X10UN</t>
  </si>
  <si>
    <t xml:space="preserve">MTY SOAP HAND FM ALLPUR 6X1.3L</t>
  </si>
  <si>
    <t xml:space="preserve">DIVERSEY</t>
  </si>
  <si>
    <t xml:space="preserve">6X1.3LT</t>
  </si>
  <si>
    <t xml:space="preserve">9 MTY CLNR GLASS LITE TCH RTU12X946</t>
  </si>
  <si>
    <t xml:space="preserve">12X946ML</t>
  </si>
  <si>
    <t xml:space="preserve">MTY DEGREASR ORANG STUFF  2X3.78L</t>
  </si>
  <si>
    <t xml:space="preserve">2X3.78LT</t>
  </si>
  <si>
    <t xml:space="preserve">MTY SANITI SANI-STUFF CONC 2X3.78L</t>
  </si>
  <si>
    <t xml:space="preserve">MTY DET YELLOW STUFF POT/PAN 2X3.78</t>
  </si>
  <si>
    <t xml:space="preserve">9 MTY OVEN CLEANGEL HOTSTUF 6X946ML</t>
  </si>
  <si>
    <t xml:space="preserve">6X946ML</t>
  </si>
  <si>
    <t xml:space="preserve">9 MTY SANI-STUFF NO RINSE 6X946ML</t>
  </si>
  <si>
    <t xml:space="preserve">9 MTY QUAT TEST PAP SANIT QT-10 X1</t>
  </si>
  <si>
    <t xml:space="preserve">MTY RED SANITIZER STAT PAIL 6QT X1</t>
  </si>
  <si>
    <t xml:space="preserve">MTY BTL SPRAYER D6044848 1UN</t>
  </si>
  <si>
    <t xml:space="preserve">DIVERSY</t>
  </si>
  <si>
    <t xml:space="preserve">MTY TRIGGER SPRAYER HEAD 1UN</t>
  </si>
  <si>
    <t xml:space="preserve">9 MTY DOSAGE PUMP HAND 4LJUG 1OZ X1</t>
  </si>
  <si>
    <t xml:space="preserve">X1</t>
  </si>
  <si>
    <t xml:space="preserve">9 MTY DOSAGE PUMP 1/8 OZ GAL X1</t>
  </si>
  <si>
    <t xml:space="preserve">BEV P.LEAF GRN TEA/HONEY 12X547ML</t>
  </si>
  <si>
    <t xml:space="preserve">PURE LEAF</t>
  </si>
  <si>
    <t xml:space="preserve">12X547ML</t>
  </si>
  <si>
    <t xml:space="preserve">BEV P.LEAF LEMON TEA  12X547ML</t>
  </si>
  <si>
    <t xml:space="preserve">PEPSI-COLA</t>
  </si>
  <si>
    <t xml:space="preserve">9 BEV STARBKS TRP SHOT MOCHA 12X444</t>
  </si>
  <si>
    <t xml:space="preserve">PEPSICO</t>
  </si>
  <si>
    <t xml:space="preserve">12X444ML</t>
  </si>
  <si>
    <t xml:space="preserve">9 BEV STARBUCKS DBL SHOT VAN 12X444</t>
  </si>
  <si>
    <t xml:space="preserve">BEV ROOT BEER MUG CAN 12X355ML</t>
  </si>
  <si>
    <t xml:space="preserve">12X355ML</t>
  </si>
  <si>
    <t xml:space="preserve">BEV ORANGE CRUSH CAN 12X355ML</t>
  </si>
  <si>
    <t xml:space="preserve">LADIP BOX POPCORN 6X2.75X8.5  100</t>
  </si>
  <si>
    <t xml:space="preserve">VIRAGE VER</t>
  </si>
  <si>
    <t xml:space="preserve">COLUMN MAPPING</t>
  </si>
  <si>
    <t xml:space="preserve">Field</t>
  </si>
  <si>
    <t xml:space="preserve">Mapped To</t>
  </si>
  <si>
    <t xml:space="preserve">Item/SKU</t>
  </si>
  <si>
    <t xml:space="preserve">F (Code) → ITEM_MASTER_CLEAN col B</t>
  </si>
  <si>
    <t xml:space="preserve">Category</t>
  </si>
  <si>
    <t xml:space="preserve">Derived from section headers</t>
  </si>
  <si>
    <t xml:space="preserve">Supplier/Brand</t>
  </si>
  <si>
    <t xml:space="preserve">D (Brand)</t>
  </si>
  <si>
    <t xml:space="preserve">Unit Cost</t>
  </si>
  <si>
    <t xml:space="preserve">ITEM_MASTER_CLEAN col F (simulated)</t>
  </si>
  <si>
    <t xml:space="preserve">Case Pack</t>
  </si>
  <si>
    <t xml:space="preserve">ITEM_MASTER_CLEAN col G (parsed from Format)</t>
  </si>
  <si>
    <t xml:space="preserve">On-Hand Oakville</t>
  </si>
  <si>
    <t xml:space="preserve">ITEM_MASTER_CLEAN col H (simulated)</t>
  </si>
  <si>
    <t xml:space="preserve">On-Hand High Park</t>
  </si>
  <si>
    <t xml:space="preserve">ITEM_MASTER_CLEAN col I (simulated)</t>
  </si>
  <si>
    <t xml:space="preserve">Usage Oakville</t>
  </si>
  <si>
    <t xml:space="preserve">DEMAND_MODEL col E (simulated)</t>
  </si>
  <si>
    <t xml:space="preserve">Usage High Park</t>
  </si>
  <si>
    <t xml:space="preserve">DEMAND_MODEL col F (simulated)</t>
  </si>
  <si>
    <t xml:space="preserve">OPERATIONAL SETTINGS</t>
  </si>
  <si>
    <t xml:space="preserve">Setting</t>
  </si>
  <si>
    <t xml:space="preserve">Value</t>
  </si>
  <si>
    <t xml:space="preserve">Unit</t>
  </si>
  <si>
    <t xml:space="preserve">Lead Time</t>
  </si>
  <si>
    <t xml:space="preserve">days</t>
  </si>
  <si>
    <t xml:space="preserve">Reorder Cycle</t>
  </si>
  <si>
    <t xml:space="preserve">Safety Stock Days</t>
  </si>
  <si>
    <t xml:space="preserve">Low Cash Mode</t>
  </si>
  <si>
    <t xml:space="preserve">OFF</t>
  </si>
  <si>
    <t xml:space="preserve">ON/OFF</t>
  </si>
  <si>
    <t xml:space="preserve">Purchase Cash Cap</t>
  </si>
  <si>
    <t xml:space="preserve">$</t>
  </si>
  <si>
    <t xml:space="preserve">Transfer Min Threshold</t>
  </si>
  <si>
    <t xml:space="preserve">units</t>
  </si>
  <si>
    <t xml:space="preserve">Slow Mover Max Par Cap</t>
  </si>
  <si>
    <t xml:space="preserve">CATEGORY SPEED STRATEGY</t>
  </si>
  <si>
    <t xml:space="preserve">Speed</t>
  </si>
  <si>
    <t xml:space="preserve">Coverage Target (days)</t>
  </si>
  <si>
    <t xml:space="preserve">Default Weekly Usage (units)</t>
  </si>
  <si>
    <t xml:space="preserve">Fast</t>
  </si>
  <si>
    <t xml:space="preserve">Medium</t>
  </si>
  <si>
    <t xml:space="preserve">Slow</t>
  </si>
  <si>
    <t xml:space="preserve">CATEGORY-TO-SPEED MAPPING</t>
  </si>
  <si>
    <t xml:space="preserve">BARRES DESSERT NON-LATIERE</t>
  </si>
  <si>
    <t xml:space="preserve">BASE POUR SLUSH</t>
  </si>
  <si>
    <t xml:space="preserve">BEIGNES/REMPLISSAGE/GARNITURES</t>
  </si>
  <si>
    <t xml:space="preserve">BEVERAGES</t>
  </si>
  <si>
    <t xml:space="preserve">BISCUITS &amp; PATE A BISCUITS</t>
  </si>
  <si>
    <t xml:space="preserve">BREUVAGES D'ETE -SUMMER DRINKS</t>
  </si>
  <si>
    <t xml:space="preserve">CORNET / CONE</t>
  </si>
  <si>
    <t xml:space="preserve">CREME GLACEE DUR &amp; SORBETS 11.4L</t>
  </si>
  <si>
    <t xml:space="preserve">DESSERTS</t>
  </si>
  <si>
    <t xml:space="preserve">DIPS / TREMPETTES</t>
  </si>
  <si>
    <t xml:space="preserve">DIVERSEY CLEANING</t>
  </si>
  <si>
    <t xml:space="preserve">EMBALLAGE LA DIPERIE</t>
  </si>
  <si>
    <t xml:space="preserve">EMBALLAGES GENERIC</t>
  </si>
  <si>
    <t xml:space="preserve">GATEAUX &amp; TARTES CREME GLACEE</t>
  </si>
  <si>
    <t xml:space="preserve">GATEAUX FROMAGE &amp; CUPCAKES</t>
  </si>
  <si>
    <t xml:space="preserve">LAITS FRAPPÉS / VERRES / PAILLES</t>
  </si>
  <si>
    <t xml:space="preserve">MIX CRÈME GLACÉE</t>
  </si>
  <si>
    <t xml:space="preserve">NETTOYAGE_ENTRETIEN / JANITORIAL</t>
  </si>
  <si>
    <t xml:space="preserve">PEPSI &amp; SNACKS</t>
  </si>
  <si>
    <t xml:space="preserve">POPCORN &amp; PACKAGING</t>
  </si>
  <si>
    <t xml:space="preserve">SYROP POUR CAFE</t>
  </si>
  <si>
    <t xml:space="preserve">TOPPINGS / GARNITURES</t>
  </si>
  <si>
    <t xml:space="preserve">#</t>
  </si>
  <si>
    <t xml:space="preserve">Brand/Supplier</t>
  </si>
  <si>
    <t xml:space="preserve">Unit Cost ($)</t>
  </si>
  <si>
    <t xml:space="preserve">On-Hand OAK</t>
  </si>
  <si>
    <t xml:space="preserve">On-Hand HP</t>
  </si>
  <si>
    <t xml:space="preserve">Flag: Missing Cost</t>
  </si>
  <si>
    <t xml:space="preserve">Flag: Missing Pack</t>
  </si>
  <si>
    <t xml:space="preserve">Flag: Missing Cat</t>
  </si>
  <si>
    <t xml:space="preserve">Flag: Duplicate</t>
  </si>
  <si>
    <t xml:space="preserve">Weekly Usage OAK (override)</t>
  </si>
  <si>
    <t xml:space="preserve">Weekly Usage HP (override)</t>
  </si>
  <si>
    <t xml:space="preserve">Category Speed</t>
  </si>
  <si>
    <t xml:space="preserve">Category Default Wkly</t>
  </si>
  <si>
    <t xml:space="preserve">Effective Wkly OAK</t>
  </si>
  <si>
    <t xml:space="preserve">Effective Wkly HP</t>
  </si>
  <si>
    <t xml:space="preserve">Avg Daily OAK</t>
  </si>
  <si>
    <t xml:space="preserve">Avg Daily HP</t>
  </si>
  <si>
    <t xml:space="preserve">Coverage Days</t>
  </si>
  <si>
    <t xml:space="preserve">Par OAK (raw)</t>
  </si>
  <si>
    <t xml:space="preserve">Par HP (raw)</t>
  </si>
  <si>
    <t xml:space="preserve">Par OAK (capped)</t>
  </si>
  <si>
    <t xml:space="preserve">Par HP (capped)</t>
  </si>
  <si>
    <t xml:space="preserve">Par OAK</t>
  </si>
  <si>
    <t xml:space="preserve">Par HP</t>
  </si>
  <si>
    <t xml:space="preserve">Surplus OAK</t>
  </si>
  <si>
    <t xml:space="preserve">Surplus HP</t>
  </si>
  <si>
    <t xml:space="preserve">Deficit OAK</t>
  </si>
  <si>
    <t xml:space="preserve">Deficit HP</t>
  </si>
  <si>
    <t xml:space="preserve">Transfer Direction</t>
  </si>
  <si>
    <t xml:space="preserve">Transfer Qty</t>
  </si>
  <si>
    <t xml:space="preserve">Purchase OAK (units)</t>
  </si>
  <si>
    <t xml:space="preserve">Purchase HP (units)</t>
  </si>
  <si>
    <t xml:space="preserve">Purchase OAK (cases)</t>
  </si>
  <si>
    <t xml:space="preserve">Purchase HP (cases)</t>
  </si>
  <si>
    <t xml:space="preserve">Priority Score</t>
  </si>
  <si>
    <t xml:space="preserve">Safety Stock OAK</t>
  </si>
  <si>
    <t xml:space="preserve">Safety Stock HP</t>
  </si>
  <si>
    <t xml:space="preserve">Below Safety OAK?</t>
  </si>
  <si>
    <t xml:space="preserve">Below Safety HP?</t>
  </si>
  <si>
    <t xml:space="preserve">Urgent Buy OAK (cases)</t>
  </si>
  <si>
    <t xml:space="preserve">Urgent Buy HP (cases)</t>
  </si>
  <si>
    <t xml:space="preserve">Urgent Spend OAK ($)</t>
  </si>
  <si>
    <t xml:space="preserve">Urgent Spend HP ($)</t>
  </si>
  <si>
    <t xml:space="preserve">Cumulative Spend ($)</t>
  </si>
  <si>
    <t xml:space="preserve">Within Cap?</t>
  </si>
  <si>
    <t xml:space="preserve">Action</t>
  </si>
  <si>
    <t xml:space="preserve">Entry #</t>
  </si>
  <si>
    <t xml:space="preserve">Date</t>
  </si>
  <si>
    <t xml:space="preserve">Item Code</t>
  </si>
  <si>
    <t xml:space="preserve">Item Description</t>
  </si>
  <si>
    <t xml:space="preserve">Quantity</t>
  </si>
  <si>
    <t xml:space="preserve">Total Cost</t>
  </si>
  <si>
    <t xml:space="preserve">Purchased By</t>
  </si>
  <si>
    <t xml:space="preserve">Allocation Method</t>
  </si>
  <si>
    <t xml:space="preserve">OAK Alloc %</t>
  </si>
  <si>
    <t xml:space="preserve">HP Alloc %</t>
  </si>
  <si>
    <t xml:space="preserve">OAK Allocated Qty</t>
  </si>
  <si>
    <t xml:space="preserve">HP Allocated Qty</t>
  </si>
  <si>
    <t xml:space="preserve">OAK Allocated Cost</t>
  </si>
  <si>
    <t xml:space="preserve">HP Allocated Cost</t>
  </si>
  <si>
    <t xml:space="preserve">Transfer to OAK</t>
  </si>
  <si>
    <t xml:space="preserve">Transfer to HP</t>
  </si>
  <si>
    <t xml:space="preserve">Reimbursement OAK→HP</t>
  </si>
  <si>
    <t xml:space="preserve">Reimbursement HP→OAK</t>
  </si>
  <si>
    <t xml:space="preserve">Net OAK Owes HP</t>
  </si>
  <si>
    <t xml:space="preserve">2026-02-01</t>
  </si>
  <si>
    <t xml:space="preserve">62966</t>
  </si>
  <si>
    <t xml:space="preserve">Oakville</t>
  </si>
  <si>
    <t xml:space="preserve">Fixed %</t>
  </si>
  <si>
    <t xml:space="preserve">2026-02-03</t>
  </si>
  <si>
    <t xml:space="preserve">62963</t>
  </si>
  <si>
    <t xml:space="preserve">Usage Ratio</t>
  </si>
  <si>
    <t xml:space="preserve">2026-02-05</t>
  </si>
  <si>
    <t xml:space="preserve">High Park</t>
  </si>
  <si>
    <t xml:space="preserve">2026-02-08</t>
  </si>
  <si>
    <t xml:space="preserve">2026-02-10</t>
  </si>
  <si>
    <t xml:space="preserve">2026-02-12</t>
  </si>
  <si>
    <t xml:space="preserve">2026-02-15</t>
  </si>
  <si>
    <t xml:space="preserve">2026-02-18</t>
  </si>
  <si>
    <t xml:space="preserve">SETTLEMENT SUMMARY</t>
  </si>
  <si>
    <t xml:space="preserve">Date Filter (optional)</t>
  </si>
  <si>
    <t xml:space="preserve">Start Date</t>
  </si>
  <si>
    <t xml:space="preserve">End Date</t>
  </si>
  <si>
    <t xml:space="preserve">Metric</t>
  </si>
  <si>
    <t xml:space="preserve">Amount</t>
  </si>
  <si>
    <t xml:space="preserve">Total Shared Bulk Cost</t>
  </si>
  <si>
    <t xml:space="preserve">Paid by Oakville</t>
  </si>
  <si>
    <t xml:space="preserve">Paid by High Park</t>
  </si>
  <si>
    <t xml:space="preserve">Allocated Share — Oakville</t>
  </si>
  <si>
    <t xml:space="preserve">Allocated Share — High Park</t>
  </si>
  <si>
    <t xml:space="preserve">Total Reimbursements OAK→HP</t>
  </si>
  <si>
    <t xml:space="preserve">Total Reimbursements HP→OAK</t>
  </si>
  <si>
    <t xml:space="preserve">NET: Oakville Owes High Park</t>
  </si>
  <si>
    <t xml:space="preserve">SETTLEMENT DIRECTION</t>
  </si>
  <si>
    <t xml:space="preserve">Direction</t>
  </si>
  <si>
    <t xml:space="preserve">Buy OAK (cases)</t>
  </si>
  <si>
    <t xml:space="preserve">Buy HP (cases)</t>
  </si>
  <si>
    <t xml:space="preserve">Total Cases</t>
  </si>
  <si>
    <t xml:space="preserve">Est Spend ($)</t>
  </si>
  <si>
    <t xml:space="preserve">Action Flag</t>
  </si>
  <si>
    <t xml:space="preserve">Inv Value OAK ($)</t>
  </si>
  <si>
    <t xml:space="preserve">Inv Value HP ($)</t>
  </si>
  <si>
    <t xml:space="preserve">Overstock OAK ($)</t>
  </si>
  <si>
    <t xml:space="preserve">Overstock HP ($)</t>
  </si>
  <si>
    <t xml:space="preserve">Understock OAK ($)</t>
  </si>
  <si>
    <t xml:space="preserve">Understock HP ($)</t>
  </si>
  <si>
    <t xml:space="preserve">Days Coverage OAK</t>
  </si>
  <si>
    <t xml:space="preserve">Days Coverage HP</t>
  </si>
  <si>
    <t xml:space="preserve">SUMMARY</t>
  </si>
  <si>
    <t xml:space="preserve">Total Inventory Value — Oakville</t>
  </si>
  <si>
    <t xml:space="preserve">Total Inventory Value — High Park</t>
  </si>
  <si>
    <t xml:space="preserve">Total Overstock $ — Oakville</t>
  </si>
  <si>
    <t xml:space="preserve">Total Overstock $ — High Park</t>
  </si>
  <si>
    <t xml:space="preserve">Total Understock $ — Oakville</t>
  </si>
  <si>
    <t xml:space="preserve">Total Understock $ — High Park</t>
  </si>
  <si>
    <t xml:space="preserve">LA DIPERIE — INVENTORY DASHBOARD</t>
  </si>
  <si>
    <t xml:space="preserve">KPI</t>
  </si>
  <si>
    <t xml:space="preserve">Combined Inventory Value</t>
  </si>
  <si>
    <t xml:space="preserve">Overstock $ — Oakville</t>
  </si>
  <si>
    <t xml:space="preserve">Overstock $ — High Park</t>
  </si>
  <si>
    <t xml:space="preserve">Understock $ — Oakville</t>
  </si>
  <si>
    <t xml:space="preserve">Understock $ — High Park</t>
  </si>
  <si>
    <t xml:space="preserve">Items with Transfer Opportunity</t>
  </si>
  <si>
    <t xml:space="preserve">Total Suggested Purchase Spend</t>
  </si>
  <si>
    <t xml:space="preserve">Net Settlement (OAK owes HP)</t>
  </si>
  <si>
    <t xml:space="preserve">Items Below Safety Stock (OAK)</t>
  </si>
  <si>
    <t xml:space="preserve">Items Below Safety Stock (HP)</t>
  </si>
  <si>
    <t xml:space="preserve">Issue Type</t>
  </si>
  <si>
    <t xml:space="preserve">Details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</si>
</sst>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yyyy\-mm\-dd"/>
    <numFmt numFmtId="167" formatCode="0%"/>
    <numFmt numFmtId="168" formatCode="General"/>
    <numFmt numFmtId="169" formatCode="0.0"/>
    <numFmt numFmtId="170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333333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D6E4F0"/>
        </patternFill>
      </fill>
    </dxf>
    <dxf>
      <fill>
        <patternFill>
          <bgColor rgb="FFE2EFDA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6E4F0"/>
      <rgbColor rgb="FF660066"/>
      <rgbColor rgb="FFED7D31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4F81BD"/>
      <rgbColor rgb="FF878787"/>
      <rgbColor rgb="FF002060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Inventory Value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DASHBOARD!$A$4:$A$5</c:f>
              <c:strCache>
                <c:ptCount val="2"/>
                <c:pt idx="0">
                  <c:v>Total Inventory Value — Oakville</c:v>
                </c:pt>
                <c:pt idx="1">
                  <c:v>Total Inventory Value — High Park</c:v>
                </c:pt>
              </c:strCache>
            </c:strRef>
          </c:cat>
          <c:val>
            <c:numRef>
              <c:f>DASHBOARD!$B$4:$B$5</c:f>
              <c:numCache>
                <c:formatCode>\$#,##0.00</c:formatCode>
                <c:ptCount val="2"/>
                <c:pt idx="0">
                  <c:v>48457.7</c:v>
                </c:pt>
                <c:pt idx="1">
                  <c:v>27637.29</c:v>
                </c:pt>
              </c:numCache>
            </c:numRef>
          </c:val>
        </c:ser>
        <c:gapWidth val="150"/>
        <c:overlap val="0"/>
        <c:axId val="70490230"/>
        <c:axId val="58218275"/>
      </c:barChart>
      <c:catAx>
        <c:axId val="704902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18275"/>
        <c:crosses val="autoZero"/>
        <c:auto val="1"/>
        <c:lblAlgn val="ctr"/>
        <c:lblOffset val="100"/>
        <c:noMultiLvlLbl val="0"/>
      </c:catAx>
      <c:valAx>
        <c:axId val="58218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902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Overstock vs Understock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DASHBOARD!$A$7:$A$10</c:f>
              <c:strCache>
                <c:ptCount val="4"/>
                <c:pt idx="0">
                  <c:v>Overstock $ — Oakville</c:v>
                </c:pt>
                <c:pt idx="1">
                  <c:v>Overstock $ — High Park</c:v>
                </c:pt>
                <c:pt idx="2">
                  <c:v>Understock $ — Oakville</c:v>
                </c:pt>
                <c:pt idx="3">
                  <c:v>Understock $ — High Park</c:v>
                </c:pt>
              </c:strCache>
            </c:strRef>
          </c:cat>
          <c:val>
            <c:numRef>
              <c:f>DASHBOARD!$B$7:$B$10</c:f>
              <c:numCache>
                <c:formatCode>\$#,##0.00</c:formatCode>
                <c:ptCount val="4"/>
                <c:pt idx="0">
                  <c:v>15135.8985714286</c:v>
                </c:pt>
                <c:pt idx="1">
                  <c:v>7618.85</c:v>
                </c:pt>
                <c:pt idx="2">
                  <c:v>25717.6242857143</c:v>
                </c:pt>
                <c:pt idx="3">
                  <c:v>21285.03</c:v>
                </c:pt>
              </c:numCache>
            </c:numRef>
          </c:val>
        </c:ser>
        <c:gapWidth val="150"/>
        <c:overlap val="0"/>
        <c:axId val="31730547"/>
        <c:axId val="51687247"/>
      </c:barChart>
      <c:catAx>
        <c:axId val="31730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87247"/>
        <c:crosses val="autoZero"/>
        <c:auto val="1"/>
        <c:lblAlgn val="ctr"/>
        <c:lblOffset val="100"/>
        <c:noMultiLvlLbl val="0"/>
      </c:catAx>
      <c:valAx>
        <c:axId val="51687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30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13</xdr:col>
      <xdr:colOff>364680</xdr:colOff>
      <xdr:row>24</xdr:row>
      <xdr:rowOff>98640</xdr:rowOff>
    </xdr:to>
    <xdr:graphicFrame>
      <xdr:nvGraphicFramePr>
        <xdr:cNvPr id="0" name="Chart 1"/>
        <xdr:cNvGraphicFramePr/>
      </xdr:nvGraphicFramePr>
      <xdr:xfrm>
        <a:off x="4840560" y="380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160560</xdr:rowOff>
    </xdr:from>
    <xdr:to>
      <xdr:col>13</xdr:col>
      <xdr:colOff>364680</xdr:colOff>
      <xdr:row>41</xdr:row>
      <xdr:rowOff>98640</xdr:rowOff>
    </xdr:to>
    <xdr:graphicFrame>
      <xdr:nvGraphicFramePr>
        <xdr:cNvPr id="1" name="Chart 2"/>
        <xdr:cNvGraphicFramePr/>
      </xdr:nvGraphicFramePr>
      <xdr:xfrm>
        <a:off x="4840560" y="36194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</row>
    <row r="2" customFormat="false" ht="15" hidden="false" customHeight="false" outlineLevel="0" collapsed="false">
      <c r="A2" s="5" t="n">
        <v>5</v>
      </c>
      <c r="B2" s="5"/>
      <c r="C2" s="5" t="s">
        <v>33</v>
      </c>
      <c r="D2" s="5" t="s">
        <v>34</v>
      </c>
      <c r="E2" s="5" t="s">
        <v>35</v>
      </c>
      <c r="F2" s="5" t="n">
        <v>62966</v>
      </c>
    </row>
    <row r="3" customFormat="false" ht="15" hidden="false" customHeight="false" outlineLevel="0" collapsed="false">
      <c r="A3" s="5" t="n">
        <v>6</v>
      </c>
      <c r="B3" s="5"/>
      <c r="C3" s="5" t="s">
        <v>36</v>
      </c>
      <c r="D3" s="5" t="s">
        <v>34</v>
      </c>
      <c r="E3" s="5" t="s">
        <v>35</v>
      </c>
      <c r="F3" s="5" t="n">
        <v>62967</v>
      </c>
    </row>
    <row r="4" customFormat="false" ht="15" hidden="false" customHeight="false" outlineLevel="0" collapsed="false">
      <c r="A4" s="5" t="n">
        <v>7</v>
      </c>
      <c r="B4" s="5"/>
      <c r="C4" s="5" t="s">
        <v>37</v>
      </c>
      <c r="D4" s="5" t="s">
        <v>34</v>
      </c>
      <c r="E4" s="5" t="s">
        <v>38</v>
      </c>
      <c r="F4" s="5" t="n">
        <v>62963</v>
      </c>
    </row>
    <row r="5" customFormat="false" ht="15" hidden="false" customHeight="false" outlineLevel="0" collapsed="false">
      <c r="A5" s="5" t="n">
        <v>8</v>
      </c>
      <c r="B5" s="5"/>
      <c r="C5" s="5" t="s">
        <v>39</v>
      </c>
      <c r="D5" s="5" t="s">
        <v>40</v>
      </c>
      <c r="E5" s="5" t="s">
        <v>41</v>
      </c>
      <c r="F5" s="5" t="n">
        <v>22400</v>
      </c>
    </row>
    <row r="6" customFormat="false" ht="15" hidden="false" customHeight="false" outlineLevel="0" collapsed="false">
      <c r="A6" s="5" t="n">
        <v>9</v>
      </c>
      <c r="B6" s="5"/>
      <c r="C6" s="5" t="s">
        <v>42</v>
      </c>
      <c r="D6" s="5" t="s">
        <v>40</v>
      </c>
      <c r="E6" s="5" t="s">
        <v>41</v>
      </c>
      <c r="F6" s="5" t="n">
        <v>22401</v>
      </c>
    </row>
    <row r="7" customFormat="false" ht="15" hidden="false" customHeight="false" outlineLevel="0" collapsed="false">
      <c r="A7" s="5" t="n">
        <v>10</v>
      </c>
      <c r="B7" s="5"/>
      <c r="C7" s="5" t="s">
        <v>43</v>
      </c>
      <c r="D7" s="5" t="s">
        <v>40</v>
      </c>
      <c r="E7" s="5" t="s">
        <v>41</v>
      </c>
      <c r="F7" s="5" t="n">
        <v>22402</v>
      </c>
    </row>
    <row r="8" customFormat="false" ht="15" hidden="false" customHeight="false" outlineLevel="0" collapsed="false">
      <c r="A8" s="5" t="n">
        <v>11</v>
      </c>
      <c r="B8" s="5"/>
      <c r="C8" s="5" t="s">
        <v>44</v>
      </c>
      <c r="D8" s="5" t="s">
        <v>40</v>
      </c>
      <c r="E8" s="5" t="s">
        <v>41</v>
      </c>
      <c r="F8" s="5" t="n">
        <v>22406</v>
      </c>
    </row>
    <row r="9" customFormat="false" ht="15" hidden="false" customHeight="false" outlineLevel="0" collapsed="false">
      <c r="A9" s="5" t="n">
        <v>12</v>
      </c>
      <c r="B9" s="5"/>
      <c r="C9" s="5" t="s">
        <v>45</v>
      </c>
      <c r="D9" s="5" t="s">
        <v>40</v>
      </c>
      <c r="E9" s="5" t="s">
        <v>41</v>
      </c>
      <c r="F9" s="5" t="n">
        <v>22407</v>
      </c>
    </row>
    <row r="10" customFormat="false" ht="15" hidden="false" customHeight="false" outlineLevel="0" collapsed="false">
      <c r="A10" s="5" t="n">
        <v>13</v>
      </c>
      <c r="B10" s="5"/>
      <c r="C10" s="5" t="s">
        <v>46</v>
      </c>
      <c r="D10" s="5" t="s">
        <v>47</v>
      </c>
      <c r="E10" s="5" t="s">
        <v>48</v>
      </c>
      <c r="F10" s="5" t="n">
        <v>25800</v>
      </c>
    </row>
    <row r="11" customFormat="false" ht="15" hidden="false" customHeight="false" outlineLevel="0" collapsed="false">
      <c r="A11" s="5" t="n">
        <v>14</v>
      </c>
      <c r="B11" s="5"/>
      <c r="C11" s="5" t="s">
        <v>49</v>
      </c>
      <c r="D11" s="5" t="s">
        <v>47</v>
      </c>
      <c r="E11" s="5" t="s">
        <v>50</v>
      </c>
      <c r="F11" s="5" t="n">
        <v>25802</v>
      </c>
    </row>
    <row r="12" customFormat="false" ht="15" hidden="false" customHeight="false" outlineLevel="0" collapsed="false">
      <c r="A12" s="5" t="n">
        <v>18</v>
      </c>
      <c r="B12" s="5"/>
      <c r="C12" s="5" t="s">
        <v>51</v>
      </c>
      <c r="D12" s="5" t="s">
        <v>52</v>
      </c>
      <c r="E12" s="5" t="s">
        <v>53</v>
      </c>
      <c r="F12" s="5" t="n">
        <v>19689</v>
      </c>
    </row>
    <row r="13" customFormat="false" ht="15" hidden="false" customHeight="false" outlineLevel="0" collapsed="false">
      <c r="A13" s="5" t="n">
        <v>19</v>
      </c>
      <c r="B13" s="5"/>
      <c r="C13" s="5" t="s">
        <v>54</v>
      </c>
      <c r="D13" s="5" t="s">
        <v>52</v>
      </c>
      <c r="E13" s="5" t="s">
        <v>53</v>
      </c>
      <c r="F13" s="5" t="n">
        <v>19692</v>
      </c>
    </row>
    <row r="14" customFormat="false" ht="15" hidden="false" customHeight="false" outlineLevel="0" collapsed="false">
      <c r="A14" s="5" t="n">
        <v>20</v>
      </c>
      <c r="B14" s="5"/>
      <c r="C14" s="5" t="s">
        <v>55</v>
      </c>
      <c r="D14" s="5" t="s">
        <v>52</v>
      </c>
      <c r="E14" s="5" t="s">
        <v>53</v>
      </c>
      <c r="F14" s="5" t="n">
        <v>19693</v>
      </c>
    </row>
    <row r="15" customFormat="false" ht="15" hidden="false" customHeight="false" outlineLevel="0" collapsed="false">
      <c r="A15" s="5" t="n">
        <v>22</v>
      </c>
      <c r="B15" s="5"/>
      <c r="C15" s="5" t="s">
        <v>56</v>
      </c>
      <c r="D15" s="5" t="s">
        <v>52</v>
      </c>
      <c r="E15" s="5" t="s">
        <v>57</v>
      </c>
      <c r="F15" s="5" t="n">
        <v>19688</v>
      </c>
    </row>
    <row r="16" customFormat="false" ht="15" hidden="false" customHeight="false" outlineLevel="0" collapsed="false">
      <c r="A16" s="5" t="n">
        <v>23</v>
      </c>
      <c r="B16" s="5"/>
      <c r="C16" s="5" t="s">
        <v>58</v>
      </c>
      <c r="D16" s="5" t="s">
        <v>52</v>
      </c>
      <c r="E16" s="5" t="s">
        <v>57</v>
      </c>
      <c r="F16" s="5" t="n">
        <v>19687</v>
      </c>
    </row>
    <row r="17" customFormat="false" ht="15" hidden="false" customHeight="false" outlineLevel="0" collapsed="false">
      <c r="A17" s="5" t="n">
        <v>25</v>
      </c>
      <c r="B17" s="5"/>
      <c r="C17" s="5" t="s">
        <v>59</v>
      </c>
      <c r="D17" s="5" t="s">
        <v>52</v>
      </c>
      <c r="E17" s="5" t="s">
        <v>57</v>
      </c>
      <c r="F17" s="5" t="n">
        <v>19685</v>
      </c>
    </row>
    <row r="18" customFormat="false" ht="15" hidden="false" customHeight="false" outlineLevel="0" collapsed="false">
      <c r="A18" s="5" t="n">
        <v>27</v>
      </c>
      <c r="B18" s="5"/>
      <c r="C18" s="5" t="s">
        <v>60</v>
      </c>
      <c r="D18" s="5" t="s">
        <v>61</v>
      </c>
      <c r="E18" s="5" t="s">
        <v>62</v>
      </c>
      <c r="F18" s="5" t="n">
        <v>19628</v>
      </c>
    </row>
    <row r="19" customFormat="false" ht="15" hidden="false" customHeight="false" outlineLevel="0" collapsed="false">
      <c r="A19" s="5" t="n">
        <v>28</v>
      </c>
      <c r="B19" s="5"/>
      <c r="C19" s="5" t="s">
        <v>63</v>
      </c>
      <c r="D19" s="5" t="s">
        <v>52</v>
      </c>
      <c r="E19" s="5" t="s">
        <v>64</v>
      </c>
      <c r="F19" s="5" t="n">
        <v>16992</v>
      </c>
    </row>
    <row r="20" customFormat="false" ht="15" hidden="false" customHeight="false" outlineLevel="0" collapsed="false">
      <c r="A20" s="5" t="n">
        <v>29</v>
      </c>
      <c r="B20" s="5"/>
      <c r="C20" s="5" t="s">
        <v>65</v>
      </c>
      <c r="D20" s="5" t="s">
        <v>52</v>
      </c>
      <c r="E20" s="5" t="s">
        <v>64</v>
      </c>
      <c r="F20" s="5" t="n">
        <v>16995</v>
      </c>
    </row>
    <row r="21" customFormat="false" ht="15" hidden="false" customHeight="false" outlineLevel="0" collapsed="false">
      <c r="A21" s="5" t="n">
        <v>31</v>
      </c>
      <c r="B21" s="5"/>
      <c r="C21" s="5" t="s">
        <v>66</v>
      </c>
      <c r="D21" s="5" t="s">
        <v>67</v>
      </c>
      <c r="E21" s="5" t="s">
        <v>68</v>
      </c>
      <c r="F21" s="5" t="n">
        <v>19629</v>
      </c>
    </row>
    <row r="22" customFormat="false" ht="15" hidden="false" customHeight="false" outlineLevel="0" collapsed="false">
      <c r="A22" s="5" t="n">
        <v>32</v>
      </c>
      <c r="B22" s="5"/>
      <c r="C22" s="5" t="s">
        <v>69</v>
      </c>
      <c r="D22" s="5" t="s">
        <v>52</v>
      </c>
      <c r="E22" s="5" t="s">
        <v>64</v>
      </c>
      <c r="F22" s="5" t="n">
        <v>16993</v>
      </c>
    </row>
    <row r="23" customFormat="false" ht="15" hidden="false" customHeight="false" outlineLevel="0" collapsed="false">
      <c r="A23" s="5" t="n">
        <v>33</v>
      </c>
      <c r="B23" s="5"/>
      <c r="C23" s="5" t="s">
        <v>70</v>
      </c>
      <c r="D23" s="5" t="s">
        <v>52</v>
      </c>
      <c r="E23" s="5" t="s">
        <v>64</v>
      </c>
      <c r="F23" s="5" t="n">
        <v>16988</v>
      </c>
    </row>
    <row r="24" customFormat="false" ht="15" hidden="false" customHeight="false" outlineLevel="0" collapsed="false">
      <c r="A24" s="5" t="n">
        <v>34</v>
      </c>
      <c r="B24" s="5"/>
      <c r="C24" s="5" t="s">
        <v>71</v>
      </c>
      <c r="D24" s="5" t="s">
        <v>52</v>
      </c>
      <c r="E24" s="5" t="s">
        <v>64</v>
      </c>
      <c r="F24" s="5" t="n">
        <v>16987</v>
      </c>
    </row>
    <row r="25" customFormat="false" ht="15" hidden="false" customHeight="false" outlineLevel="0" collapsed="false">
      <c r="A25" s="5" t="n">
        <v>35</v>
      </c>
      <c r="B25" s="5"/>
      <c r="C25" s="5" t="s">
        <v>72</v>
      </c>
      <c r="D25" s="5" t="s">
        <v>52</v>
      </c>
      <c r="E25" s="5" t="s">
        <v>64</v>
      </c>
      <c r="F25" s="5" t="n">
        <v>16994</v>
      </c>
    </row>
    <row r="26" customFormat="false" ht="15" hidden="false" customHeight="false" outlineLevel="0" collapsed="false">
      <c r="A26" s="5" t="n">
        <v>36</v>
      </c>
      <c r="B26" s="5"/>
      <c r="C26" s="5" t="s">
        <v>73</v>
      </c>
      <c r="D26" s="5" t="s">
        <v>52</v>
      </c>
      <c r="E26" s="5" t="s">
        <v>68</v>
      </c>
      <c r="F26" s="5" t="n">
        <v>19694</v>
      </c>
    </row>
    <row r="27" customFormat="false" ht="15" hidden="false" customHeight="false" outlineLevel="0" collapsed="false">
      <c r="A27" s="5" t="n">
        <v>37</v>
      </c>
      <c r="B27" s="5"/>
      <c r="C27" s="5" t="s">
        <v>74</v>
      </c>
      <c r="D27" s="5" t="s">
        <v>52</v>
      </c>
      <c r="E27" s="5" t="s">
        <v>64</v>
      </c>
      <c r="F27" s="5" t="n">
        <v>16991</v>
      </c>
    </row>
    <row r="28" customFormat="false" ht="15" hidden="false" customHeight="false" outlineLevel="0" collapsed="false">
      <c r="A28" s="5" t="n">
        <v>38</v>
      </c>
      <c r="B28" s="5"/>
      <c r="C28" s="5" t="s">
        <v>75</v>
      </c>
      <c r="D28" s="5" t="s">
        <v>52</v>
      </c>
      <c r="E28" s="5" t="s">
        <v>64</v>
      </c>
      <c r="F28" s="5" t="n">
        <v>16989</v>
      </c>
    </row>
    <row r="29" customFormat="false" ht="15" hidden="false" customHeight="false" outlineLevel="0" collapsed="false">
      <c r="A29" s="5" t="n">
        <v>42</v>
      </c>
      <c r="B29" s="5"/>
      <c r="C29" s="5" t="s">
        <v>76</v>
      </c>
      <c r="D29" s="5" t="s">
        <v>67</v>
      </c>
      <c r="E29" s="5" t="s">
        <v>77</v>
      </c>
      <c r="F29" s="5" t="n">
        <v>19630</v>
      </c>
    </row>
    <row r="30" customFormat="false" ht="15" hidden="false" customHeight="false" outlineLevel="0" collapsed="false">
      <c r="A30" s="5" t="n">
        <v>61</v>
      </c>
      <c r="B30" s="5"/>
      <c r="C30" s="5" t="s">
        <v>78</v>
      </c>
      <c r="D30" s="5" t="s">
        <v>79</v>
      </c>
      <c r="E30" s="5" t="s">
        <v>80</v>
      </c>
      <c r="F30" s="5" t="n">
        <v>44985</v>
      </c>
    </row>
    <row r="31" customFormat="false" ht="15" hidden="false" customHeight="false" outlineLevel="0" collapsed="false">
      <c r="A31" s="5" t="n">
        <v>62</v>
      </c>
      <c r="B31" s="5"/>
      <c r="C31" s="5" t="s">
        <v>81</v>
      </c>
      <c r="D31" s="5" t="s">
        <v>79</v>
      </c>
      <c r="E31" s="5" t="s">
        <v>80</v>
      </c>
      <c r="F31" s="5" t="n">
        <v>44961</v>
      </c>
    </row>
    <row r="32" customFormat="false" ht="15" hidden="false" customHeight="false" outlineLevel="0" collapsed="false">
      <c r="A32" s="5" t="n">
        <v>63</v>
      </c>
      <c r="B32" s="5"/>
      <c r="C32" s="5" t="s">
        <v>82</v>
      </c>
      <c r="D32" s="5" t="s">
        <v>79</v>
      </c>
      <c r="E32" s="5" t="s">
        <v>80</v>
      </c>
      <c r="F32" s="5" t="n">
        <v>44962</v>
      </c>
    </row>
    <row r="33" customFormat="false" ht="15" hidden="false" customHeight="false" outlineLevel="0" collapsed="false">
      <c r="A33" s="5" t="n">
        <v>65</v>
      </c>
      <c r="B33" s="5"/>
      <c r="C33" s="5" t="s">
        <v>83</v>
      </c>
      <c r="D33" s="5" t="s">
        <v>84</v>
      </c>
      <c r="E33" s="5" t="s">
        <v>85</v>
      </c>
      <c r="F33" s="5" t="n">
        <v>63927</v>
      </c>
    </row>
    <row r="34" customFormat="false" ht="15" hidden="false" customHeight="false" outlineLevel="0" collapsed="false">
      <c r="A34" s="5" t="n">
        <v>66</v>
      </c>
      <c r="B34" s="5"/>
      <c r="C34" s="5" t="s">
        <v>86</v>
      </c>
      <c r="D34" s="5" t="s">
        <v>87</v>
      </c>
      <c r="E34" s="5" t="s">
        <v>88</v>
      </c>
      <c r="F34" s="5" t="n">
        <v>64106</v>
      </c>
    </row>
    <row r="35" customFormat="false" ht="15" hidden="false" customHeight="false" outlineLevel="0" collapsed="false">
      <c r="A35" s="5" t="n">
        <v>69</v>
      </c>
      <c r="B35" s="5"/>
      <c r="C35" s="5" t="s">
        <v>89</v>
      </c>
      <c r="D35" s="5" t="s">
        <v>90</v>
      </c>
      <c r="E35" s="5" t="s">
        <v>91</v>
      </c>
      <c r="F35" s="5" t="n">
        <v>63934</v>
      </c>
    </row>
    <row r="36" customFormat="false" ht="15" hidden="false" customHeight="false" outlineLevel="0" collapsed="false">
      <c r="A36" s="5" t="n">
        <v>72</v>
      </c>
      <c r="B36" s="5"/>
      <c r="C36" s="5" t="s">
        <v>92</v>
      </c>
      <c r="D36" s="5" t="s">
        <v>93</v>
      </c>
      <c r="E36" s="5" t="s">
        <v>94</v>
      </c>
      <c r="F36" s="5" t="n">
        <v>12596</v>
      </c>
    </row>
    <row r="37" customFormat="false" ht="15" hidden="false" customHeight="false" outlineLevel="0" collapsed="false">
      <c r="A37" s="5" t="n">
        <v>74</v>
      </c>
      <c r="B37" s="5"/>
      <c r="C37" s="5" t="s">
        <v>95</v>
      </c>
      <c r="D37" s="5" t="s">
        <v>96</v>
      </c>
      <c r="E37" s="5" t="s">
        <v>97</v>
      </c>
      <c r="F37" s="5" t="n">
        <v>48219</v>
      </c>
    </row>
    <row r="38" customFormat="false" ht="15" hidden="false" customHeight="false" outlineLevel="0" collapsed="false">
      <c r="A38" s="5" t="n">
        <v>80</v>
      </c>
      <c r="B38" s="5"/>
      <c r="C38" s="5" t="s">
        <v>98</v>
      </c>
      <c r="D38" s="5" t="s">
        <v>34</v>
      </c>
      <c r="E38" s="5" t="s">
        <v>99</v>
      </c>
      <c r="F38" s="5" t="n">
        <v>39811</v>
      </c>
    </row>
    <row r="39" customFormat="false" ht="15" hidden="false" customHeight="false" outlineLevel="0" collapsed="false">
      <c r="A39" s="5" t="n">
        <v>81</v>
      </c>
      <c r="B39" s="5"/>
      <c r="C39" s="5" t="s">
        <v>100</v>
      </c>
      <c r="D39" s="5" t="s">
        <v>101</v>
      </c>
      <c r="E39" s="5" t="s">
        <v>102</v>
      </c>
      <c r="F39" s="5" t="n">
        <v>43328</v>
      </c>
    </row>
    <row r="40" customFormat="false" ht="15" hidden="false" customHeight="false" outlineLevel="0" collapsed="false">
      <c r="A40" s="5" t="n">
        <v>87</v>
      </c>
      <c r="B40" s="5"/>
      <c r="C40" s="5" t="s">
        <v>103</v>
      </c>
      <c r="D40" s="5" t="s">
        <v>104</v>
      </c>
      <c r="E40" s="5" t="s">
        <v>105</v>
      </c>
      <c r="F40" s="5" t="n">
        <v>50170</v>
      </c>
    </row>
    <row r="41" customFormat="false" ht="15" hidden="false" customHeight="false" outlineLevel="0" collapsed="false">
      <c r="A41" s="5" t="n">
        <v>88</v>
      </c>
      <c r="B41" s="5"/>
      <c r="C41" s="5" t="s">
        <v>106</v>
      </c>
      <c r="D41" s="5" t="s">
        <v>107</v>
      </c>
      <c r="E41" s="5" t="s">
        <v>105</v>
      </c>
      <c r="F41" s="5" t="n">
        <v>50010</v>
      </c>
    </row>
    <row r="42" customFormat="false" ht="15" hidden="false" customHeight="false" outlineLevel="0" collapsed="false">
      <c r="A42" s="5" t="n">
        <v>91</v>
      </c>
      <c r="B42" s="5"/>
      <c r="C42" s="5" t="s">
        <v>108</v>
      </c>
      <c r="D42" s="5" t="s">
        <v>107</v>
      </c>
      <c r="E42" s="5" t="s">
        <v>109</v>
      </c>
      <c r="F42" s="5" t="n">
        <v>50166</v>
      </c>
    </row>
    <row r="43" customFormat="false" ht="15" hidden="false" customHeight="false" outlineLevel="0" collapsed="false">
      <c r="A43" s="5" t="n">
        <v>94</v>
      </c>
      <c r="B43" s="5"/>
      <c r="C43" s="5" t="s">
        <v>110</v>
      </c>
      <c r="D43" s="5" t="s">
        <v>107</v>
      </c>
      <c r="E43" s="5" t="s">
        <v>111</v>
      </c>
      <c r="F43" s="5" t="n">
        <v>19850</v>
      </c>
    </row>
    <row r="44" customFormat="false" ht="15" hidden="false" customHeight="false" outlineLevel="0" collapsed="false">
      <c r="A44" s="5" t="n">
        <v>95</v>
      </c>
      <c r="B44" s="5"/>
      <c r="C44" s="5" t="s">
        <v>112</v>
      </c>
      <c r="D44" s="5" t="s">
        <v>113</v>
      </c>
      <c r="E44" s="5" t="s">
        <v>114</v>
      </c>
      <c r="F44" s="5" t="n">
        <v>68587</v>
      </c>
    </row>
    <row r="45" customFormat="false" ht="15" hidden="false" customHeight="false" outlineLevel="0" collapsed="false">
      <c r="A45" s="5" t="n">
        <v>96</v>
      </c>
      <c r="B45" s="5"/>
      <c r="C45" s="5" t="s">
        <v>115</v>
      </c>
      <c r="D45" s="5" t="s">
        <v>116</v>
      </c>
      <c r="E45" s="5" t="s">
        <v>117</v>
      </c>
      <c r="F45" s="5" t="n">
        <v>65315</v>
      </c>
    </row>
    <row r="46" customFormat="false" ht="15" hidden="false" customHeight="false" outlineLevel="0" collapsed="false">
      <c r="A46" s="5" t="n">
        <v>106</v>
      </c>
      <c r="B46" s="5"/>
      <c r="C46" s="5" t="s">
        <v>118</v>
      </c>
      <c r="D46" s="5" t="s">
        <v>119</v>
      </c>
      <c r="E46" s="5" t="s">
        <v>120</v>
      </c>
      <c r="F46" s="5" t="n">
        <v>47526</v>
      </c>
    </row>
    <row r="47" customFormat="false" ht="15" hidden="false" customHeight="false" outlineLevel="0" collapsed="false">
      <c r="A47" s="5" t="n">
        <v>108</v>
      </c>
      <c r="B47" s="5"/>
      <c r="C47" s="5" t="s">
        <v>121</v>
      </c>
      <c r="D47" s="5" t="s">
        <v>122</v>
      </c>
      <c r="E47" s="5" t="s">
        <v>123</v>
      </c>
      <c r="F47" s="5" t="n">
        <v>49632</v>
      </c>
    </row>
    <row r="48" customFormat="false" ht="15" hidden="false" customHeight="false" outlineLevel="0" collapsed="false">
      <c r="A48" s="5" t="n">
        <v>109</v>
      </c>
      <c r="B48" s="5"/>
      <c r="C48" s="5" t="s">
        <v>124</v>
      </c>
      <c r="D48" s="5" t="s">
        <v>79</v>
      </c>
      <c r="E48" s="5" t="s">
        <v>125</v>
      </c>
      <c r="F48" s="5" t="n">
        <v>44967</v>
      </c>
    </row>
    <row r="49" customFormat="false" ht="15" hidden="false" customHeight="false" outlineLevel="0" collapsed="false">
      <c r="A49" s="5" t="n">
        <v>110</v>
      </c>
      <c r="B49" s="5"/>
      <c r="C49" s="5" t="s">
        <v>126</v>
      </c>
      <c r="D49" s="5" t="s">
        <v>127</v>
      </c>
      <c r="E49" s="5" t="s">
        <v>64</v>
      </c>
      <c r="F49" s="5" t="n">
        <v>33785</v>
      </c>
    </row>
    <row r="50" customFormat="false" ht="15" hidden="false" customHeight="false" outlineLevel="0" collapsed="false">
      <c r="A50" s="5" t="n">
        <v>111</v>
      </c>
      <c r="B50" s="5"/>
      <c r="C50" s="5" t="s">
        <v>128</v>
      </c>
      <c r="D50" s="5" t="s">
        <v>129</v>
      </c>
      <c r="E50" s="5" t="s">
        <v>64</v>
      </c>
      <c r="F50" s="5" t="n">
        <v>33784</v>
      </c>
    </row>
    <row r="51" customFormat="false" ht="15" hidden="false" customHeight="false" outlineLevel="0" collapsed="false">
      <c r="A51" s="5" t="n">
        <v>112</v>
      </c>
      <c r="B51" s="5"/>
      <c r="C51" s="5" t="s">
        <v>130</v>
      </c>
      <c r="D51" s="5" t="s">
        <v>129</v>
      </c>
      <c r="E51" s="5" t="s">
        <v>64</v>
      </c>
      <c r="F51" s="5" t="n">
        <v>33780</v>
      </c>
    </row>
    <row r="52" customFormat="false" ht="15" hidden="false" customHeight="false" outlineLevel="0" collapsed="false">
      <c r="A52" s="5" t="n">
        <v>113</v>
      </c>
      <c r="B52" s="5"/>
      <c r="C52" s="5" t="s">
        <v>131</v>
      </c>
      <c r="D52" s="5" t="s">
        <v>132</v>
      </c>
      <c r="E52" s="5" t="s">
        <v>133</v>
      </c>
      <c r="F52" s="5" t="n">
        <v>28983</v>
      </c>
    </row>
    <row r="53" customFormat="false" ht="15" hidden="false" customHeight="false" outlineLevel="0" collapsed="false">
      <c r="A53" s="5" t="n">
        <v>114</v>
      </c>
      <c r="B53" s="5"/>
      <c r="C53" s="5" t="s">
        <v>134</v>
      </c>
      <c r="D53" s="5" t="s">
        <v>132</v>
      </c>
      <c r="E53" s="5" t="s">
        <v>135</v>
      </c>
      <c r="F53" s="5" t="n">
        <v>28988</v>
      </c>
    </row>
    <row r="54" customFormat="false" ht="15" hidden="false" customHeight="false" outlineLevel="0" collapsed="false">
      <c r="A54" s="5" t="n">
        <v>115</v>
      </c>
      <c r="B54" s="5"/>
      <c r="C54" s="5" t="s">
        <v>136</v>
      </c>
      <c r="D54" s="5" t="s">
        <v>132</v>
      </c>
      <c r="E54" s="5" t="s">
        <v>137</v>
      </c>
      <c r="F54" s="5" t="n">
        <v>28989</v>
      </c>
    </row>
    <row r="55" customFormat="false" ht="15" hidden="false" customHeight="false" outlineLevel="0" collapsed="false">
      <c r="A55" s="5" t="n">
        <v>116</v>
      </c>
      <c r="B55" s="5"/>
      <c r="C55" s="5" t="s">
        <v>138</v>
      </c>
      <c r="D55" s="5" t="s">
        <v>132</v>
      </c>
      <c r="E55" s="5" t="s">
        <v>139</v>
      </c>
      <c r="F55" s="5" t="n">
        <v>28990</v>
      </c>
    </row>
    <row r="56" customFormat="false" ht="15" hidden="false" customHeight="false" outlineLevel="0" collapsed="false">
      <c r="A56" s="5" t="n">
        <v>117</v>
      </c>
      <c r="B56" s="5"/>
      <c r="C56" s="5" t="s">
        <v>140</v>
      </c>
      <c r="D56" s="5" t="s">
        <v>132</v>
      </c>
      <c r="E56" s="5" t="s">
        <v>141</v>
      </c>
      <c r="F56" s="5" t="n">
        <v>28992</v>
      </c>
    </row>
    <row r="57" customFormat="false" ht="15" hidden="false" customHeight="false" outlineLevel="0" collapsed="false">
      <c r="A57" s="5" t="n">
        <v>119</v>
      </c>
      <c r="B57" s="5"/>
      <c r="C57" s="5" t="s">
        <v>142</v>
      </c>
      <c r="D57" s="5" t="s">
        <v>40</v>
      </c>
      <c r="E57" s="5" t="s">
        <v>143</v>
      </c>
      <c r="F57" s="5" t="n">
        <v>27030</v>
      </c>
    </row>
    <row r="58" customFormat="false" ht="15" hidden="false" customHeight="false" outlineLevel="0" collapsed="false">
      <c r="A58" s="5" t="n">
        <v>120</v>
      </c>
      <c r="B58" s="5"/>
      <c r="C58" s="5" t="s">
        <v>144</v>
      </c>
      <c r="D58" s="5" t="s">
        <v>40</v>
      </c>
      <c r="E58" s="5" t="s">
        <v>143</v>
      </c>
      <c r="F58" s="5" t="n">
        <v>27031</v>
      </c>
    </row>
    <row r="59" customFormat="false" ht="15" hidden="false" customHeight="false" outlineLevel="0" collapsed="false">
      <c r="A59" s="5" t="n">
        <v>121</v>
      </c>
      <c r="B59" s="5"/>
      <c r="C59" s="5" t="s">
        <v>145</v>
      </c>
      <c r="D59" s="5" t="s">
        <v>40</v>
      </c>
      <c r="E59" s="5" t="s">
        <v>143</v>
      </c>
      <c r="F59" s="5" t="n">
        <v>27032</v>
      </c>
    </row>
    <row r="60" customFormat="false" ht="15" hidden="false" customHeight="false" outlineLevel="0" collapsed="false">
      <c r="A60" s="5" t="n">
        <v>122</v>
      </c>
      <c r="B60" s="5"/>
      <c r="C60" s="5" t="s">
        <v>146</v>
      </c>
      <c r="D60" s="5" t="s">
        <v>40</v>
      </c>
      <c r="E60" s="5" t="s">
        <v>143</v>
      </c>
      <c r="F60" s="5" t="n">
        <v>27033</v>
      </c>
    </row>
    <row r="61" customFormat="false" ht="15" hidden="false" customHeight="false" outlineLevel="0" collapsed="false">
      <c r="A61" s="5" t="n">
        <v>123</v>
      </c>
      <c r="B61" s="5"/>
      <c r="C61" s="5" t="s">
        <v>147</v>
      </c>
      <c r="D61" s="5" t="s">
        <v>40</v>
      </c>
      <c r="E61" s="5" t="s">
        <v>143</v>
      </c>
      <c r="F61" s="5" t="n">
        <v>27034</v>
      </c>
    </row>
    <row r="62" customFormat="false" ht="15" hidden="false" customHeight="false" outlineLevel="0" collapsed="false">
      <c r="A62" s="5" t="n">
        <v>125</v>
      </c>
      <c r="B62" s="5"/>
      <c r="C62" s="5" t="s">
        <v>148</v>
      </c>
      <c r="D62" s="5" t="s">
        <v>132</v>
      </c>
      <c r="E62" s="5" t="s">
        <v>149</v>
      </c>
      <c r="F62" s="5" t="n">
        <v>28967</v>
      </c>
    </row>
    <row r="63" customFormat="false" ht="15" hidden="false" customHeight="false" outlineLevel="0" collapsed="false">
      <c r="A63" s="5" t="n">
        <v>144</v>
      </c>
      <c r="B63" s="5"/>
      <c r="C63" s="5" t="s">
        <v>150</v>
      </c>
      <c r="D63" s="5" t="s">
        <v>151</v>
      </c>
      <c r="E63" s="5" t="s">
        <v>152</v>
      </c>
      <c r="F63" s="5" t="n">
        <v>31229</v>
      </c>
    </row>
    <row r="64" customFormat="false" ht="15" hidden="false" customHeight="false" outlineLevel="0" collapsed="false">
      <c r="A64" s="5" t="n">
        <v>146</v>
      </c>
      <c r="B64" s="5"/>
      <c r="C64" s="5" t="s">
        <v>153</v>
      </c>
      <c r="D64" s="5" t="s">
        <v>40</v>
      </c>
      <c r="E64" s="5" t="s">
        <v>154</v>
      </c>
      <c r="F64" s="5" t="n">
        <v>36756</v>
      </c>
    </row>
    <row r="65" customFormat="false" ht="15" hidden="false" customHeight="false" outlineLevel="0" collapsed="false">
      <c r="A65" s="5" t="n">
        <v>148</v>
      </c>
      <c r="B65" s="5"/>
      <c r="C65" s="5" t="s">
        <v>155</v>
      </c>
      <c r="D65" s="5" t="s">
        <v>104</v>
      </c>
      <c r="E65" s="5" t="s">
        <v>152</v>
      </c>
      <c r="F65" s="5" t="n">
        <v>31231</v>
      </c>
    </row>
    <row r="66" customFormat="false" ht="15" hidden="false" customHeight="false" outlineLevel="0" collapsed="false">
      <c r="A66" s="5" t="n">
        <v>163</v>
      </c>
      <c r="B66" s="5"/>
      <c r="C66" s="5" t="s">
        <v>156</v>
      </c>
      <c r="D66" s="5" t="s">
        <v>157</v>
      </c>
      <c r="E66" s="5" t="s">
        <v>158</v>
      </c>
      <c r="F66" s="5" t="n">
        <v>30283</v>
      </c>
    </row>
    <row r="67" customFormat="false" ht="15" hidden="false" customHeight="false" outlineLevel="0" collapsed="false">
      <c r="A67" s="5" t="n">
        <v>164</v>
      </c>
      <c r="B67" s="5"/>
      <c r="C67" s="5" t="s">
        <v>159</v>
      </c>
      <c r="D67" s="5" t="s">
        <v>157</v>
      </c>
      <c r="E67" s="5" t="s">
        <v>160</v>
      </c>
      <c r="F67" s="5" t="n">
        <v>30282</v>
      </c>
    </row>
    <row r="68" customFormat="false" ht="15" hidden="false" customHeight="false" outlineLevel="0" collapsed="false">
      <c r="A68" s="5" t="n">
        <v>167</v>
      </c>
      <c r="B68" s="5"/>
      <c r="C68" s="5" t="s">
        <v>161</v>
      </c>
      <c r="D68" s="5" t="s">
        <v>151</v>
      </c>
      <c r="E68" s="5" t="s">
        <v>162</v>
      </c>
      <c r="F68" s="5" t="n">
        <v>31225</v>
      </c>
    </row>
    <row r="69" customFormat="false" ht="15" hidden="false" customHeight="false" outlineLevel="0" collapsed="false">
      <c r="A69" s="5" t="n">
        <v>168</v>
      </c>
      <c r="B69" s="5"/>
      <c r="C69" s="5" t="s">
        <v>163</v>
      </c>
      <c r="D69" s="5" t="s">
        <v>151</v>
      </c>
      <c r="E69" s="5" t="s">
        <v>162</v>
      </c>
      <c r="F69" s="5" t="n">
        <v>31227</v>
      </c>
    </row>
    <row r="70" customFormat="false" ht="15" hidden="false" customHeight="false" outlineLevel="0" collapsed="false">
      <c r="A70" s="5" t="n">
        <v>169</v>
      </c>
      <c r="B70" s="5"/>
      <c r="C70" s="5" t="s">
        <v>164</v>
      </c>
      <c r="D70" s="5" t="s">
        <v>151</v>
      </c>
      <c r="E70" s="5" t="s">
        <v>165</v>
      </c>
      <c r="F70" s="5" t="n">
        <v>31226</v>
      </c>
    </row>
    <row r="71" customFormat="false" ht="15" hidden="false" customHeight="false" outlineLevel="0" collapsed="false">
      <c r="A71" s="5" t="n">
        <v>171</v>
      </c>
      <c r="B71" s="5"/>
      <c r="C71" s="5" t="s">
        <v>166</v>
      </c>
      <c r="D71" s="5" t="s">
        <v>157</v>
      </c>
      <c r="E71" s="5" t="s">
        <v>167</v>
      </c>
      <c r="F71" s="5" t="n">
        <v>31221</v>
      </c>
    </row>
    <row r="72" customFormat="false" ht="15" hidden="false" customHeight="false" outlineLevel="0" collapsed="false">
      <c r="A72" s="5" t="n">
        <v>172</v>
      </c>
      <c r="B72" s="5"/>
      <c r="C72" s="5" t="s">
        <v>168</v>
      </c>
      <c r="D72" s="5" t="s">
        <v>169</v>
      </c>
      <c r="E72" s="5" t="s">
        <v>170</v>
      </c>
      <c r="F72" s="5" t="n">
        <v>64878</v>
      </c>
    </row>
    <row r="73" customFormat="false" ht="15" hidden="false" customHeight="false" outlineLevel="0" collapsed="false">
      <c r="A73" s="5" t="n">
        <v>175</v>
      </c>
      <c r="B73" s="5"/>
      <c r="C73" s="5" t="s">
        <v>171</v>
      </c>
      <c r="D73" s="5" t="s">
        <v>172</v>
      </c>
      <c r="E73" s="5" t="s">
        <v>173</v>
      </c>
      <c r="F73" s="5" t="n">
        <v>61594</v>
      </c>
    </row>
    <row r="74" customFormat="false" ht="15" hidden="false" customHeight="false" outlineLevel="0" collapsed="false">
      <c r="A74" s="5" t="n">
        <v>176</v>
      </c>
      <c r="B74" s="5"/>
      <c r="C74" s="5" t="s">
        <v>174</v>
      </c>
      <c r="D74" s="5" t="s">
        <v>172</v>
      </c>
      <c r="E74" s="5" t="s">
        <v>48</v>
      </c>
      <c r="F74" s="5" t="n">
        <v>61593</v>
      </c>
    </row>
    <row r="75" customFormat="false" ht="15" hidden="false" customHeight="false" outlineLevel="0" collapsed="false">
      <c r="A75" s="5" t="n">
        <v>177</v>
      </c>
      <c r="B75" s="5"/>
      <c r="C75" s="5" t="s">
        <v>175</v>
      </c>
      <c r="D75" s="5" t="s">
        <v>176</v>
      </c>
      <c r="E75" s="5" t="s">
        <v>177</v>
      </c>
      <c r="F75" s="5" t="n">
        <v>32911</v>
      </c>
    </row>
    <row r="76" customFormat="false" ht="15" hidden="false" customHeight="false" outlineLevel="0" collapsed="false">
      <c r="A76" s="5" t="n">
        <v>178</v>
      </c>
      <c r="B76" s="5"/>
      <c r="C76" s="5" t="s">
        <v>178</v>
      </c>
      <c r="D76" s="5" t="s">
        <v>176</v>
      </c>
      <c r="E76" s="5" t="s">
        <v>179</v>
      </c>
      <c r="F76" s="5" t="n">
        <v>32912</v>
      </c>
    </row>
    <row r="77" customFormat="false" ht="15" hidden="false" customHeight="false" outlineLevel="0" collapsed="false">
      <c r="A77" s="5" t="n">
        <v>179</v>
      </c>
      <c r="B77" s="5"/>
      <c r="C77" s="5" t="s">
        <v>180</v>
      </c>
      <c r="D77" s="5" t="s">
        <v>181</v>
      </c>
      <c r="E77" s="5" t="s">
        <v>179</v>
      </c>
      <c r="F77" s="5" t="n">
        <v>34434</v>
      </c>
    </row>
    <row r="78" customFormat="false" ht="15" hidden="false" customHeight="false" outlineLevel="0" collapsed="false">
      <c r="A78" s="5" t="n">
        <v>181</v>
      </c>
      <c r="B78" s="5"/>
      <c r="C78" s="5" t="s">
        <v>182</v>
      </c>
      <c r="D78" s="5" t="s">
        <v>183</v>
      </c>
      <c r="E78" s="5" t="s">
        <v>184</v>
      </c>
      <c r="F78" s="5" t="n">
        <v>63815</v>
      </c>
    </row>
    <row r="79" customFormat="false" ht="15" hidden="false" customHeight="false" outlineLevel="0" collapsed="false">
      <c r="A79" s="5" t="n">
        <v>182</v>
      </c>
      <c r="B79" s="5"/>
      <c r="C79" s="5" t="s">
        <v>185</v>
      </c>
      <c r="D79" s="5" t="s">
        <v>183</v>
      </c>
      <c r="E79" s="5" t="s">
        <v>184</v>
      </c>
      <c r="F79" s="5" t="n">
        <v>63816</v>
      </c>
    </row>
    <row r="80" customFormat="false" ht="15" hidden="false" customHeight="false" outlineLevel="0" collapsed="false">
      <c r="A80" s="5" t="n">
        <v>183</v>
      </c>
      <c r="B80" s="5"/>
      <c r="C80" s="5" t="s">
        <v>186</v>
      </c>
      <c r="D80" s="5" t="s">
        <v>187</v>
      </c>
      <c r="E80" s="5" t="s">
        <v>184</v>
      </c>
      <c r="F80" s="5" t="n">
        <v>61558</v>
      </c>
    </row>
    <row r="81" customFormat="false" ht="15" hidden="false" customHeight="false" outlineLevel="0" collapsed="false">
      <c r="A81" s="5" t="n">
        <v>189</v>
      </c>
      <c r="B81" s="5"/>
      <c r="C81" s="5" t="s">
        <v>188</v>
      </c>
      <c r="D81" s="5" t="s">
        <v>189</v>
      </c>
      <c r="E81" s="5" t="s">
        <v>190</v>
      </c>
      <c r="F81" s="5" t="n">
        <v>23511</v>
      </c>
    </row>
    <row r="82" customFormat="false" ht="15" hidden="false" customHeight="false" outlineLevel="0" collapsed="false">
      <c r="A82" s="5" t="n">
        <v>190</v>
      </c>
      <c r="B82" s="5"/>
      <c r="C82" s="5" t="s">
        <v>191</v>
      </c>
      <c r="D82" s="5" t="s">
        <v>192</v>
      </c>
      <c r="E82" s="5" t="s">
        <v>190</v>
      </c>
      <c r="F82" s="5" t="n">
        <v>15422</v>
      </c>
    </row>
    <row r="83" customFormat="false" ht="15" hidden="false" customHeight="false" outlineLevel="0" collapsed="false">
      <c r="A83" s="5" t="n">
        <v>191</v>
      </c>
      <c r="B83" s="5"/>
      <c r="C83" s="5" t="s">
        <v>193</v>
      </c>
      <c r="D83" s="5" t="s">
        <v>192</v>
      </c>
      <c r="E83" s="5" t="s">
        <v>190</v>
      </c>
      <c r="F83" s="5" t="n">
        <v>36840</v>
      </c>
    </row>
    <row r="84" customFormat="false" ht="15" hidden="false" customHeight="false" outlineLevel="0" collapsed="false">
      <c r="A84" s="5" t="n">
        <v>192</v>
      </c>
      <c r="B84" s="5"/>
      <c r="C84" s="5" t="s">
        <v>194</v>
      </c>
      <c r="D84" s="5" t="s">
        <v>192</v>
      </c>
      <c r="E84" s="5" t="s">
        <v>190</v>
      </c>
      <c r="F84" s="5" t="n">
        <v>36827</v>
      </c>
    </row>
    <row r="85" customFormat="false" ht="15" hidden="false" customHeight="false" outlineLevel="0" collapsed="false">
      <c r="A85" s="5" t="n">
        <v>193</v>
      </c>
      <c r="B85" s="5"/>
      <c r="C85" s="5" t="s">
        <v>195</v>
      </c>
      <c r="D85" s="5" t="s">
        <v>192</v>
      </c>
      <c r="E85" s="5" t="s">
        <v>190</v>
      </c>
      <c r="F85" s="5" t="n">
        <v>36830</v>
      </c>
    </row>
    <row r="86" customFormat="false" ht="15" hidden="false" customHeight="false" outlineLevel="0" collapsed="false">
      <c r="A86" s="5" t="n">
        <v>194</v>
      </c>
      <c r="B86" s="5"/>
      <c r="C86" s="5" t="s">
        <v>196</v>
      </c>
      <c r="D86" s="5" t="s">
        <v>192</v>
      </c>
      <c r="E86" s="5" t="s">
        <v>190</v>
      </c>
      <c r="F86" s="5" t="n">
        <v>36828</v>
      </c>
    </row>
    <row r="87" customFormat="false" ht="15" hidden="false" customHeight="false" outlineLevel="0" collapsed="false">
      <c r="A87" s="5" t="n">
        <v>195</v>
      </c>
      <c r="B87" s="5"/>
      <c r="C87" s="5" t="s">
        <v>197</v>
      </c>
      <c r="D87" s="5" t="s">
        <v>192</v>
      </c>
      <c r="E87" s="5" t="s">
        <v>190</v>
      </c>
      <c r="F87" s="5" t="n">
        <v>36837</v>
      </c>
    </row>
    <row r="88" customFormat="false" ht="15" hidden="false" customHeight="false" outlineLevel="0" collapsed="false">
      <c r="A88" s="5" t="n">
        <v>196</v>
      </c>
      <c r="B88" s="5"/>
      <c r="C88" s="5" t="s">
        <v>198</v>
      </c>
      <c r="D88" s="5" t="s">
        <v>192</v>
      </c>
      <c r="E88" s="5" t="s">
        <v>190</v>
      </c>
      <c r="F88" s="5" t="n">
        <v>36835</v>
      </c>
    </row>
    <row r="89" customFormat="false" ht="15" hidden="false" customHeight="false" outlineLevel="0" collapsed="false">
      <c r="A89" s="5" t="n">
        <v>197</v>
      </c>
      <c r="B89" s="5"/>
      <c r="C89" s="5" t="s">
        <v>199</v>
      </c>
      <c r="D89" s="5" t="s">
        <v>192</v>
      </c>
      <c r="E89" s="5" t="s">
        <v>200</v>
      </c>
      <c r="F89" s="5" t="n">
        <v>36831</v>
      </c>
    </row>
    <row r="90" customFormat="false" ht="15" hidden="false" customHeight="false" outlineLevel="0" collapsed="false">
      <c r="A90" s="5" t="n">
        <v>198</v>
      </c>
      <c r="B90" s="5"/>
      <c r="C90" s="5" t="s">
        <v>201</v>
      </c>
      <c r="D90" s="5" t="s">
        <v>192</v>
      </c>
      <c r="E90" s="5" t="s">
        <v>190</v>
      </c>
      <c r="F90" s="5" t="n">
        <v>15425</v>
      </c>
    </row>
    <row r="91" customFormat="false" ht="15" hidden="false" customHeight="false" outlineLevel="0" collapsed="false">
      <c r="A91" s="5" t="n">
        <v>199</v>
      </c>
      <c r="B91" s="5"/>
      <c r="C91" s="5" t="s">
        <v>202</v>
      </c>
      <c r="D91" s="5" t="s">
        <v>192</v>
      </c>
      <c r="E91" s="5" t="s">
        <v>190</v>
      </c>
      <c r="F91" s="5" t="n">
        <v>15424</v>
      </c>
    </row>
    <row r="92" customFormat="false" ht="15" hidden="false" customHeight="false" outlineLevel="0" collapsed="false">
      <c r="A92" s="5" t="n">
        <v>200</v>
      </c>
      <c r="B92" s="5"/>
      <c r="C92" s="5" t="s">
        <v>203</v>
      </c>
      <c r="D92" s="5" t="s">
        <v>192</v>
      </c>
      <c r="E92" s="5" t="s">
        <v>190</v>
      </c>
      <c r="F92" s="5" t="n">
        <v>36884</v>
      </c>
    </row>
    <row r="93" customFormat="false" ht="15" hidden="false" customHeight="false" outlineLevel="0" collapsed="false">
      <c r="A93" s="5" t="n">
        <v>201</v>
      </c>
      <c r="B93" s="5"/>
      <c r="C93" s="5" t="s">
        <v>204</v>
      </c>
      <c r="D93" s="5" t="s">
        <v>192</v>
      </c>
      <c r="E93" s="5" t="s">
        <v>190</v>
      </c>
      <c r="F93" s="5" t="n">
        <v>15426</v>
      </c>
    </row>
    <row r="94" customFormat="false" ht="15" hidden="false" customHeight="false" outlineLevel="0" collapsed="false">
      <c r="A94" s="5" t="n">
        <v>202</v>
      </c>
      <c r="B94" s="5"/>
      <c r="C94" s="5" t="s">
        <v>205</v>
      </c>
      <c r="D94" s="5" t="s">
        <v>192</v>
      </c>
      <c r="E94" s="5" t="s">
        <v>190</v>
      </c>
      <c r="F94" s="5" t="n">
        <v>36846</v>
      </c>
    </row>
    <row r="95" customFormat="false" ht="15" hidden="false" customHeight="false" outlineLevel="0" collapsed="false">
      <c r="A95" s="5" t="n">
        <v>203</v>
      </c>
      <c r="B95" s="5"/>
      <c r="C95" s="5" t="s">
        <v>206</v>
      </c>
      <c r="D95" s="5" t="s">
        <v>192</v>
      </c>
      <c r="E95" s="5" t="s">
        <v>190</v>
      </c>
      <c r="F95" s="5" t="n">
        <v>15423</v>
      </c>
    </row>
    <row r="96" customFormat="false" ht="15" hidden="false" customHeight="false" outlineLevel="0" collapsed="false">
      <c r="A96" s="5" t="n">
        <v>204</v>
      </c>
      <c r="B96" s="5"/>
      <c r="C96" s="5" t="s">
        <v>207</v>
      </c>
      <c r="D96" s="5" t="s">
        <v>192</v>
      </c>
      <c r="E96" s="5" t="s">
        <v>190</v>
      </c>
      <c r="F96" s="5" t="n">
        <v>36824</v>
      </c>
    </row>
    <row r="97" customFormat="false" ht="15" hidden="false" customHeight="false" outlineLevel="0" collapsed="false">
      <c r="A97" s="5" t="n">
        <v>205</v>
      </c>
      <c r="B97" s="5"/>
      <c r="C97" s="5" t="s">
        <v>208</v>
      </c>
      <c r="D97" s="5" t="s">
        <v>192</v>
      </c>
      <c r="E97" s="5" t="s">
        <v>190</v>
      </c>
      <c r="F97" s="5" t="n">
        <v>36833</v>
      </c>
    </row>
    <row r="98" customFormat="false" ht="15" hidden="false" customHeight="false" outlineLevel="0" collapsed="false">
      <c r="A98" s="5" t="n">
        <v>206</v>
      </c>
      <c r="B98" s="5"/>
      <c r="C98" s="5" t="s">
        <v>209</v>
      </c>
      <c r="D98" s="5" t="s">
        <v>189</v>
      </c>
      <c r="E98" s="5" t="s">
        <v>190</v>
      </c>
      <c r="F98" s="5" t="n">
        <v>32183</v>
      </c>
    </row>
    <row r="99" customFormat="false" ht="15" hidden="false" customHeight="false" outlineLevel="0" collapsed="false">
      <c r="A99" s="5" t="n">
        <v>207</v>
      </c>
      <c r="B99" s="5"/>
      <c r="C99" s="5" t="s">
        <v>210</v>
      </c>
      <c r="D99" s="5" t="s">
        <v>192</v>
      </c>
      <c r="E99" s="5" t="s">
        <v>190</v>
      </c>
      <c r="F99" s="5" t="n">
        <v>15427</v>
      </c>
    </row>
    <row r="100" customFormat="false" ht="15" hidden="false" customHeight="false" outlineLevel="0" collapsed="false">
      <c r="A100" s="5" t="n">
        <v>209</v>
      </c>
      <c r="B100" s="5"/>
      <c r="C100" s="5" t="s">
        <v>211</v>
      </c>
      <c r="D100" s="5" t="s">
        <v>192</v>
      </c>
      <c r="E100" s="5" t="s">
        <v>190</v>
      </c>
      <c r="F100" s="5" t="n">
        <v>15429</v>
      </c>
    </row>
    <row r="101" customFormat="false" ht="15" hidden="false" customHeight="false" outlineLevel="0" collapsed="false">
      <c r="A101" s="5" t="n">
        <v>211</v>
      </c>
      <c r="B101" s="5"/>
      <c r="C101" s="5" t="s">
        <v>212</v>
      </c>
      <c r="D101" s="5" t="s">
        <v>189</v>
      </c>
      <c r="E101" s="5" t="s">
        <v>190</v>
      </c>
      <c r="F101" s="5" t="n">
        <v>32180</v>
      </c>
    </row>
    <row r="102" customFormat="false" ht="15" hidden="false" customHeight="false" outlineLevel="0" collapsed="false">
      <c r="A102" s="5" t="n">
        <v>212</v>
      </c>
      <c r="B102" s="5"/>
      <c r="C102" s="5" t="s">
        <v>213</v>
      </c>
      <c r="D102" s="5" t="s">
        <v>189</v>
      </c>
      <c r="E102" s="5" t="s">
        <v>190</v>
      </c>
      <c r="F102" s="5" t="n">
        <v>32181</v>
      </c>
    </row>
    <row r="103" customFormat="false" ht="15" hidden="false" customHeight="false" outlineLevel="0" collapsed="false">
      <c r="A103" s="5" t="n">
        <v>213</v>
      </c>
      <c r="B103" s="5"/>
      <c r="C103" s="5" t="s">
        <v>214</v>
      </c>
      <c r="D103" s="5" t="s">
        <v>189</v>
      </c>
      <c r="E103" s="5" t="s">
        <v>190</v>
      </c>
      <c r="F103" s="5" t="n">
        <v>32182</v>
      </c>
    </row>
    <row r="104" customFormat="false" ht="15" hidden="false" customHeight="false" outlineLevel="0" collapsed="false">
      <c r="A104" s="5" t="n">
        <v>214</v>
      </c>
      <c r="B104" s="5"/>
      <c r="C104" s="5" t="s">
        <v>215</v>
      </c>
      <c r="D104" s="5" t="s">
        <v>189</v>
      </c>
      <c r="E104" s="5" t="s">
        <v>190</v>
      </c>
      <c r="F104" s="5" t="n">
        <v>32184</v>
      </c>
    </row>
    <row r="105" customFormat="false" ht="15" hidden="false" customHeight="false" outlineLevel="0" collapsed="false">
      <c r="A105" s="5" t="n">
        <v>225</v>
      </c>
      <c r="B105" s="5"/>
      <c r="C105" s="5" t="s">
        <v>216</v>
      </c>
      <c r="D105" s="5" t="s">
        <v>217</v>
      </c>
      <c r="E105" s="5" t="s">
        <v>53</v>
      </c>
      <c r="F105" s="5" t="n">
        <v>32185</v>
      </c>
    </row>
    <row r="106" customFormat="false" ht="15" hidden="false" customHeight="false" outlineLevel="0" collapsed="false">
      <c r="A106" s="5" t="n">
        <v>229</v>
      </c>
      <c r="B106" s="5"/>
      <c r="C106" s="5" t="s">
        <v>218</v>
      </c>
      <c r="D106" s="5" t="s">
        <v>104</v>
      </c>
      <c r="E106" s="5" t="s">
        <v>94</v>
      </c>
      <c r="F106" s="5" t="n">
        <v>37191</v>
      </c>
    </row>
    <row r="107" customFormat="false" ht="15" hidden="false" customHeight="false" outlineLevel="0" collapsed="false">
      <c r="A107" s="5" t="n">
        <v>230</v>
      </c>
      <c r="B107" s="5"/>
      <c r="C107" s="5" t="s">
        <v>219</v>
      </c>
      <c r="D107" s="5" t="s">
        <v>104</v>
      </c>
      <c r="E107" s="5" t="s">
        <v>94</v>
      </c>
      <c r="F107" s="5" t="n">
        <v>37190</v>
      </c>
    </row>
    <row r="108" customFormat="false" ht="15" hidden="false" customHeight="false" outlineLevel="0" collapsed="false">
      <c r="A108" s="5" t="n">
        <v>238</v>
      </c>
      <c r="B108" s="5"/>
      <c r="C108" s="5" t="s">
        <v>220</v>
      </c>
      <c r="D108" s="5" t="s">
        <v>104</v>
      </c>
      <c r="E108" s="5" t="s">
        <v>221</v>
      </c>
      <c r="F108" s="5" t="n">
        <v>12586</v>
      </c>
    </row>
    <row r="109" customFormat="false" ht="15" hidden="false" customHeight="false" outlineLevel="0" collapsed="false">
      <c r="A109" s="5" t="n">
        <v>239</v>
      </c>
      <c r="B109" s="5"/>
      <c r="C109" s="5" t="s">
        <v>222</v>
      </c>
      <c r="D109" s="5" t="s">
        <v>104</v>
      </c>
      <c r="E109" s="5" t="s">
        <v>221</v>
      </c>
      <c r="F109" s="5" t="n">
        <v>12597</v>
      </c>
    </row>
    <row r="110" customFormat="false" ht="15" hidden="false" customHeight="false" outlineLevel="0" collapsed="false">
      <c r="A110" s="5" t="n">
        <v>240</v>
      </c>
      <c r="B110" s="5"/>
      <c r="C110" s="5" t="s">
        <v>223</v>
      </c>
      <c r="D110" s="5" t="s">
        <v>104</v>
      </c>
      <c r="E110" s="5" t="s">
        <v>221</v>
      </c>
      <c r="F110" s="5" t="n">
        <v>19646</v>
      </c>
    </row>
    <row r="111" customFormat="false" ht="15" hidden="false" customHeight="false" outlineLevel="0" collapsed="false">
      <c r="A111" s="5" t="n">
        <v>241</v>
      </c>
      <c r="B111" s="5"/>
      <c r="C111" s="5" t="s">
        <v>224</v>
      </c>
      <c r="D111" s="5" t="s">
        <v>104</v>
      </c>
      <c r="E111" s="5" t="s">
        <v>221</v>
      </c>
      <c r="F111" s="5" t="n">
        <v>19647</v>
      </c>
    </row>
    <row r="112" customFormat="false" ht="15" hidden="false" customHeight="false" outlineLevel="0" collapsed="false">
      <c r="A112" s="5" t="n">
        <v>242</v>
      </c>
      <c r="B112" s="5"/>
      <c r="C112" s="5" t="s">
        <v>225</v>
      </c>
      <c r="D112" s="5" t="s">
        <v>226</v>
      </c>
      <c r="E112" s="5" t="s">
        <v>221</v>
      </c>
      <c r="F112" s="5" t="n">
        <v>24809</v>
      </c>
    </row>
    <row r="113" customFormat="false" ht="15" hidden="false" customHeight="false" outlineLevel="0" collapsed="false">
      <c r="A113" s="5" t="n">
        <v>243</v>
      </c>
      <c r="B113" s="5"/>
      <c r="C113" s="5" t="s">
        <v>227</v>
      </c>
      <c r="D113" s="5" t="s">
        <v>226</v>
      </c>
      <c r="E113" s="5" t="s">
        <v>221</v>
      </c>
      <c r="F113" s="5" t="n">
        <v>24805</v>
      </c>
    </row>
    <row r="114" customFormat="false" ht="15" hidden="false" customHeight="false" outlineLevel="0" collapsed="false">
      <c r="A114" s="5" t="n">
        <v>244</v>
      </c>
      <c r="B114" s="5"/>
      <c r="C114" s="5" t="s">
        <v>228</v>
      </c>
      <c r="D114" s="5" t="s">
        <v>104</v>
      </c>
      <c r="E114" s="5" t="s">
        <v>221</v>
      </c>
      <c r="F114" s="5" t="n">
        <v>19600</v>
      </c>
    </row>
    <row r="115" customFormat="false" ht="15" hidden="false" customHeight="false" outlineLevel="0" collapsed="false">
      <c r="A115" s="5" t="n">
        <v>245</v>
      </c>
      <c r="B115" s="5"/>
      <c r="C115" s="5" t="s">
        <v>229</v>
      </c>
      <c r="D115" s="5" t="s">
        <v>104</v>
      </c>
      <c r="E115" s="5" t="s">
        <v>221</v>
      </c>
      <c r="F115" s="5" t="n">
        <v>24759</v>
      </c>
    </row>
    <row r="116" customFormat="false" ht="15" hidden="false" customHeight="false" outlineLevel="0" collapsed="false">
      <c r="A116" s="5" t="n">
        <v>246</v>
      </c>
      <c r="B116" s="5"/>
      <c r="C116" s="5" t="s">
        <v>230</v>
      </c>
      <c r="D116" s="5" t="s">
        <v>104</v>
      </c>
      <c r="E116" s="5" t="s">
        <v>221</v>
      </c>
      <c r="F116" s="5" t="n">
        <v>19598</v>
      </c>
    </row>
    <row r="117" customFormat="false" ht="15" hidden="false" customHeight="false" outlineLevel="0" collapsed="false">
      <c r="A117" s="5" t="n">
        <v>247</v>
      </c>
      <c r="B117" s="5"/>
      <c r="C117" s="5" t="s">
        <v>231</v>
      </c>
      <c r="D117" s="5" t="s">
        <v>104</v>
      </c>
      <c r="E117" s="5" t="s">
        <v>221</v>
      </c>
      <c r="F117" s="5" t="n">
        <v>12603</v>
      </c>
    </row>
    <row r="118" customFormat="false" ht="15" hidden="false" customHeight="false" outlineLevel="0" collapsed="false">
      <c r="A118" s="5" t="n">
        <v>249</v>
      </c>
      <c r="B118" s="5"/>
      <c r="C118" s="5" t="s">
        <v>232</v>
      </c>
      <c r="D118" s="5" t="s">
        <v>104</v>
      </c>
      <c r="E118" s="5" t="s">
        <v>221</v>
      </c>
      <c r="F118" s="5" t="n">
        <v>24475</v>
      </c>
    </row>
    <row r="119" customFormat="false" ht="15" hidden="false" customHeight="false" outlineLevel="0" collapsed="false">
      <c r="A119" s="5" t="n">
        <v>251</v>
      </c>
      <c r="B119" s="5"/>
      <c r="C119" s="5" t="s">
        <v>233</v>
      </c>
      <c r="D119" s="5" t="s">
        <v>104</v>
      </c>
      <c r="E119" s="5" t="s">
        <v>221</v>
      </c>
      <c r="F119" s="5" t="n">
        <v>12558</v>
      </c>
    </row>
    <row r="120" customFormat="false" ht="15" hidden="false" customHeight="false" outlineLevel="0" collapsed="false">
      <c r="A120" s="5" t="n">
        <v>252</v>
      </c>
      <c r="B120" s="5"/>
      <c r="C120" s="5" t="s">
        <v>234</v>
      </c>
      <c r="D120" s="5" t="s">
        <v>104</v>
      </c>
      <c r="E120" s="5" t="s">
        <v>221</v>
      </c>
      <c r="F120" s="5" t="n">
        <v>12582</v>
      </c>
    </row>
    <row r="121" customFormat="false" ht="15" hidden="false" customHeight="false" outlineLevel="0" collapsed="false">
      <c r="A121" s="5" t="n">
        <v>253</v>
      </c>
      <c r="B121" s="5"/>
      <c r="C121" s="5" t="s">
        <v>235</v>
      </c>
      <c r="D121" s="5" t="s">
        <v>104</v>
      </c>
      <c r="E121" s="5" t="s">
        <v>221</v>
      </c>
      <c r="F121" s="5" t="n">
        <v>24435</v>
      </c>
    </row>
    <row r="122" customFormat="false" ht="15" hidden="false" customHeight="false" outlineLevel="0" collapsed="false">
      <c r="A122" s="5" t="n">
        <v>254</v>
      </c>
      <c r="B122" s="5"/>
      <c r="C122" s="5" t="s">
        <v>236</v>
      </c>
      <c r="D122" s="5" t="s">
        <v>104</v>
      </c>
      <c r="E122" s="5" t="s">
        <v>221</v>
      </c>
      <c r="F122" s="5" t="n">
        <v>24768</v>
      </c>
    </row>
    <row r="123" customFormat="false" ht="15" hidden="false" customHeight="false" outlineLevel="0" collapsed="false">
      <c r="A123" s="5" t="n">
        <v>255</v>
      </c>
      <c r="B123" s="5"/>
      <c r="C123" s="5" t="s">
        <v>237</v>
      </c>
      <c r="D123" s="5" t="s">
        <v>104</v>
      </c>
      <c r="E123" s="5" t="s">
        <v>221</v>
      </c>
      <c r="F123" s="5" t="n">
        <v>24777</v>
      </c>
    </row>
    <row r="124" customFormat="false" ht="15" hidden="false" customHeight="false" outlineLevel="0" collapsed="false">
      <c r="A124" s="5" t="n">
        <v>257</v>
      </c>
      <c r="B124" s="5"/>
      <c r="C124" s="5" t="s">
        <v>238</v>
      </c>
      <c r="D124" s="5" t="s">
        <v>104</v>
      </c>
      <c r="E124" s="5" t="s">
        <v>221</v>
      </c>
      <c r="F124" s="5" t="n">
        <v>24766</v>
      </c>
    </row>
    <row r="125" customFormat="false" ht="15" hidden="false" customHeight="false" outlineLevel="0" collapsed="false">
      <c r="A125" s="5" t="n">
        <v>258</v>
      </c>
      <c r="B125" s="5"/>
      <c r="C125" s="5" t="s">
        <v>239</v>
      </c>
      <c r="D125" s="5" t="s">
        <v>104</v>
      </c>
      <c r="E125" s="5" t="s">
        <v>221</v>
      </c>
      <c r="F125" s="5" t="n">
        <v>12584</v>
      </c>
    </row>
    <row r="126" customFormat="false" ht="15" hidden="false" customHeight="false" outlineLevel="0" collapsed="false">
      <c r="A126" s="5" t="n">
        <v>259</v>
      </c>
      <c r="B126" s="5"/>
      <c r="C126" s="5" t="s">
        <v>240</v>
      </c>
      <c r="D126" s="5" t="s">
        <v>104</v>
      </c>
      <c r="E126" s="5" t="s">
        <v>221</v>
      </c>
      <c r="F126" s="5" t="n">
        <v>24763</v>
      </c>
    </row>
    <row r="127" customFormat="false" ht="15" hidden="false" customHeight="false" outlineLevel="0" collapsed="false">
      <c r="A127" s="5" t="n">
        <v>260</v>
      </c>
      <c r="B127" s="5"/>
      <c r="C127" s="5" t="s">
        <v>241</v>
      </c>
      <c r="D127" s="5" t="s">
        <v>104</v>
      </c>
      <c r="E127" s="5" t="s">
        <v>221</v>
      </c>
      <c r="F127" s="5" t="n">
        <v>24761</v>
      </c>
    </row>
    <row r="128" customFormat="false" ht="15" hidden="false" customHeight="false" outlineLevel="0" collapsed="false">
      <c r="A128" s="5" t="n">
        <v>261</v>
      </c>
      <c r="B128" s="5"/>
      <c r="C128" s="5" t="s">
        <v>242</v>
      </c>
      <c r="D128" s="5" t="s">
        <v>226</v>
      </c>
      <c r="E128" s="5" t="s">
        <v>221</v>
      </c>
      <c r="F128" s="5" t="n">
        <v>24822</v>
      </c>
    </row>
    <row r="129" customFormat="false" ht="15" hidden="false" customHeight="false" outlineLevel="0" collapsed="false">
      <c r="A129" s="5" t="n">
        <v>262</v>
      </c>
      <c r="B129" s="5"/>
      <c r="C129" s="5" t="s">
        <v>243</v>
      </c>
      <c r="D129" s="5" t="s">
        <v>104</v>
      </c>
      <c r="E129" s="5" t="s">
        <v>244</v>
      </c>
      <c r="F129" s="5" t="n">
        <v>19648</v>
      </c>
    </row>
    <row r="130" customFormat="false" ht="15" hidden="false" customHeight="false" outlineLevel="0" collapsed="false">
      <c r="A130" s="5" t="n">
        <v>263</v>
      </c>
      <c r="B130" s="5"/>
      <c r="C130" s="5" t="s">
        <v>245</v>
      </c>
      <c r="D130" s="5" t="s">
        <v>104</v>
      </c>
      <c r="E130" s="5" t="s">
        <v>221</v>
      </c>
      <c r="F130" s="5" t="n">
        <v>24762</v>
      </c>
    </row>
    <row r="131" customFormat="false" ht="15" hidden="false" customHeight="false" outlineLevel="0" collapsed="false">
      <c r="A131" s="5" t="n">
        <v>264</v>
      </c>
      <c r="B131" s="5"/>
      <c r="C131" s="5" t="s">
        <v>246</v>
      </c>
      <c r="D131" s="5" t="s">
        <v>104</v>
      </c>
      <c r="E131" s="5" t="s">
        <v>221</v>
      </c>
      <c r="F131" s="5" t="n">
        <v>19649</v>
      </c>
    </row>
    <row r="132" customFormat="false" ht="15" hidden="false" customHeight="false" outlineLevel="0" collapsed="false">
      <c r="A132" s="5" t="n">
        <v>265</v>
      </c>
      <c r="B132" s="5"/>
      <c r="C132" s="5" t="s">
        <v>247</v>
      </c>
      <c r="D132" s="5" t="s">
        <v>104</v>
      </c>
      <c r="E132" s="5" t="s">
        <v>221</v>
      </c>
      <c r="F132" s="5" t="n">
        <v>19594</v>
      </c>
    </row>
    <row r="133" customFormat="false" ht="15" hidden="false" customHeight="false" outlineLevel="0" collapsed="false">
      <c r="A133" s="5" t="n">
        <v>267</v>
      </c>
      <c r="B133" s="5"/>
      <c r="C133" s="5" t="s">
        <v>248</v>
      </c>
      <c r="D133" s="5" t="s">
        <v>104</v>
      </c>
      <c r="E133" s="5" t="s">
        <v>221</v>
      </c>
      <c r="F133" s="5" t="n">
        <v>24434</v>
      </c>
    </row>
    <row r="134" customFormat="false" ht="15" hidden="false" customHeight="false" outlineLevel="0" collapsed="false">
      <c r="A134" s="5" t="n">
        <v>272</v>
      </c>
      <c r="B134" s="5"/>
      <c r="C134" s="5" t="s">
        <v>249</v>
      </c>
      <c r="D134" s="5" t="s">
        <v>104</v>
      </c>
      <c r="E134" s="5" t="s">
        <v>221</v>
      </c>
      <c r="F134" s="5" t="n">
        <v>19651</v>
      </c>
    </row>
    <row r="135" customFormat="false" ht="15" hidden="false" customHeight="false" outlineLevel="0" collapsed="false">
      <c r="A135" s="5" t="n">
        <v>273</v>
      </c>
      <c r="B135" s="5"/>
      <c r="C135" s="5" t="s">
        <v>250</v>
      </c>
      <c r="D135" s="5" t="s">
        <v>104</v>
      </c>
      <c r="E135" s="5" t="s">
        <v>221</v>
      </c>
      <c r="F135" s="5" t="n">
        <v>19652</v>
      </c>
    </row>
    <row r="136" customFormat="false" ht="15" hidden="false" customHeight="false" outlineLevel="0" collapsed="false">
      <c r="A136" s="5" t="n">
        <v>275</v>
      </c>
      <c r="B136" s="5"/>
      <c r="C136" s="5" t="s">
        <v>251</v>
      </c>
      <c r="D136" s="5" t="s">
        <v>104</v>
      </c>
      <c r="E136" s="5" t="s">
        <v>252</v>
      </c>
      <c r="F136" s="5" t="n">
        <v>24775</v>
      </c>
    </row>
    <row r="137" customFormat="false" ht="15" hidden="false" customHeight="false" outlineLevel="0" collapsed="false">
      <c r="A137" s="5" t="n">
        <v>296</v>
      </c>
      <c r="B137" s="5"/>
      <c r="C137" s="5" t="s">
        <v>253</v>
      </c>
      <c r="D137" s="5" t="s">
        <v>104</v>
      </c>
      <c r="E137" s="5" t="s">
        <v>254</v>
      </c>
      <c r="F137" s="5" t="n">
        <v>50346</v>
      </c>
    </row>
    <row r="138" customFormat="false" ht="15" hidden="false" customHeight="false" outlineLevel="0" collapsed="false">
      <c r="A138" s="5" t="n">
        <v>297</v>
      </c>
      <c r="B138" s="5"/>
      <c r="C138" s="5" t="s">
        <v>255</v>
      </c>
      <c r="D138" s="5" t="s">
        <v>104</v>
      </c>
      <c r="E138" s="5" t="s">
        <v>173</v>
      </c>
      <c r="F138" s="5" t="n">
        <v>50335</v>
      </c>
    </row>
    <row r="139" customFormat="false" ht="15" hidden="false" customHeight="false" outlineLevel="0" collapsed="false">
      <c r="A139" s="5" t="n">
        <v>298</v>
      </c>
      <c r="B139" s="5"/>
      <c r="C139" s="5" t="s">
        <v>256</v>
      </c>
      <c r="D139" s="5" t="s">
        <v>257</v>
      </c>
      <c r="E139" s="5" t="s">
        <v>258</v>
      </c>
      <c r="F139" s="5" t="n">
        <v>34437</v>
      </c>
    </row>
    <row r="140" customFormat="false" ht="15" hidden="false" customHeight="false" outlineLevel="0" collapsed="false">
      <c r="A140" s="5" t="n">
        <v>299</v>
      </c>
      <c r="B140" s="5"/>
      <c r="C140" s="5" t="s">
        <v>259</v>
      </c>
      <c r="D140" s="5" t="s">
        <v>260</v>
      </c>
      <c r="E140" s="5" t="s">
        <v>261</v>
      </c>
      <c r="F140" s="5" t="n">
        <v>50332</v>
      </c>
    </row>
    <row r="141" customFormat="false" ht="15" hidden="false" customHeight="false" outlineLevel="0" collapsed="false">
      <c r="A141" s="5" t="n">
        <v>306</v>
      </c>
      <c r="B141" s="5"/>
      <c r="C141" s="5" t="s">
        <v>262</v>
      </c>
      <c r="D141" s="5" t="s">
        <v>263</v>
      </c>
      <c r="E141" s="5" t="s">
        <v>264</v>
      </c>
      <c r="F141" s="5" t="n">
        <v>14929</v>
      </c>
    </row>
    <row r="142" customFormat="false" ht="15" hidden="false" customHeight="false" outlineLevel="0" collapsed="false">
      <c r="A142" s="5" t="n">
        <v>308</v>
      </c>
      <c r="B142" s="5"/>
      <c r="C142" s="5" t="s">
        <v>265</v>
      </c>
      <c r="D142" s="5" t="s">
        <v>266</v>
      </c>
      <c r="E142" s="5" t="s">
        <v>267</v>
      </c>
      <c r="F142" s="5" t="n">
        <v>61647</v>
      </c>
    </row>
    <row r="143" customFormat="false" ht="15" hidden="false" customHeight="false" outlineLevel="0" collapsed="false">
      <c r="A143" s="5" t="n">
        <v>309</v>
      </c>
      <c r="B143" s="5"/>
      <c r="C143" s="5" t="s">
        <v>268</v>
      </c>
      <c r="D143" s="5" t="s">
        <v>269</v>
      </c>
      <c r="E143" s="5" t="s">
        <v>270</v>
      </c>
      <c r="F143" s="5" t="n">
        <v>23656</v>
      </c>
    </row>
    <row r="144" customFormat="false" ht="15" hidden="false" customHeight="false" outlineLevel="0" collapsed="false">
      <c r="A144" s="5" t="n">
        <v>310</v>
      </c>
      <c r="B144" s="5"/>
      <c r="C144" s="5" t="s">
        <v>271</v>
      </c>
      <c r="D144" s="5" t="s">
        <v>272</v>
      </c>
      <c r="E144" s="5" t="s">
        <v>273</v>
      </c>
      <c r="F144" s="5" t="n">
        <v>61654</v>
      </c>
    </row>
    <row r="145" customFormat="false" ht="15" hidden="false" customHeight="false" outlineLevel="0" collapsed="false">
      <c r="A145" s="5" t="n">
        <v>314</v>
      </c>
      <c r="B145" s="5"/>
      <c r="C145" s="5" t="s">
        <v>274</v>
      </c>
      <c r="D145" s="5" t="s">
        <v>275</v>
      </c>
      <c r="E145" s="5" t="s">
        <v>80</v>
      </c>
      <c r="F145" s="5" t="n">
        <v>14624</v>
      </c>
    </row>
    <row r="146" customFormat="false" ht="15" hidden="false" customHeight="false" outlineLevel="0" collapsed="false">
      <c r="A146" s="5" t="n">
        <v>317</v>
      </c>
      <c r="B146" s="5"/>
      <c r="C146" s="5" t="s">
        <v>276</v>
      </c>
      <c r="D146" s="5" t="s">
        <v>277</v>
      </c>
      <c r="E146" s="5" t="s">
        <v>278</v>
      </c>
      <c r="F146" s="5" t="n">
        <v>11692</v>
      </c>
    </row>
    <row r="147" customFormat="false" ht="15" hidden="false" customHeight="false" outlineLevel="0" collapsed="false">
      <c r="A147" s="5" t="n">
        <v>319</v>
      </c>
      <c r="B147" s="5"/>
      <c r="C147" s="5" t="s">
        <v>279</v>
      </c>
      <c r="D147" s="5" t="s">
        <v>280</v>
      </c>
      <c r="E147" s="5" t="s">
        <v>281</v>
      </c>
      <c r="F147" s="5" t="n">
        <v>62812</v>
      </c>
    </row>
    <row r="148" customFormat="false" ht="15" hidden="false" customHeight="false" outlineLevel="0" collapsed="false">
      <c r="A148" s="5" t="n">
        <v>320</v>
      </c>
      <c r="B148" s="5"/>
      <c r="C148" s="5" t="s">
        <v>282</v>
      </c>
      <c r="D148" s="5" t="s">
        <v>283</v>
      </c>
      <c r="E148" s="5" t="s">
        <v>284</v>
      </c>
      <c r="F148" s="5" t="n">
        <v>44503</v>
      </c>
    </row>
    <row r="149" customFormat="false" ht="15" hidden="false" customHeight="false" outlineLevel="0" collapsed="false">
      <c r="A149" s="5" t="n">
        <v>322</v>
      </c>
      <c r="B149" s="5"/>
      <c r="C149" s="5" t="s">
        <v>285</v>
      </c>
      <c r="D149" s="5" t="s">
        <v>286</v>
      </c>
      <c r="E149" s="5" t="s">
        <v>117</v>
      </c>
      <c r="F149" s="5" t="n">
        <v>37163</v>
      </c>
    </row>
    <row r="150" customFormat="false" ht="15" hidden="false" customHeight="false" outlineLevel="0" collapsed="false">
      <c r="A150" s="5" t="n">
        <v>329</v>
      </c>
      <c r="B150" s="5"/>
      <c r="C150" s="5" t="s">
        <v>287</v>
      </c>
      <c r="D150" s="5" t="s">
        <v>266</v>
      </c>
      <c r="E150" s="5" t="s">
        <v>288</v>
      </c>
      <c r="F150" s="5" t="n">
        <v>32978</v>
      </c>
    </row>
    <row r="151" customFormat="false" ht="15" hidden="false" customHeight="false" outlineLevel="0" collapsed="false">
      <c r="A151" s="5" t="n">
        <v>330</v>
      </c>
      <c r="B151" s="5"/>
      <c r="C151" s="5" t="s">
        <v>289</v>
      </c>
      <c r="D151" s="5" t="s">
        <v>269</v>
      </c>
      <c r="E151" s="5" t="s">
        <v>290</v>
      </c>
      <c r="F151" s="5" t="n">
        <v>61496</v>
      </c>
    </row>
    <row r="152" customFormat="false" ht="15" hidden="false" customHeight="false" outlineLevel="0" collapsed="false">
      <c r="A152" s="5" t="n">
        <v>331</v>
      </c>
      <c r="B152" s="5"/>
      <c r="C152" s="5" t="s">
        <v>291</v>
      </c>
      <c r="D152" s="5" t="s">
        <v>266</v>
      </c>
      <c r="E152" s="5" t="s">
        <v>288</v>
      </c>
      <c r="F152" s="5" t="n">
        <v>32981</v>
      </c>
    </row>
    <row r="153" customFormat="false" ht="15" hidden="false" customHeight="false" outlineLevel="0" collapsed="false">
      <c r="A153" s="5" t="n">
        <v>332</v>
      </c>
      <c r="B153" s="5"/>
      <c r="C153" s="5" t="s">
        <v>292</v>
      </c>
      <c r="D153" s="5" t="s">
        <v>293</v>
      </c>
      <c r="E153" s="5" t="s">
        <v>290</v>
      </c>
      <c r="F153" s="5" t="n">
        <v>15058</v>
      </c>
    </row>
    <row r="154" customFormat="false" ht="15" hidden="false" customHeight="false" outlineLevel="0" collapsed="false">
      <c r="A154" s="5" t="n">
        <v>333</v>
      </c>
      <c r="B154" s="5"/>
      <c r="C154" s="5" t="s">
        <v>294</v>
      </c>
      <c r="D154" s="5" t="s">
        <v>295</v>
      </c>
      <c r="E154" s="5" t="s">
        <v>117</v>
      </c>
      <c r="F154" s="5" t="n">
        <v>40251</v>
      </c>
    </row>
    <row r="155" customFormat="false" ht="15" hidden="false" customHeight="false" outlineLevel="0" collapsed="false">
      <c r="A155" s="5" t="n">
        <v>335</v>
      </c>
      <c r="B155" s="5"/>
      <c r="C155" s="5" t="s">
        <v>296</v>
      </c>
      <c r="D155" s="5" t="s">
        <v>297</v>
      </c>
      <c r="E155" s="5" t="s">
        <v>298</v>
      </c>
      <c r="F155" s="5" t="n">
        <v>34732</v>
      </c>
    </row>
    <row r="156" customFormat="false" ht="15" hidden="false" customHeight="false" outlineLevel="0" collapsed="false">
      <c r="A156" s="5" t="n">
        <v>341</v>
      </c>
      <c r="B156" s="5"/>
      <c r="C156" s="5" t="s">
        <v>299</v>
      </c>
      <c r="D156" s="5" t="s">
        <v>300</v>
      </c>
      <c r="E156" s="5" t="s">
        <v>301</v>
      </c>
      <c r="F156" s="5" t="n">
        <v>61580</v>
      </c>
    </row>
    <row r="157" customFormat="false" ht="15" hidden="false" customHeight="false" outlineLevel="0" collapsed="false">
      <c r="A157" s="5" t="n">
        <v>342</v>
      </c>
      <c r="B157" s="5"/>
      <c r="C157" s="5" t="s">
        <v>302</v>
      </c>
      <c r="D157" s="5" t="s">
        <v>303</v>
      </c>
      <c r="E157" s="5" t="s">
        <v>304</v>
      </c>
      <c r="F157" s="5" t="n">
        <v>61581</v>
      </c>
    </row>
    <row r="158" customFormat="false" ht="15" hidden="false" customHeight="false" outlineLevel="0" collapsed="false">
      <c r="A158" s="5" t="n">
        <v>355</v>
      </c>
      <c r="B158" s="5"/>
      <c r="C158" s="5" t="s">
        <v>305</v>
      </c>
      <c r="D158" s="5" t="s">
        <v>306</v>
      </c>
      <c r="E158" s="5" t="s">
        <v>307</v>
      </c>
      <c r="F158" s="5" t="n">
        <v>67089</v>
      </c>
    </row>
    <row r="159" customFormat="false" ht="15" hidden="false" customHeight="false" outlineLevel="0" collapsed="false">
      <c r="A159" s="5" t="n">
        <v>356</v>
      </c>
      <c r="B159" s="5"/>
      <c r="C159" s="5" t="s">
        <v>308</v>
      </c>
      <c r="D159" s="5" t="s">
        <v>306</v>
      </c>
      <c r="E159" s="5" t="s">
        <v>309</v>
      </c>
      <c r="F159" s="5" t="n">
        <v>67123</v>
      </c>
    </row>
    <row r="160" customFormat="false" ht="15" hidden="false" customHeight="false" outlineLevel="0" collapsed="false">
      <c r="A160" s="5" t="n">
        <v>357</v>
      </c>
      <c r="B160" s="5"/>
      <c r="C160" s="5" t="s">
        <v>310</v>
      </c>
      <c r="D160" s="5" t="s">
        <v>306</v>
      </c>
      <c r="E160" s="5" t="s">
        <v>309</v>
      </c>
      <c r="F160" s="5" t="n">
        <v>67121</v>
      </c>
    </row>
    <row r="161" customFormat="false" ht="15" hidden="false" customHeight="false" outlineLevel="0" collapsed="false">
      <c r="A161" s="5" t="n">
        <v>358</v>
      </c>
      <c r="B161" s="5"/>
      <c r="C161" s="5" t="s">
        <v>311</v>
      </c>
      <c r="D161" s="5" t="s">
        <v>306</v>
      </c>
      <c r="E161" s="5" t="s">
        <v>141</v>
      </c>
      <c r="F161" s="5" t="n">
        <v>67094</v>
      </c>
    </row>
    <row r="162" customFormat="false" ht="15" hidden="false" customHeight="false" outlineLevel="0" collapsed="false">
      <c r="A162" s="5" t="n">
        <v>359</v>
      </c>
      <c r="B162" s="5"/>
      <c r="C162" s="5" t="s">
        <v>312</v>
      </c>
      <c r="D162" s="5" t="s">
        <v>306</v>
      </c>
      <c r="E162" s="5" t="s">
        <v>313</v>
      </c>
      <c r="F162" s="5" t="n">
        <v>67106</v>
      </c>
    </row>
    <row r="163" customFormat="false" ht="15" hidden="false" customHeight="false" outlineLevel="0" collapsed="false">
      <c r="A163" s="5" t="n">
        <v>366</v>
      </c>
      <c r="B163" s="5"/>
      <c r="C163" s="5" t="s">
        <v>314</v>
      </c>
      <c r="D163" s="5" t="s">
        <v>315</v>
      </c>
      <c r="E163" s="5" t="s">
        <v>316</v>
      </c>
      <c r="F163" s="5" t="n">
        <v>25645</v>
      </c>
    </row>
    <row r="164" customFormat="false" ht="15" hidden="false" customHeight="false" outlineLevel="0" collapsed="false">
      <c r="A164" s="5" t="n">
        <v>367</v>
      </c>
      <c r="B164" s="5"/>
      <c r="C164" s="5" t="s">
        <v>317</v>
      </c>
      <c r="D164" s="5" t="s">
        <v>318</v>
      </c>
      <c r="E164" s="5" t="s">
        <v>319</v>
      </c>
      <c r="F164" s="5" t="n">
        <v>724574</v>
      </c>
    </row>
    <row r="165" customFormat="false" ht="15" hidden="false" customHeight="false" outlineLevel="0" collapsed="false">
      <c r="A165" s="5" t="n">
        <v>368</v>
      </c>
      <c r="B165" s="5"/>
      <c r="C165" s="5" t="s">
        <v>320</v>
      </c>
      <c r="D165" s="5" t="s">
        <v>318</v>
      </c>
      <c r="E165" s="5" t="s">
        <v>319</v>
      </c>
      <c r="F165" s="5" t="n">
        <v>724573</v>
      </c>
    </row>
    <row r="166" customFormat="false" ht="15" hidden="false" customHeight="false" outlineLevel="0" collapsed="false">
      <c r="A166" s="5" t="n">
        <v>369</v>
      </c>
      <c r="B166" s="5"/>
      <c r="C166" s="5" t="s">
        <v>321</v>
      </c>
      <c r="D166" s="5" t="s">
        <v>318</v>
      </c>
      <c r="E166" s="5" t="s">
        <v>319</v>
      </c>
      <c r="F166" s="5" t="n">
        <v>724571</v>
      </c>
    </row>
    <row r="167" customFormat="false" ht="15" hidden="false" customHeight="false" outlineLevel="0" collapsed="false">
      <c r="A167" s="5" t="n">
        <v>374</v>
      </c>
      <c r="B167" s="5"/>
      <c r="C167" s="5" t="s">
        <v>322</v>
      </c>
      <c r="D167" s="5" t="s">
        <v>323</v>
      </c>
      <c r="E167" s="5" t="s">
        <v>324</v>
      </c>
      <c r="F167" s="5" t="n">
        <v>45164</v>
      </c>
    </row>
    <row r="168" customFormat="false" ht="15" hidden="false" customHeight="false" outlineLevel="0" collapsed="false">
      <c r="A168" s="5" t="n">
        <v>375</v>
      </c>
      <c r="B168" s="5"/>
      <c r="C168" s="5" t="s">
        <v>325</v>
      </c>
      <c r="D168" s="5" t="s">
        <v>323</v>
      </c>
      <c r="E168" s="5" t="s">
        <v>324</v>
      </c>
      <c r="F168" s="5" t="n">
        <v>52266</v>
      </c>
    </row>
    <row r="169" customFormat="false" ht="15" hidden="false" customHeight="false" outlineLevel="0" collapsed="false">
      <c r="A169" s="5" t="n">
        <v>380</v>
      </c>
      <c r="B169" s="5"/>
      <c r="C169" s="5" t="s">
        <v>326</v>
      </c>
      <c r="D169" s="5" t="s">
        <v>327</v>
      </c>
      <c r="E169" s="5" t="s">
        <v>328</v>
      </c>
      <c r="F169" s="5" t="n">
        <v>39813</v>
      </c>
    </row>
    <row r="170" customFormat="false" ht="15" hidden="false" customHeight="false" outlineLevel="0" collapsed="false">
      <c r="A170" s="5" t="n">
        <v>381</v>
      </c>
      <c r="B170" s="5"/>
      <c r="C170" s="5" t="s">
        <v>329</v>
      </c>
      <c r="D170" s="5" t="s">
        <v>327</v>
      </c>
      <c r="E170" s="5" t="s">
        <v>328</v>
      </c>
      <c r="F170" s="5" t="n">
        <v>39814</v>
      </c>
    </row>
    <row r="171" customFormat="false" ht="15" hidden="false" customHeight="false" outlineLevel="0" collapsed="false">
      <c r="A171" s="5" t="n">
        <v>383</v>
      </c>
      <c r="B171" s="5"/>
      <c r="C171" s="5" t="s">
        <v>330</v>
      </c>
      <c r="D171" s="5" t="s">
        <v>331</v>
      </c>
      <c r="E171" s="5" t="s">
        <v>332</v>
      </c>
      <c r="F171" s="5" t="n">
        <v>32548</v>
      </c>
    </row>
    <row r="172" customFormat="false" ht="15" hidden="false" customHeight="false" outlineLevel="0" collapsed="false">
      <c r="A172" s="5" t="n">
        <v>384</v>
      </c>
      <c r="B172" s="5"/>
      <c r="C172" s="5" t="s">
        <v>333</v>
      </c>
      <c r="D172" s="5" t="s">
        <v>306</v>
      </c>
      <c r="E172" s="5" t="s">
        <v>334</v>
      </c>
      <c r="F172" s="5" t="n">
        <v>67168</v>
      </c>
    </row>
    <row r="173" customFormat="false" ht="15" hidden="false" customHeight="false" outlineLevel="0" collapsed="false">
      <c r="A173" s="5" t="n">
        <v>385</v>
      </c>
      <c r="B173" s="5"/>
      <c r="C173" s="5" t="s">
        <v>335</v>
      </c>
      <c r="D173" s="5" t="s">
        <v>306</v>
      </c>
      <c r="E173" s="5" t="s">
        <v>334</v>
      </c>
      <c r="F173" s="5" t="n">
        <v>67154</v>
      </c>
    </row>
    <row r="174" customFormat="false" ht="15" hidden="false" customHeight="false" outlineLevel="0" collapsed="false">
      <c r="A174" s="5" t="n">
        <v>386</v>
      </c>
      <c r="B174" s="5"/>
      <c r="C174" s="5" t="s">
        <v>336</v>
      </c>
      <c r="D174" s="5" t="s">
        <v>306</v>
      </c>
      <c r="E174" s="5" t="s">
        <v>309</v>
      </c>
      <c r="F174" s="5" t="n">
        <v>67132</v>
      </c>
    </row>
    <row r="175" customFormat="false" ht="15" hidden="false" customHeight="false" outlineLevel="0" collapsed="false">
      <c r="A175" s="5" t="n">
        <v>387</v>
      </c>
      <c r="B175" s="5"/>
      <c r="C175" s="5" t="s">
        <v>337</v>
      </c>
      <c r="D175" s="5" t="s">
        <v>306</v>
      </c>
      <c r="E175" s="5" t="s">
        <v>334</v>
      </c>
      <c r="F175" s="5" t="n">
        <v>61661</v>
      </c>
    </row>
    <row r="176" customFormat="false" ht="15" hidden="false" customHeight="false" outlineLevel="0" collapsed="false">
      <c r="A176" s="5" t="n">
        <v>388</v>
      </c>
      <c r="B176" s="5"/>
      <c r="C176" s="5" t="s">
        <v>338</v>
      </c>
      <c r="D176" s="5" t="s">
        <v>306</v>
      </c>
      <c r="E176" s="5" t="s">
        <v>309</v>
      </c>
      <c r="F176" s="5" t="n">
        <v>67085</v>
      </c>
    </row>
    <row r="177" customFormat="false" ht="15" hidden="false" customHeight="false" outlineLevel="0" collapsed="false">
      <c r="A177" s="5" t="n">
        <v>389</v>
      </c>
      <c r="B177" s="5"/>
      <c r="C177" s="5" t="s">
        <v>339</v>
      </c>
      <c r="D177" s="5" t="s">
        <v>306</v>
      </c>
      <c r="E177" s="5" t="s">
        <v>334</v>
      </c>
      <c r="F177" s="5" t="n">
        <v>67063</v>
      </c>
    </row>
    <row r="178" customFormat="false" ht="15" hidden="false" customHeight="false" outlineLevel="0" collapsed="false">
      <c r="A178" s="5" t="n">
        <v>390</v>
      </c>
      <c r="B178" s="5"/>
      <c r="C178" s="5" t="s">
        <v>340</v>
      </c>
      <c r="D178" s="5" t="s">
        <v>306</v>
      </c>
      <c r="E178" s="5" t="s">
        <v>334</v>
      </c>
      <c r="F178" s="5" t="n">
        <v>61739</v>
      </c>
    </row>
    <row r="179" customFormat="false" ht="15" hidden="false" customHeight="false" outlineLevel="0" collapsed="false">
      <c r="A179" s="5" t="n">
        <v>391</v>
      </c>
      <c r="B179" s="5"/>
      <c r="C179" s="5" t="s">
        <v>341</v>
      </c>
      <c r="D179" s="5" t="s">
        <v>327</v>
      </c>
      <c r="E179" s="5" t="s">
        <v>342</v>
      </c>
      <c r="F179" s="5" t="n">
        <v>39817</v>
      </c>
    </row>
    <row r="180" customFormat="false" ht="15" hidden="false" customHeight="false" outlineLevel="0" collapsed="false">
      <c r="A180" s="5" t="n">
        <v>392</v>
      </c>
      <c r="B180" s="5"/>
      <c r="C180" s="5" t="s">
        <v>343</v>
      </c>
      <c r="D180" s="5" t="s">
        <v>306</v>
      </c>
      <c r="E180" s="5" t="s">
        <v>307</v>
      </c>
      <c r="F180" s="5" t="n">
        <v>67088</v>
      </c>
    </row>
    <row r="181" customFormat="false" ht="15" hidden="false" customHeight="false" outlineLevel="0" collapsed="false">
      <c r="A181" s="5" t="n">
        <v>393</v>
      </c>
      <c r="B181" s="5"/>
      <c r="C181" s="5" t="s">
        <v>311</v>
      </c>
      <c r="D181" s="5" t="s">
        <v>306</v>
      </c>
      <c r="E181" s="5" t="s">
        <v>141</v>
      </c>
      <c r="F181" s="5" t="n">
        <v>67094</v>
      </c>
    </row>
    <row r="182" customFormat="false" ht="15" hidden="false" customHeight="false" outlineLevel="0" collapsed="false">
      <c r="A182" s="5" t="n">
        <v>394</v>
      </c>
      <c r="B182" s="5"/>
      <c r="C182" s="5" t="s">
        <v>344</v>
      </c>
      <c r="D182" s="5" t="s">
        <v>306</v>
      </c>
      <c r="E182" s="5" t="s">
        <v>141</v>
      </c>
      <c r="F182" s="5" t="n">
        <v>38527</v>
      </c>
    </row>
    <row r="183" customFormat="false" ht="15" hidden="false" customHeight="false" outlineLevel="0" collapsed="false">
      <c r="A183" s="5" t="n">
        <v>395</v>
      </c>
      <c r="B183" s="5"/>
      <c r="C183" s="5" t="s">
        <v>345</v>
      </c>
      <c r="D183" s="5" t="s">
        <v>306</v>
      </c>
      <c r="E183" s="5" t="s">
        <v>346</v>
      </c>
      <c r="F183" s="5" t="n">
        <v>67112</v>
      </c>
    </row>
    <row r="184" customFormat="false" ht="15" hidden="false" customHeight="false" outlineLevel="0" collapsed="false">
      <c r="A184" s="5" t="n">
        <v>396</v>
      </c>
      <c r="B184" s="5"/>
      <c r="C184" s="5" t="s">
        <v>186</v>
      </c>
      <c r="D184" s="5" t="s">
        <v>187</v>
      </c>
      <c r="E184" s="5" t="s">
        <v>184</v>
      </c>
      <c r="F184" s="5" t="n">
        <v>61558</v>
      </c>
    </row>
    <row r="185" customFormat="false" ht="15" hidden="false" customHeight="false" outlineLevel="0" collapsed="false">
      <c r="A185" s="5" t="n">
        <v>403</v>
      </c>
      <c r="B185" s="5"/>
      <c r="C185" s="5" t="s">
        <v>347</v>
      </c>
      <c r="D185" s="5" t="s">
        <v>107</v>
      </c>
      <c r="E185" s="5" t="s">
        <v>348</v>
      </c>
      <c r="F185" s="5" t="n">
        <v>50046</v>
      </c>
    </row>
    <row r="186" customFormat="false" ht="15" hidden="false" customHeight="false" outlineLevel="0" collapsed="false">
      <c r="A186" s="5" t="n">
        <v>410</v>
      </c>
      <c r="B186" s="5"/>
      <c r="C186" s="5" t="s">
        <v>349</v>
      </c>
      <c r="D186" s="5" t="s">
        <v>107</v>
      </c>
      <c r="E186" s="5" t="s">
        <v>348</v>
      </c>
      <c r="F186" s="5" t="n">
        <v>97477</v>
      </c>
    </row>
    <row r="187" customFormat="false" ht="15" hidden="false" customHeight="false" outlineLevel="0" collapsed="false">
      <c r="A187" s="5" t="n">
        <v>412</v>
      </c>
      <c r="B187" s="5"/>
      <c r="C187" s="5" t="s">
        <v>350</v>
      </c>
      <c r="D187" s="5" t="s">
        <v>107</v>
      </c>
      <c r="E187" s="5" t="s">
        <v>351</v>
      </c>
      <c r="F187" s="5" t="n">
        <v>50142</v>
      </c>
    </row>
    <row r="188" customFormat="false" ht="15" hidden="false" customHeight="false" outlineLevel="0" collapsed="false">
      <c r="A188" s="5" t="n">
        <v>431</v>
      </c>
      <c r="B188" s="5"/>
      <c r="C188" s="5" t="s">
        <v>352</v>
      </c>
      <c r="D188" s="5" t="s">
        <v>353</v>
      </c>
      <c r="E188" s="5" t="s">
        <v>179</v>
      </c>
      <c r="F188" s="5" t="n">
        <v>43369</v>
      </c>
    </row>
    <row r="189" customFormat="false" ht="15" hidden="false" customHeight="false" outlineLevel="0" collapsed="false">
      <c r="A189" s="5" t="n">
        <v>437</v>
      </c>
      <c r="B189" s="5"/>
      <c r="C189" s="5" t="s">
        <v>354</v>
      </c>
      <c r="D189" s="5" t="s">
        <v>355</v>
      </c>
      <c r="E189" s="5" t="s">
        <v>356</v>
      </c>
      <c r="F189" s="5" t="n">
        <v>61763</v>
      </c>
    </row>
    <row r="190" customFormat="false" ht="15" hidden="false" customHeight="false" outlineLevel="0" collapsed="false">
      <c r="A190" s="5" t="n">
        <v>439</v>
      </c>
      <c r="B190" s="5"/>
      <c r="C190" s="5" t="s">
        <v>357</v>
      </c>
      <c r="D190" s="5" t="s">
        <v>358</v>
      </c>
      <c r="E190" s="5" t="s">
        <v>179</v>
      </c>
      <c r="F190" s="5" t="n">
        <v>35182</v>
      </c>
    </row>
    <row r="191" customFormat="false" ht="15" hidden="false" customHeight="false" outlineLevel="0" collapsed="false">
      <c r="A191" s="5" t="n">
        <v>440</v>
      </c>
      <c r="B191" s="5"/>
      <c r="C191" s="5" t="s">
        <v>359</v>
      </c>
      <c r="D191" s="5" t="s">
        <v>360</v>
      </c>
      <c r="E191" s="5" t="s">
        <v>361</v>
      </c>
      <c r="F191" s="5" t="n">
        <v>68687</v>
      </c>
    </row>
    <row r="192" customFormat="false" ht="15" hidden="false" customHeight="false" outlineLevel="0" collapsed="false">
      <c r="A192" s="5" t="n">
        <v>442</v>
      </c>
      <c r="B192" s="5"/>
      <c r="C192" s="5" t="s">
        <v>362</v>
      </c>
      <c r="D192" s="5" t="s">
        <v>358</v>
      </c>
      <c r="E192" s="5" t="s">
        <v>179</v>
      </c>
      <c r="F192" s="5" t="n">
        <v>35171</v>
      </c>
    </row>
    <row r="193" customFormat="false" ht="15" hidden="false" customHeight="false" outlineLevel="0" collapsed="false">
      <c r="A193" s="5" t="n">
        <v>443</v>
      </c>
      <c r="B193" s="5"/>
      <c r="C193" s="5" t="s">
        <v>363</v>
      </c>
      <c r="D193" s="5" t="s">
        <v>358</v>
      </c>
      <c r="E193" s="5" t="s">
        <v>179</v>
      </c>
      <c r="F193" s="5" t="n">
        <v>35176</v>
      </c>
    </row>
    <row r="194" customFormat="false" ht="15" hidden="false" customHeight="false" outlineLevel="0" collapsed="false">
      <c r="A194" s="5" t="n">
        <v>445</v>
      </c>
      <c r="B194" s="5"/>
      <c r="C194" s="5" t="s">
        <v>364</v>
      </c>
      <c r="D194" s="5" t="s">
        <v>358</v>
      </c>
      <c r="E194" s="5" t="s">
        <v>179</v>
      </c>
      <c r="F194" s="5" t="n">
        <v>35026</v>
      </c>
    </row>
    <row r="195" customFormat="false" ht="15" hidden="false" customHeight="false" outlineLevel="0" collapsed="false">
      <c r="A195" s="5" t="n">
        <v>446</v>
      </c>
      <c r="B195" s="5"/>
      <c r="C195" s="5" t="s">
        <v>365</v>
      </c>
      <c r="D195" s="5" t="s">
        <v>358</v>
      </c>
      <c r="E195" s="5" t="s">
        <v>173</v>
      </c>
      <c r="F195" s="5" t="n">
        <v>35226</v>
      </c>
    </row>
    <row r="196" customFormat="false" ht="15" hidden="false" customHeight="false" outlineLevel="0" collapsed="false">
      <c r="A196" s="5" t="n">
        <v>448</v>
      </c>
      <c r="B196" s="5"/>
      <c r="C196" s="5" t="s">
        <v>366</v>
      </c>
      <c r="D196" s="5" t="s">
        <v>367</v>
      </c>
      <c r="E196" s="5" t="s">
        <v>179</v>
      </c>
      <c r="F196" s="5" t="n">
        <v>33728</v>
      </c>
    </row>
    <row r="197" customFormat="false" ht="15" hidden="false" customHeight="false" outlineLevel="0" collapsed="false">
      <c r="A197" s="5" t="n">
        <v>449</v>
      </c>
      <c r="B197" s="5"/>
      <c r="C197" s="5" t="s">
        <v>368</v>
      </c>
      <c r="D197" s="5" t="s">
        <v>367</v>
      </c>
      <c r="E197" s="5" t="s">
        <v>179</v>
      </c>
      <c r="F197" s="5" t="n">
        <v>33729</v>
      </c>
    </row>
    <row r="198" customFormat="false" ht="15" hidden="false" customHeight="false" outlineLevel="0" collapsed="false">
      <c r="A198" s="5" t="n">
        <v>450</v>
      </c>
      <c r="B198" s="5"/>
      <c r="C198" s="5" t="s">
        <v>369</v>
      </c>
      <c r="D198" s="5" t="s">
        <v>367</v>
      </c>
      <c r="E198" s="5" t="s">
        <v>179</v>
      </c>
      <c r="F198" s="5" t="n">
        <v>66985</v>
      </c>
    </row>
    <row r="199" customFormat="false" ht="15" hidden="false" customHeight="false" outlineLevel="0" collapsed="false">
      <c r="A199" s="5" t="n">
        <v>459</v>
      </c>
      <c r="B199" s="5"/>
      <c r="C199" s="5" t="s">
        <v>370</v>
      </c>
      <c r="D199" s="5" t="s">
        <v>172</v>
      </c>
      <c r="E199" s="5" t="s">
        <v>48</v>
      </c>
      <c r="F199" s="5" t="n">
        <v>63343</v>
      </c>
    </row>
    <row r="200" customFormat="false" ht="15" hidden="false" customHeight="false" outlineLevel="0" collapsed="false">
      <c r="A200" s="5" t="n">
        <v>462</v>
      </c>
      <c r="B200" s="5"/>
      <c r="C200" s="5" t="s">
        <v>371</v>
      </c>
      <c r="D200" s="5" t="s">
        <v>372</v>
      </c>
      <c r="E200" s="5" t="s">
        <v>373</v>
      </c>
      <c r="F200" s="5" t="n">
        <v>35113</v>
      </c>
    </row>
    <row r="201" customFormat="false" ht="15" hidden="false" customHeight="false" outlineLevel="0" collapsed="false">
      <c r="A201" s="5" t="n">
        <v>464</v>
      </c>
      <c r="B201" s="5"/>
      <c r="C201" s="5" t="s">
        <v>374</v>
      </c>
      <c r="D201" s="5" t="s">
        <v>375</v>
      </c>
      <c r="E201" s="5" t="s">
        <v>376</v>
      </c>
      <c r="F201" s="5" t="n">
        <v>26324</v>
      </c>
    </row>
    <row r="202" customFormat="false" ht="15" hidden="false" customHeight="false" outlineLevel="0" collapsed="false">
      <c r="A202" s="5" t="n">
        <v>465</v>
      </c>
      <c r="B202" s="5"/>
      <c r="C202" s="5" t="s">
        <v>377</v>
      </c>
      <c r="D202" s="5" t="s">
        <v>375</v>
      </c>
      <c r="E202" s="5" t="s">
        <v>378</v>
      </c>
      <c r="F202" s="5" t="n">
        <v>26325</v>
      </c>
    </row>
    <row r="203" customFormat="false" ht="15" hidden="false" customHeight="false" outlineLevel="0" collapsed="false">
      <c r="A203" s="5" t="n">
        <v>466</v>
      </c>
      <c r="B203" s="5"/>
      <c r="C203" s="5" t="s">
        <v>379</v>
      </c>
      <c r="D203" s="5" t="s">
        <v>52</v>
      </c>
      <c r="E203" s="5" t="s">
        <v>380</v>
      </c>
      <c r="F203" s="5" t="n">
        <v>17159</v>
      </c>
    </row>
    <row r="204" customFormat="false" ht="15" hidden="false" customHeight="false" outlineLevel="0" collapsed="false">
      <c r="A204" s="5" t="n">
        <v>467</v>
      </c>
      <c r="B204" s="5"/>
      <c r="C204" s="5" t="s">
        <v>381</v>
      </c>
      <c r="D204" s="5" t="s">
        <v>52</v>
      </c>
      <c r="E204" s="5" t="s">
        <v>380</v>
      </c>
      <c r="F204" s="5" t="n">
        <v>17160</v>
      </c>
    </row>
    <row r="205" customFormat="false" ht="15" hidden="false" customHeight="false" outlineLevel="0" collapsed="false">
      <c r="A205" s="5" t="n">
        <v>468</v>
      </c>
      <c r="B205" s="5"/>
      <c r="C205" s="5" t="s">
        <v>382</v>
      </c>
      <c r="D205" s="5" t="s">
        <v>383</v>
      </c>
      <c r="E205" s="5" t="s">
        <v>384</v>
      </c>
      <c r="F205" s="5" t="n">
        <v>59752</v>
      </c>
    </row>
    <row r="206" customFormat="false" ht="15" hidden="false" customHeight="false" outlineLevel="0" collapsed="false">
      <c r="A206" s="5" t="n">
        <v>470</v>
      </c>
      <c r="B206" s="5"/>
      <c r="C206" s="5" t="s">
        <v>385</v>
      </c>
      <c r="D206" s="5" t="s">
        <v>375</v>
      </c>
      <c r="E206" s="5" t="s">
        <v>356</v>
      </c>
      <c r="F206" s="5" t="n">
        <v>41216</v>
      </c>
    </row>
    <row r="207" customFormat="false" ht="15" hidden="false" customHeight="false" outlineLevel="0" collapsed="false">
      <c r="A207" s="5" t="n">
        <v>471</v>
      </c>
      <c r="B207" s="5"/>
      <c r="C207" s="5" t="s">
        <v>386</v>
      </c>
      <c r="D207" s="5" t="s">
        <v>375</v>
      </c>
      <c r="E207" s="5" t="s">
        <v>356</v>
      </c>
      <c r="F207" s="5" t="n">
        <v>41217</v>
      </c>
    </row>
    <row r="208" customFormat="false" ht="15" hidden="false" customHeight="false" outlineLevel="0" collapsed="false">
      <c r="A208" s="5" t="n">
        <v>472</v>
      </c>
      <c r="B208" s="5"/>
      <c r="C208" s="5" t="s">
        <v>387</v>
      </c>
      <c r="D208" s="5" t="s">
        <v>388</v>
      </c>
      <c r="E208" s="5" t="s">
        <v>389</v>
      </c>
      <c r="F208" s="5" t="n">
        <v>66908</v>
      </c>
    </row>
    <row r="209" customFormat="false" ht="15" hidden="false" customHeight="false" outlineLevel="0" collapsed="false">
      <c r="A209" s="5" t="n">
        <v>473</v>
      </c>
      <c r="B209" s="5"/>
      <c r="C209" s="5" t="s">
        <v>390</v>
      </c>
      <c r="D209" s="5" t="s">
        <v>169</v>
      </c>
      <c r="E209" s="5" t="s">
        <v>179</v>
      </c>
      <c r="F209" s="5" t="n">
        <v>44099</v>
      </c>
    </row>
    <row r="210" customFormat="false" ht="15" hidden="false" customHeight="false" outlineLevel="0" collapsed="false">
      <c r="A210" s="5" t="n">
        <v>475</v>
      </c>
      <c r="B210" s="5"/>
      <c r="C210" s="5" t="s">
        <v>391</v>
      </c>
      <c r="D210" s="5" t="s">
        <v>169</v>
      </c>
      <c r="E210" s="5" t="s">
        <v>179</v>
      </c>
      <c r="F210" s="5" t="n">
        <v>41623</v>
      </c>
    </row>
    <row r="211" customFormat="false" ht="15" hidden="false" customHeight="false" outlineLevel="0" collapsed="false">
      <c r="A211" s="5" t="n">
        <v>476</v>
      </c>
      <c r="B211" s="5"/>
      <c r="C211" s="5" t="s">
        <v>392</v>
      </c>
      <c r="D211" s="5" t="s">
        <v>388</v>
      </c>
      <c r="E211" s="5" t="s">
        <v>389</v>
      </c>
      <c r="F211" s="5" t="n">
        <v>66910</v>
      </c>
    </row>
    <row r="212" customFormat="false" ht="15" hidden="false" customHeight="false" outlineLevel="0" collapsed="false">
      <c r="A212" s="5" t="n">
        <v>477</v>
      </c>
      <c r="B212" s="5"/>
      <c r="C212" s="5" t="s">
        <v>393</v>
      </c>
      <c r="D212" s="5" t="s">
        <v>169</v>
      </c>
      <c r="E212" s="5" t="s">
        <v>179</v>
      </c>
      <c r="F212" s="5" t="n">
        <v>43703</v>
      </c>
    </row>
    <row r="213" customFormat="false" ht="15" hidden="false" customHeight="false" outlineLevel="0" collapsed="false">
      <c r="A213" s="5" t="n">
        <v>478</v>
      </c>
      <c r="B213" s="5"/>
      <c r="C213" s="5" t="s">
        <v>394</v>
      </c>
      <c r="D213" s="5" t="s">
        <v>388</v>
      </c>
      <c r="E213" s="5" t="s">
        <v>389</v>
      </c>
      <c r="F213" s="5" t="n">
        <v>66909</v>
      </c>
    </row>
    <row r="214" customFormat="false" ht="15" hidden="false" customHeight="false" outlineLevel="0" collapsed="false">
      <c r="A214" s="5" t="n">
        <v>479</v>
      </c>
      <c r="B214" s="5"/>
      <c r="C214" s="5" t="s">
        <v>395</v>
      </c>
      <c r="D214" s="5" t="s">
        <v>367</v>
      </c>
      <c r="E214" s="5" t="s">
        <v>179</v>
      </c>
      <c r="F214" s="5" t="n">
        <v>12562</v>
      </c>
    </row>
    <row r="215" customFormat="false" ht="15" hidden="false" customHeight="false" outlineLevel="0" collapsed="false">
      <c r="A215" s="5" t="n">
        <v>480</v>
      </c>
      <c r="B215" s="5"/>
      <c r="C215" s="5" t="s">
        <v>396</v>
      </c>
      <c r="D215" s="5" t="s">
        <v>104</v>
      </c>
      <c r="E215" s="5" t="s">
        <v>179</v>
      </c>
      <c r="F215" s="5" t="n">
        <v>66915</v>
      </c>
    </row>
    <row r="216" customFormat="false" ht="15" hidden="false" customHeight="false" outlineLevel="0" collapsed="false">
      <c r="A216" s="5" t="n">
        <v>483</v>
      </c>
      <c r="B216" s="5"/>
      <c r="C216" s="5" t="s">
        <v>397</v>
      </c>
      <c r="D216" s="5" t="s">
        <v>367</v>
      </c>
      <c r="E216" s="5" t="s">
        <v>398</v>
      </c>
      <c r="F216" s="5" t="n">
        <v>33725</v>
      </c>
    </row>
    <row r="217" customFormat="false" ht="15" hidden="false" customHeight="false" outlineLevel="0" collapsed="false">
      <c r="A217" s="5" t="n">
        <v>485</v>
      </c>
      <c r="B217" s="5"/>
      <c r="C217" s="5" t="s">
        <v>399</v>
      </c>
      <c r="D217" s="5" t="s">
        <v>400</v>
      </c>
      <c r="E217" s="5" t="s">
        <v>401</v>
      </c>
      <c r="F217" s="5" t="n">
        <v>47498</v>
      </c>
    </row>
    <row r="218" customFormat="false" ht="15" hidden="false" customHeight="false" outlineLevel="0" collapsed="false">
      <c r="A218" s="5" t="n">
        <v>486</v>
      </c>
      <c r="B218" s="5"/>
      <c r="C218" s="5" t="s">
        <v>402</v>
      </c>
      <c r="D218" s="5" t="s">
        <v>403</v>
      </c>
      <c r="E218" s="5" t="s">
        <v>376</v>
      </c>
      <c r="F218" s="5" t="n">
        <v>12609</v>
      </c>
    </row>
    <row r="219" customFormat="false" ht="15" hidden="false" customHeight="false" outlineLevel="0" collapsed="false">
      <c r="A219" s="5" t="n">
        <v>487</v>
      </c>
      <c r="B219" s="5"/>
      <c r="C219" s="5" t="s">
        <v>404</v>
      </c>
      <c r="D219" s="5" t="s">
        <v>405</v>
      </c>
      <c r="E219" s="5" t="s">
        <v>376</v>
      </c>
      <c r="F219" s="5" t="n">
        <v>12617</v>
      </c>
    </row>
    <row r="220" customFormat="false" ht="15" hidden="false" customHeight="false" outlineLevel="0" collapsed="false">
      <c r="A220" s="5" t="n">
        <v>488</v>
      </c>
      <c r="B220" s="5"/>
      <c r="C220" s="5" t="s">
        <v>406</v>
      </c>
      <c r="D220" s="5" t="s">
        <v>405</v>
      </c>
      <c r="E220" s="5" t="s">
        <v>376</v>
      </c>
      <c r="F220" s="5" t="n">
        <v>12633</v>
      </c>
    </row>
    <row r="221" customFormat="false" ht="15" hidden="false" customHeight="false" outlineLevel="0" collapsed="false">
      <c r="A221" s="5" t="n">
        <v>489</v>
      </c>
      <c r="B221" s="5"/>
      <c r="C221" s="5" t="s">
        <v>407</v>
      </c>
      <c r="D221" s="5" t="s">
        <v>403</v>
      </c>
      <c r="E221" s="5" t="s">
        <v>376</v>
      </c>
      <c r="F221" s="5" t="n">
        <v>12585</v>
      </c>
    </row>
    <row r="222" customFormat="false" ht="15" hidden="false" customHeight="false" outlineLevel="0" collapsed="false">
      <c r="A222" s="5" t="n">
        <v>490</v>
      </c>
      <c r="B222" s="5"/>
      <c r="C222" s="5" t="s">
        <v>408</v>
      </c>
      <c r="D222" s="5" t="s">
        <v>403</v>
      </c>
      <c r="E222" s="5" t="s">
        <v>258</v>
      </c>
      <c r="F222" s="5" t="n">
        <v>22573</v>
      </c>
    </row>
    <row r="223" customFormat="false" ht="15" hidden="false" customHeight="false" outlineLevel="0" collapsed="false">
      <c r="A223" s="5" t="n">
        <v>491</v>
      </c>
      <c r="B223" s="5"/>
      <c r="C223" s="5" t="s">
        <v>409</v>
      </c>
      <c r="D223" s="5" t="s">
        <v>375</v>
      </c>
      <c r="E223" s="5" t="s">
        <v>410</v>
      </c>
      <c r="F223" s="5" t="n">
        <v>28466</v>
      </c>
    </row>
    <row r="224" customFormat="false" ht="15" hidden="false" customHeight="false" outlineLevel="0" collapsed="false">
      <c r="A224" s="5" t="n">
        <v>492</v>
      </c>
      <c r="B224" s="5"/>
      <c r="C224" s="5" t="s">
        <v>411</v>
      </c>
      <c r="D224" s="5" t="s">
        <v>412</v>
      </c>
      <c r="E224" s="5" t="s">
        <v>413</v>
      </c>
      <c r="F224" s="5" t="n">
        <v>31649</v>
      </c>
    </row>
    <row r="225" customFormat="false" ht="15" hidden="false" customHeight="false" outlineLevel="0" collapsed="false">
      <c r="A225" s="5" t="n">
        <v>507</v>
      </c>
      <c r="B225" s="5"/>
      <c r="C225" s="5" t="s">
        <v>414</v>
      </c>
      <c r="D225" s="5" t="s">
        <v>415</v>
      </c>
      <c r="E225" s="5" t="s">
        <v>141</v>
      </c>
      <c r="F225" s="5" t="n">
        <v>66712</v>
      </c>
    </row>
    <row r="226" customFormat="false" ht="15" hidden="false" customHeight="false" outlineLevel="0" collapsed="false">
      <c r="A226" s="5" t="n">
        <v>508</v>
      </c>
      <c r="B226" s="5"/>
      <c r="C226" s="5" t="s">
        <v>416</v>
      </c>
      <c r="D226" s="5" t="s">
        <v>415</v>
      </c>
      <c r="E226" s="5" t="s">
        <v>141</v>
      </c>
      <c r="F226" s="5" t="n">
        <v>66713</v>
      </c>
    </row>
    <row r="227" customFormat="false" ht="15" hidden="false" customHeight="false" outlineLevel="0" collapsed="false">
      <c r="A227" s="5" t="n">
        <v>517</v>
      </c>
      <c r="B227" s="5"/>
      <c r="C227" s="5" t="s">
        <v>417</v>
      </c>
      <c r="D227" s="5" t="s">
        <v>412</v>
      </c>
      <c r="E227" s="5" t="s">
        <v>418</v>
      </c>
      <c r="F227" s="5" t="n">
        <v>49215</v>
      </c>
    </row>
    <row r="228" customFormat="false" ht="15" hidden="false" customHeight="false" outlineLevel="0" collapsed="false">
      <c r="A228" s="5" t="n">
        <v>518</v>
      </c>
      <c r="B228" s="5"/>
      <c r="C228" s="5" t="s">
        <v>419</v>
      </c>
      <c r="D228" s="5" t="s">
        <v>420</v>
      </c>
      <c r="E228" s="5" t="s">
        <v>421</v>
      </c>
      <c r="F228" s="5" t="n">
        <v>62330</v>
      </c>
    </row>
    <row r="229" customFormat="false" ht="15" hidden="false" customHeight="false" outlineLevel="0" collapsed="false">
      <c r="A229" s="5" t="n">
        <v>520</v>
      </c>
      <c r="B229" s="5"/>
      <c r="C229" s="5" t="s">
        <v>422</v>
      </c>
      <c r="D229" s="5" t="s">
        <v>423</v>
      </c>
      <c r="E229" s="5" t="s">
        <v>48</v>
      </c>
      <c r="F229" s="5" t="n">
        <v>63324</v>
      </c>
    </row>
    <row r="230" customFormat="false" ht="15" hidden="false" customHeight="false" outlineLevel="0" collapsed="false">
      <c r="A230" s="5" t="n">
        <v>521</v>
      </c>
      <c r="B230" s="5"/>
      <c r="C230" s="5" t="s">
        <v>424</v>
      </c>
      <c r="D230" s="5" t="s">
        <v>388</v>
      </c>
      <c r="E230" s="5" t="s">
        <v>425</v>
      </c>
      <c r="F230" s="5" t="n">
        <v>63341</v>
      </c>
    </row>
    <row r="231" customFormat="false" ht="15" hidden="false" customHeight="false" outlineLevel="0" collapsed="false">
      <c r="A231" s="5" t="n">
        <v>522</v>
      </c>
      <c r="B231" s="5"/>
      <c r="C231" s="5" t="s">
        <v>426</v>
      </c>
      <c r="D231" s="5" t="s">
        <v>427</v>
      </c>
      <c r="E231" s="5" t="s">
        <v>401</v>
      </c>
      <c r="F231" s="5" t="n">
        <v>62749</v>
      </c>
    </row>
    <row r="232" customFormat="false" ht="15" hidden="false" customHeight="false" outlineLevel="0" collapsed="false">
      <c r="A232" s="5" t="n">
        <v>524</v>
      </c>
      <c r="B232" s="5"/>
      <c r="C232" s="5" t="s">
        <v>428</v>
      </c>
      <c r="D232" s="5" t="s">
        <v>375</v>
      </c>
      <c r="E232" s="5" t="s">
        <v>48</v>
      </c>
      <c r="F232" s="5" t="n">
        <v>62819</v>
      </c>
    </row>
    <row r="233" customFormat="false" ht="15" hidden="false" customHeight="false" outlineLevel="0" collapsed="false">
      <c r="A233" s="5" t="n">
        <v>525</v>
      </c>
      <c r="B233" s="5"/>
      <c r="C233" s="5" t="s">
        <v>429</v>
      </c>
      <c r="D233" s="5" t="s">
        <v>375</v>
      </c>
      <c r="E233" s="5" t="s">
        <v>48</v>
      </c>
      <c r="F233" s="5" t="n">
        <v>62844</v>
      </c>
    </row>
    <row r="234" customFormat="false" ht="15" hidden="false" customHeight="false" outlineLevel="0" collapsed="false">
      <c r="A234" s="5" t="n">
        <v>526</v>
      </c>
      <c r="B234" s="5"/>
      <c r="C234" s="5" t="s">
        <v>430</v>
      </c>
      <c r="D234" s="5" t="s">
        <v>375</v>
      </c>
      <c r="E234" s="5" t="s">
        <v>431</v>
      </c>
      <c r="F234" s="5" t="n">
        <v>62816</v>
      </c>
    </row>
    <row r="235" customFormat="false" ht="15" hidden="false" customHeight="false" outlineLevel="0" collapsed="false">
      <c r="A235" s="5" t="n">
        <v>527</v>
      </c>
      <c r="B235" s="5"/>
      <c r="C235" s="5" t="s">
        <v>432</v>
      </c>
      <c r="D235" s="5" t="s">
        <v>375</v>
      </c>
      <c r="E235" s="5" t="s">
        <v>431</v>
      </c>
      <c r="F235" s="5" t="n">
        <v>62815</v>
      </c>
    </row>
    <row r="236" customFormat="false" ht="15" hidden="false" customHeight="false" outlineLevel="0" collapsed="false">
      <c r="A236" s="5" t="n">
        <v>530</v>
      </c>
      <c r="B236" s="5"/>
      <c r="C236" s="5" t="s">
        <v>433</v>
      </c>
      <c r="D236" s="5" t="s">
        <v>434</v>
      </c>
      <c r="E236" s="5" t="s">
        <v>435</v>
      </c>
      <c r="F236" s="5" t="n">
        <v>38234</v>
      </c>
    </row>
    <row r="237" customFormat="false" ht="15" hidden="false" customHeight="false" outlineLevel="0" collapsed="false">
      <c r="A237" s="5" t="n">
        <v>531</v>
      </c>
      <c r="B237" s="5"/>
      <c r="C237" s="5" t="s">
        <v>436</v>
      </c>
      <c r="D237" s="5" t="s">
        <v>434</v>
      </c>
      <c r="E237" s="5" t="s">
        <v>376</v>
      </c>
      <c r="F237" s="5" t="n">
        <v>34246</v>
      </c>
    </row>
    <row r="238" customFormat="false" ht="15" hidden="false" customHeight="false" outlineLevel="0" collapsed="false">
      <c r="A238" s="5" t="n">
        <v>532</v>
      </c>
      <c r="B238" s="5"/>
      <c r="C238" s="5" t="s">
        <v>437</v>
      </c>
      <c r="D238" s="5" t="s">
        <v>388</v>
      </c>
      <c r="E238" s="5" t="s">
        <v>376</v>
      </c>
      <c r="F238" s="5" t="n">
        <v>62734</v>
      </c>
    </row>
    <row r="239" customFormat="false" ht="15" hidden="false" customHeight="false" outlineLevel="0" collapsed="false">
      <c r="A239" s="5" t="n">
        <v>536</v>
      </c>
      <c r="B239" s="5"/>
      <c r="C239" s="5" t="s">
        <v>438</v>
      </c>
      <c r="D239" s="5" t="s">
        <v>439</v>
      </c>
      <c r="E239" s="5" t="s">
        <v>440</v>
      </c>
      <c r="F239" s="5" t="n">
        <v>64410</v>
      </c>
    </row>
    <row r="240" customFormat="false" ht="15" hidden="false" customHeight="false" outlineLevel="0" collapsed="false">
      <c r="A240" s="5" t="n">
        <v>538</v>
      </c>
      <c r="B240" s="5"/>
      <c r="C240" s="5" t="s">
        <v>441</v>
      </c>
      <c r="D240" s="5" t="s">
        <v>442</v>
      </c>
      <c r="E240" s="5" t="s">
        <v>443</v>
      </c>
      <c r="F240" s="5" t="n">
        <v>26781</v>
      </c>
    </row>
    <row r="241" customFormat="false" ht="15" hidden="false" customHeight="false" outlineLevel="0" collapsed="false">
      <c r="A241" s="5" t="n">
        <v>542</v>
      </c>
      <c r="B241" s="5"/>
      <c r="C241" s="5" t="s">
        <v>444</v>
      </c>
      <c r="D241" s="5" t="s">
        <v>445</v>
      </c>
      <c r="E241" s="5" t="s">
        <v>446</v>
      </c>
      <c r="F241" s="5" t="n">
        <v>49219</v>
      </c>
    </row>
    <row r="242" customFormat="false" ht="15" hidden="false" customHeight="false" outlineLevel="0" collapsed="false">
      <c r="A242" s="5" t="n">
        <v>544</v>
      </c>
      <c r="B242" s="5"/>
      <c r="C242" s="5" t="s">
        <v>447</v>
      </c>
      <c r="D242" s="5" t="s">
        <v>448</v>
      </c>
      <c r="E242" s="5" t="s">
        <v>48</v>
      </c>
      <c r="F242" s="5" t="n">
        <v>28376</v>
      </c>
    </row>
    <row r="243" customFormat="false" ht="15" hidden="false" customHeight="false" outlineLevel="0" collapsed="false">
      <c r="A243" s="5" t="n">
        <v>548</v>
      </c>
      <c r="B243" s="5"/>
      <c r="C243" s="5" t="s">
        <v>449</v>
      </c>
      <c r="D243" s="5" t="s">
        <v>450</v>
      </c>
      <c r="E243" s="5" t="s">
        <v>451</v>
      </c>
      <c r="F243" s="5" t="n">
        <v>28671</v>
      </c>
    </row>
    <row r="244" customFormat="false" ht="15" hidden="false" customHeight="false" outlineLevel="0" collapsed="false">
      <c r="A244" s="5" t="n">
        <v>561</v>
      </c>
      <c r="B244" s="5"/>
      <c r="C244" s="5" t="s">
        <v>452</v>
      </c>
      <c r="D244" s="5" t="s">
        <v>453</v>
      </c>
      <c r="E244" s="5" t="s">
        <v>454</v>
      </c>
      <c r="F244" s="5" t="n">
        <v>27499</v>
      </c>
    </row>
    <row r="245" customFormat="false" ht="15" hidden="false" customHeight="false" outlineLevel="0" collapsed="false">
      <c r="A245" s="5" t="n">
        <v>563</v>
      </c>
      <c r="B245" s="5"/>
      <c r="C245" s="5" t="s">
        <v>455</v>
      </c>
      <c r="D245" s="5" t="s">
        <v>453</v>
      </c>
      <c r="E245" s="5" t="s">
        <v>456</v>
      </c>
      <c r="F245" s="5" t="n">
        <v>28528</v>
      </c>
    </row>
    <row r="246" customFormat="false" ht="15" hidden="false" customHeight="false" outlineLevel="0" collapsed="false">
      <c r="A246" s="5" t="n">
        <v>564</v>
      </c>
      <c r="B246" s="5"/>
      <c r="C246" s="5" t="s">
        <v>457</v>
      </c>
      <c r="D246" s="5" t="s">
        <v>453</v>
      </c>
      <c r="E246" s="5" t="s">
        <v>458</v>
      </c>
      <c r="F246" s="5" t="n">
        <v>27497</v>
      </c>
    </row>
    <row r="247" customFormat="false" ht="15" hidden="false" customHeight="false" outlineLevel="0" collapsed="false">
      <c r="A247" s="5" t="n">
        <v>565</v>
      </c>
      <c r="B247" s="5"/>
      <c r="C247" s="5" t="s">
        <v>459</v>
      </c>
      <c r="D247" s="5" t="s">
        <v>453</v>
      </c>
      <c r="E247" s="5" t="s">
        <v>458</v>
      </c>
      <c r="F247" s="5" t="n">
        <v>27496</v>
      </c>
    </row>
    <row r="248" customFormat="false" ht="15" hidden="false" customHeight="false" outlineLevel="0" collapsed="false">
      <c r="A248" s="5" t="n">
        <v>566</v>
      </c>
      <c r="B248" s="5"/>
      <c r="C248" s="5" t="s">
        <v>460</v>
      </c>
      <c r="D248" s="5" t="s">
        <v>453</v>
      </c>
      <c r="E248" s="5" t="s">
        <v>458</v>
      </c>
      <c r="F248" s="5" t="n">
        <v>27498</v>
      </c>
    </row>
    <row r="249" customFormat="false" ht="15" hidden="false" customHeight="false" outlineLevel="0" collapsed="false">
      <c r="A249" s="5" t="n">
        <v>567</v>
      </c>
      <c r="B249" s="5"/>
      <c r="C249" s="5" t="s">
        <v>461</v>
      </c>
      <c r="D249" s="5" t="s">
        <v>453</v>
      </c>
      <c r="E249" s="5" t="s">
        <v>462</v>
      </c>
      <c r="F249" s="5" t="n">
        <v>28527</v>
      </c>
    </row>
    <row r="250" customFormat="false" ht="15" hidden="false" customHeight="false" outlineLevel="0" collapsed="false">
      <c r="A250" s="5" t="n">
        <v>568</v>
      </c>
      <c r="B250" s="5"/>
      <c r="C250" s="5" t="s">
        <v>463</v>
      </c>
      <c r="D250" s="5" t="s">
        <v>453</v>
      </c>
      <c r="E250" s="5" t="s">
        <v>462</v>
      </c>
      <c r="F250" s="5" t="n">
        <v>28524</v>
      </c>
    </row>
    <row r="251" customFormat="false" ht="15" hidden="false" customHeight="false" outlineLevel="0" collapsed="false">
      <c r="A251" s="5" t="n">
        <v>573</v>
      </c>
      <c r="B251" s="5"/>
      <c r="C251" s="5" t="s">
        <v>464</v>
      </c>
      <c r="D251" s="5" t="s">
        <v>453</v>
      </c>
      <c r="E251" s="5" t="s">
        <v>141</v>
      </c>
      <c r="F251" s="5" t="n">
        <v>28531</v>
      </c>
    </row>
    <row r="252" customFormat="false" ht="15" hidden="false" customHeight="false" outlineLevel="0" collapsed="false">
      <c r="A252" s="5" t="n">
        <v>574</v>
      </c>
      <c r="B252" s="5"/>
      <c r="C252" s="5" t="s">
        <v>465</v>
      </c>
      <c r="D252" s="5" t="s">
        <v>453</v>
      </c>
      <c r="E252" s="5" t="s">
        <v>141</v>
      </c>
      <c r="F252" s="5" t="n">
        <v>27495</v>
      </c>
    </row>
    <row r="253" customFormat="false" ht="15" hidden="false" customHeight="false" outlineLevel="0" collapsed="false">
      <c r="A253" s="5" t="n">
        <v>575</v>
      </c>
      <c r="B253" s="5"/>
      <c r="C253" s="5" t="s">
        <v>466</v>
      </c>
      <c r="D253" s="5" t="s">
        <v>467</v>
      </c>
      <c r="E253" s="5" t="s">
        <v>141</v>
      </c>
      <c r="F253" s="5" t="n">
        <v>27002</v>
      </c>
    </row>
    <row r="254" customFormat="false" ht="15" hidden="false" customHeight="false" outlineLevel="0" collapsed="false">
      <c r="A254" s="5" t="n">
        <v>576</v>
      </c>
      <c r="B254" s="5"/>
      <c r="C254" s="5" t="s">
        <v>468</v>
      </c>
      <c r="D254" s="5" t="s">
        <v>467</v>
      </c>
      <c r="E254" s="5" t="s">
        <v>141</v>
      </c>
      <c r="F254" s="5" t="n">
        <v>27003</v>
      </c>
    </row>
    <row r="255" customFormat="false" ht="15" hidden="false" customHeight="false" outlineLevel="0" collapsed="false">
      <c r="A255" s="5" t="n">
        <v>577</v>
      </c>
      <c r="B255" s="5"/>
      <c r="C255" s="5" t="s">
        <v>469</v>
      </c>
      <c r="D255" s="5" t="s">
        <v>453</v>
      </c>
      <c r="E255" s="5" t="s">
        <v>470</v>
      </c>
      <c r="F255" s="5" t="n">
        <v>28530</v>
      </c>
    </row>
    <row r="256" customFormat="false" ht="15" hidden="false" customHeight="false" outlineLevel="0" collapsed="false">
      <c r="A256" s="5" t="n">
        <v>578</v>
      </c>
      <c r="B256" s="5"/>
      <c r="C256" s="5" t="s">
        <v>471</v>
      </c>
      <c r="D256" s="5" t="s">
        <v>453</v>
      </c>
      <c r="E256" s="5" t="s">
        <v>141</v>
      </c>
      <c r="F256" s="5" t="n">
        <v>28529</v>
      </c>
    </row>
    <row r="257" customFormat="false" ht="15" hidden="false" customHeight="false" outlineLevel="0" collapsed="false">
      <c r="A257" s="5" t="n">
        <v>587</v>
      </c>
      <c r="B257" s="5"/>
      <c r="C257" s="5" t="s">
        <v>472</v>
      </c>
      <c r="D257" s="5" t="s">
        <v>473</v>
      </c>
      <c r="E257" s="5" t="s">
        <v>474</v>
      </c>
      <c r="F257" s="5" t="n">
        <v>29153</v>
      </c>
    </row>
    <row r="258" customFormat="false" ht="15" hidden="false" customHeight="false" outlineLevel="0" collapsed="false">
      <c r="A258" s="5" t="n">
        <v>588</v>
      </c>
      <c r="B258" s="5"/>
      <c r="C258" s="5" t="s">
        <v>475</v>
      </c>
      <c r="D258" s="5" t="s">
        <v>476</v>
      </c>
      <c r="E258" s="5" t="s">
        <v>474</v>
      </c>
      <c r="F258" s="5" t="n">
        <v>29154</v>
      </c>
    </row>
    <row r="259" customFormat="false" ht="15" hidden="false" customHeight="false" outlineLevel="0" collapsed="false">
      <c r="A259" s="5" t="n">
        <v>592</v>
      </c>
      <c r="B259" s="5"/>
      <c r="C259" s="5" t="s">
        <v>477</v>
      </c>
      <c r="D259" s="5" t="s">
        <v>478</v>
      </c>
      <c r="E259" s="5" t="s">
        <v>479</v>
      </c>
      <c r="F259" s="5" t="n">
        <v>14130</v>
      </c>
    </row>
    <row r="260" customFormat="false" ht="15" hidden="false" customHeight="false" outlineLevel="0" collapsed="false">
      <c r="A260" s="5" t="n">
        <v>593</v>
      </c>
      <c r="B260" s="5"/>
      <c r="C260" s="5" t="s">
        <v>480</v>
      </c>
      <c r="D260" s="5" t="s">
        <v>478</v>
      </c>
      <c r="E260" s="5" t="s">
        <v>479</v>
      </c>
      <c r="F260" s="5" t="n">
        <v>14131</v>
      </c>
    </row>
    <row r="261" customFormat="false" ht="15" hidden="false" customHeight="false" outlineLevel="0" collapsed="false">
      <c r="A261" s="5" t="n">
        <v>596</v>
      </c>
      <c r="B261" s="5"/>
      <c r="C261" s="5" t="s">
        <v>481</v>
      </c>
      <c r="D261" s="5" t="s">
        <v>478</v>
      </c>
      <c r="E261" s="5" t="s">
        <v>482</v>
      </c>
      <c r="F261" s="5" t="n">
        <v>52342</v>
      </c>
    </row>
    <row r="262" customFormat="false" ht="15" hidden="false" customHeight="false" outlineLevel="0" collapsed="false">
      <c r="A262" s="5" t="n">
        <v>597</v>
      </c>
      <c r="B262" s="5"/>
      <c r="C262" s="5" t="s">
        <v>483</v>
      </c>
      <c r="D262" s="5" t="s">
        <v>478</v>
      </c>
      <c r="E262" s="5" t="s">
        <v>482</v>
      </c>
      <c r="F262" s="5" t="n">
        <v>52349</v>
      </c>
    </row>
    <row r="263" customFormat="false" ht="15" hidden="false" customHeight="false" outlineLevel="0" collapsed="false">
      <c r="A263" s="5" t="n">
        <v>626</v>
      </c>
      <c r="B263" s="5"/>
      <c r="C263" s="5" t="s">
        <v>484</v>
      </c>
      <c r="D263" s="5" t="s">
        <v>485</v>
      </c>
      <c r="E263" s="5" t="s">
        <v>48</v>
      </c>
      <c r="F263" s="5" t="n">
        <v>61804</v>
      </c>
    </row>
    <row r="266" customFormat="false" ht="15" hidden="false" customHeight="false" outlineLevel="0" collapsed="false">
      <c r="A266" s="2" t="s">
        <v>486</v>
      </c>
    </row>
    <row r="267" customFormat="false" ht="15" hidden="false" customHeight="false" outlineLevel="0" collapsed="false">
      <c r="A267" s="6" t="s">
        <v>487</v>
      </c>
      <c r="B267" s="7" t="s">
        <v>488</v>
      </c>
    </row>
    <row r="268" customFormat="false" ht="15" hidden="false" customHeight="false" outlineLevel="0" collapsed="false">
      <c r="A268" s="3" t="s">
        <v>489</v>
      </c>
      <c r="B268" s="7" t="s">
        <v>490</v>
      </c>
    </row>
    <row r="269" customFormat="false" ht="15" hidden="false" customHeight="false" outlineLevel="0" collapsed="false">
      <c r="A269" s="3" t="s">
        <v>491</v>
      </c>
      <c r="B269" s="7" t="s">
        <v>492</v>
      </c>
    </row>
    <row r="270" customFormat="false" ht="15" hidden="false" customHeight="false" outlineLevel="0" collapsed="false">
      <c r="A270" s="3" t="s">
        <v>493</v>
      </c>
      <c r="B270" s="7" t="s">
        <v>494</v>
      </c>
    </row>
    <row r="271" customFormat="false" ht="15" hidden="false" customHeight="false" outlineLevel="0" collapsed="false">
      <c r="A271" s="3" t="s">
        <v>495</v>
      </c>
      <c r="B271" s="7" t="s">
        <v>496</v>
      </c>
    </row>
    <row r="272" customFormat="false" ht="15" hidden="false" customHeight="false" outlineLevel="0" collapsed="false">
      <c r="A272" s="3" t="s">
        <v>497</v>
      </c>
      <c r="B272" s="7" t="s">
        <v>498</v>
      </c>
    </row>
    <row r="273" customFormat="false" ht="15" hidden="false" customHeight="false" outlineLevel="0" collapsed="false">
      <c r="A273" s="3" t="s">
        <v>499</v>
      </c>
      <c r="B273" s="7" t="s">
        <v>500</v>
      </c>
    </row>
    <row r="274" customFormat="false" ht="15" hidden="false" customHeight="false" outlineLevel="0" collapsed="false">
      <c r="A274" s="3" t="s">
        <v>501</v>
      </c>
      <c r="B274" s="7" t="s">
        <v>502</v>
      </c>
    </row>
    <row r="275" customFormat="false" ht="15" hidden="false" customHeight="false" outlineLevel="0" collapsed="false">
      <c r="A275" s="3" t="s">
        <v>503</v>
      </c>
      <c r="B275" s="7" t="s">
        <v>504</v>
      </c>
    </row>
    <row r="276" customFormat="false" ht="15" hidden="false" customHeight="false" outlineLevel="0" collapsed="false">
      <c r="A276" s="3" t="s">
        <v>505</v>
      </c>
      <c r="B276" s="7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507</v>
      </c>
    </row>
    <row r="2" customFormat="false" ht="15" hidden="false" customHeight="false" outlineLevel="0" collapsed="false">
      <c r="A2" s="4" t="s">
        <v>508</v>
      </c>
      <c r="B2" s="4" t="s">
        <v>509</v>
      </c>
      <c r="C2" s="4" t="s">
        <v>510</v>
      </c>
    </row>
    <row r="3" customFormat="false" ht="15" hidden="false" customHeight="false" outlineLevel="0" collapsed="false">
      <c r="A3" s="8" t="s">
        <v>511</v>
      </c>
      <c r="B3" s="9" t="n">
        <v>3</v>
      </c>
      <c r="C3" s="8" t="s">
        <v>512</v>
      </c>
    </row>
    <row r="4" customFormat="false" ht="15" hidden="false" customHeight="false" outlineLevel="0" collapsed="false">
      <c r="A4" s="8" t="s">
        <v>513</v>
      </c>
      <c r="B4" s="9" t="n">
        <v>7</v>
      </c>
      <c r="C4" s="8" t="s">
        <v>512</v>
      </c>
    </row>
    <row r="5" customFormat="false" ht="15" hidden="false" customHeight="false" outlineLevel="0" collapsed="false">
      <c r="A5" s="8" t="s">
        <v>514</v>
      </c>
      <c r="B5" s="9" t="n">
        <v>3</v>
      </c>
      <c r="C5" s="8" t="s">
        <v>512</v>
      </c>
    </row>
    <row r="6" customFormat="false" ht="15" hidden="false" customHeight="false" outlineLevel="0" collapsed="false">
      <c r="A6" s="8" t="s">
        <v>515</v>
      </c>
      <c r="B6" s="9" t="s">
        <v>516</v>
      </c>
      <c r="C6" s="8" t="s">
        <v>517</v>
      </c>
    </row>
    <row r="7" customFormat="false" ht="15" hidden="false" customHeight="false" outlineLevel="0" collapsed="false">
      <c r="A7" s="8" t="s">
        <v>518</v>
      </c>
      <c r="B7" s="9" t="n">
        <v>2000</v>
      </c>
      <c r="C7" s="8" t="s">
        <v>519</v>
      </c>
    </row>
    <row r="8" customFormat="false" ht="15" hidden="false" customHeight="false" outlineLevel="0" collapsed="false">
      <c r="A8" s="8" t="s">
        <v>520</v>
      </c>
      <c r="B8" s="9" t="n">
        <v>5</v>
      </c>
      <c r="C8" s="8" t="s">
        <v>521</v>
      </c>
    </row>
    <row r="9" customFormat="false" ht="15" hidden="false" customHeight="false" outlineLevel="0" collapsed="false">
      <c r="A9" s="8" t="s">
        <v>522</v>
      </c>
      <c r="B9" s="9" t="n">
        <v>20</v>
      </c>
      <c r="C9" s="8" t="s">
        <v>521</v>
      </c>
    </row>
    <row r="12" customFormat="false" ht="15" hidden="false" customHeight="false" outlineLevel="0" collapsed="false">
      <c r="A12" s="2" t="s">
        <v>523</v>
      </c>
    </row>
    <row r="13" customFormat="false" ht="39.55" hidden="false" customHeight="false" outlineLevel="0" collapsed="false">
      <c r="A13" s="4" t="s">
        <v>524</v>
      </c>
      <c r="B13" s="4" t="s">
        <v>525</v>
      </c>
      <c r="C13" s="4" t="s">
        <v>526</v>
      </c>
    </row>
    <row r="14" customFormat="false" ht="15" hidden="false" customHeight="false" outlineLevel="0" collapsed="false">
      <c r="A14" s="8" t="s">
        <v>527</v>
      </c>
      <c r="B14" s="9" t="n">
        <v>21</v>
      </c>
      <c r="C14" s="9" t="n">
        <v>15</v>
      </c>
    </row>
    <row r="15" customFormat="false" ht="15" hidden="false" customHeight="false" outlineLevel="0" collapsed="false">
      <c r="A15" s="8" t="s">
        <v>528</v>
      </c>
      <c r="B15" s="9" t="n">
        <v>14</v>
      </c>
      <c r="C15" s="9" t="n">
        <v>8</v>
      </c>
    </row>
    <row r="16" customFormat="false" ht="15" hidden="false" customHeight="false" outlineLevel="0" collapsed="false">
      <c r="A16" s="8" t="s">
        <v>529</v>
      </c>
      <c r="B16" s="9" t="n">
        <v>10</v>
      </c>
      <c r="C16" s="9" t="n">
        <v>3</v>
      </c>
    </row>
    <row r="18" customFormat="false" ht="15" hidden="false" customHeight="false" outlineLevel="0" collapsed="false">
      <c r="A18" s="2" t="s">
        <v>530</v>
      </c>
    </row>
    <row r="19" customFormat="false" ht="15" hidden="false" customHeight="false" outlineLevel="0" collapsed="false">
      <c r="A19" s="4" t="s">
        <v>491</v>
      </c>
      <c r="B19" s="4" t="s">
        <v>524</v>
      </c>
    </row>
    <row r="20" customFormat="false" ht="15" hidden="false" customHeight="false" outlineLevel="0" collapsed="false">
      <c r="A20" s="8" t="s">
        <v>531</v>
      </c>
      <c r="B20" s="9" t="s">
        <v>529</v>
      </c>
    </row>
    <row r="21" customFormat="false" ht="15" hidden="false" customHeight="false" outlineLevel="0" collapsed="false">
      <c r="A21" s="8" t="s">
        <v>532</v>
      </c>
      <c r="B21" s="9" t="s">
        <v>528</v>
      </c>
    </row>
    <row r="22" customFormat="false" ht="15" hidden="false" customHeight="false" outlineLevel="0" collapsed="false">
      <c r="A22" s="8" t="s">
        <v>533</v>
      </c>
      <c r="B22" s="9" t="s">
        <v>528</v>
      </c>
    </row>
    <row r="23" customFormat="false" ht="15" hidden="false" customHeight="false" outlineLevel="0" collapsed="false">
      <c r="A23" s="8" t="s">
        <v>534</v>
      </c>
      <c r="B23" s="9" t="s">
        <v>527</v>
      </c>
    </row>
    <row r="24" customFormat="false" ht="15" hidden="false" customHeight="false" outlineLevel="0" collapsed="false">
      <c r="A24" s="8" t="s">
        <v>535</v>
      </c>
      <c r="B24" s="9" t="s">
        <v>527</v>
      </c>
    </row>
    <row r="25" customFormat="false" ht="15" hidden="false" customHeight="false" outlineLevel="0" collapsed="false">
      <c r="A25" s="8" t="s">
        <v>536</v>
      </c>
      <c r="B25" s="9" t="s">
        <v>528</v>
      </c>
    </row>
    <row r="26" customFormat="false" ht="15" hidden="false" customHeight="false" outlineLevel="0" collapsed="false">
      <c r="A26" s="8" t="s">
        <v>537</v>
      </c>
      <c r="B26" s="9" t="s">
        <v>527</v>
      </c>
    </row>
    <row r="27" customFormat="false" ht="15" hidden="false" customHeight="false" outlineLevel="0" collapsed="false">
      <c r="A27" s="8" t="s">
        <v>538</v>
      </c>
      <c r="B27" s="9" t="s">
        <v>527</v>
      </c>
    </row>
    <row r="28" customFormat="false" ht="15" hidden="false" customHeight="false" outlineLevel="0" collapsed="false">
      <c r="A28" s="8" t="s">
        <v>539</v>
      </c>
      <c r="B28" s="9" t="s">
        <v>528</v>
      </c>
    </row>
    <row r="29" customFormat="false" ht="15" hidden="false" customHeight="false" outlineLevel="0" collapsed="false">
      <c r="A29" s="8" t="s">
        <v>540</v>
      </c>
      <c r="B29" s="9" t="s">
        <v>527</v>
      </c>
    </row>
    <row r="30" customFormat="false" ht="15" hidden="false" customHeight="false" outlineLevel="0" collapsed="false">
      <c r="A30" s="8" t="s">
        <v>541</v>
      </c>
      <c r="B30" s="9" t="s">
        <v>529</v>
      </c>
    </row>
    <row r="31" customFormat="false" ht="15" hidden="false" customHeight="false" outlineLevel="0" collapsed="false">
      <c r="A31" s="8" t="s">
        <v>542</v>
      </c>
      <c r="B31" s="9" t="s">
        <v>527</v>
      </c>
    </row>
    <row r="32" customFormat="false" ht="15" hidden="false" customHeight="false" outlineLevel="0" collapsed="false">
      <c r="A32" s="8" t="s">
        <v>543</v>
      </c>
      <c r="B32" s="9" t="s">
        <v>528</v>
      </c>
    </row>
    <row r="33" customFormat="false" ht="15" hidden="false" customHeight="false" outlineLevel="0" collapsed="false">
      <c r="A33" s="8" t="s">
        <v>544</v>
      </c>
      <c r="B33" s="9" t="s">
        <v>528</v>
      </c>
    </row>
    <row r="34" customFormat="false" ht="15" hidden="false" customHeight="false" outlineLevel="0" collapsed="false">
      <c r="A34" s="8" t="s">
        <v>545</v>
      </c>
      <c r="B34" s="9" t="s">
        <v>528</v>
      </c>
    </row>
    <row r="35" customFormat="false" ht="15" hidden="false" customHeight="false" outlineLevel="0" collapsed="false">
      <c r="A35" s="8" t="s">
        <v>546</v>
      </c>
      <c r="B35" s="9" t="s">
        <v>527</v>
      </c>
    </row>
    <row r="36" customFormat="false" ht="15" hidden="false" customHeight="false" outlineLevel="0" collapsed="false">
      <c r="A36" s="8" t="s">
        <v>547</v>
      </c>
      <c r="B36" s="9" t="s">
        <v>527</v>
      </c>
    </row>
    <row r="37" customFormat="false" ht="15" hidden="false" customHeight="false" outlineLevel="0" collapsed="false">
      <c r="A37" s="8" t="s">
        <v>548</v>
      </c>
      <c r="B37" s="9" t="s">
        <v>529</v>
      </c>
    </row>
    <row r="38" customFormat="false" ht="15" hidden="false" customHeight="false" outlineLevel="0" collapsed="false">
      <c r="A38" s="8" t="s">
        <v>549</v>
      </c>
      <c r="B38" s="9" t="s">
        <v>528</v>
      </c>
    </row>
    <row r="39" customFormat="false" ht="15" hidden="false" customHeight="false" outlineLevel="0" collapsed="false">
      <c r="A39" s="8" t="s">
        <v>550</v>
      </c>
      <c r="B39" s="9" t="s">
        <v>529</v>
      </c>
    </row>
    <row r="40" customFormat="false" ht="15" hidden="false" customHeight="false" outlineLevel="0" collapsed="false">
      <c r="A40" s="8" t="s">
        <v>551</v>
      </c>
      <c r="B40" s="9" t="s">
        <v>528</v>
      </c>
    </row>
    <row r="41" customFormat="false" ht="15" hidden="false" customHeight="false" outlineLevel="0" collapsed="false">
      <c r="A41" s="8" t="s">
        <v>552</v>
      </c>
      <c r="B41" s="9" t="s">
        <v>527</v>
      </c>
    </row>
  </sheetData>
  <dataValidations count="2">
    <dataValidation allowBlank="false" errorStyle="stop" operator="between" showDropDown="false" showErrorMessage="false" showInputMessage="false" sqref="B6" type="list">
      <formula1>"ON,OFF"</formula1>
      <formula2>0</formula2>
    </dataValidation>
    <dataValidation allowBlank="false" errorStyle="stop" operator="between" showDropDown="false" showErrorMessage="false" showInputMessage="false" sqref="B20:B41" type="list">
      <formula1>"Fast,Medium,Slow"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M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4" min="4" style="0" width="35"/>
    <col collapsed="false" customWidth="true" hidden="false" outlineLevel="0" max="13" min="5" style="0" width="14"/>
  </cols>
  <sheetData>
    <row r="1" customFormat="false" ht="26.8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491</v>
      </c>
      <c r="E1" s="4" t="s">
        <v>554</v>
      </c>
      <c r="F1" s="4" t="s">
        <v>555</v>
      </c>
      <c r="G1" s="4" t="s">
        <v>497</v>
      </c>
      <c r="H1" s="4" t="s">
        <v>556</v>
      </c>
      <c r="I1" s="4" t="s">
        <v>557</v>
      </c>
      <c r="J1" s="4" t="s">
        <v>558</v>
      </c>
      <c r="K1" s="4" t="s">
        <v>559</v>
      </c>
      <c r="L1" s="4" t="s">
        <v>560</v>
      </c>
      <c r="M1" s="4" t="s">
        <v>561</v>
      </c>
    </row>
    <row r="2" customFormat="false" ht="15" hidden="false" customHeight="false" outlineLevel="0" collapsed="false">
      <c r="A2" s="5" t="n">
        <v>1</v>
      </c>
      <c r="B2" s="5" t="n">
        <v>62966</v>
      </c>
      <c r="C2" s="5" t="s">
        <v>33</v>
      </c>
      <c r="D2" s="5" t="s">
        <v>544</v>
      </c>
      <c r="E2" s="5" t="s">
        <v>34</v>
      </c>
      <c r="F2" s="10" t="n">
        <v>60.84</v>
      </c>
      <c r="G2" s="11" t="n">
        <v>24</v>
      </c>
      <c r="H2" s="11" t="n">
        <v>1</v>
      </c>
      <c r="I2" s="11" t="n">
        <v>5</v>
      </c>
      <c r="J2" s="5" t="str">
        <f aca="false">IF(F2=0,"MISSING","")</f>
        <v/>
      </c>
      <c r="K2" s="5" t="str">
        <f aca="false">IF(G2&lt;=0,"MISSING","")</f>
        <v/>
      </c>
      <c r="L2" s="5" t="str">
        <f aca="false">IF(D2="","MISSING","")</f>
        <v/>
      </c>
      <c r="M2" s="5" t="str">
        <f aca="false">IF(COUNTIF(B$2:B$263,B2)&gt;1,"DUPLICATE","")</f>
        <v/>
      </c>
    </row>
    <row r="3" customFormat="false" ht="15" hidden="false" customHeight="false" outlineLevel="0" collapsed="false">
      <c r="A3" s="5" t="n">
        <v>2</v>
      </c>
      <c r="B3" s="5" t="n">
        <v>62967</v>
      </c>
      <c r="C3" s="5" t="s">
        <v>36</v>
      </c>
      <c r="D3" s="5" t="s">
        <v>544</v>
      </c>
      <c r="E3" s="5" t="s">
        <v>34</v>
      </c>
      <c r="F3" s="10" t="n">
        <v>23.82</v>
      </c>
      <c r="G3" s="11" t="n">
        <v>24</v>
      </c>
      <c r="H3" s="11" t="n">
        <v>11</v>
      </c>
      <c r="I3" s="11" t="n">
        <v>0</v>
      </c>
      <c r="J3" s="5" t="str">
        <f aca="false">IF(F3=0,"MISSING","")</f>
        <v/>
      </c>
      <c r="K3" s="5" t="str">
        <f aca="false">IF(G3&lt;=0,"MISSING","")</f>
        <v/>
      </c>
      <c r="L3" s="5" t="str">
        <f aca="false">IF(D3="","MISSING","")</f>
        <v/>
      </c>
      <c r="M3" s="5" t="str">
        <f aca="false">IF(COUNTIF(B$2:B$263,B3)&gt;1,"DUPLICATE","")</f>
        <v/>
      </c>
    </row>
    <row r="4" customFormat="false" ht="15" hidden="false" customHeight="false" outlineLevel="0" collapsed="false">
      <c r="A4" s="5" t="n">
        <v>3</v>
      </c>
      <c r="B4" s="5" t="n">
        <v>62963</v>
      </c>
      <c r="C4" s="5" t="s">
        <v>37</v>
      </c>
      <c r="D4" s="5" t="s">
        <v>544</v>
      </c>
      <c r="E4" s="5" t="s">
        <v>34</v>
      </c>
      <c r="F4" s="10" t="n">
        <v>54.51</v>
      </c>
      <c r="G4" s="11" t="n">
        <v>1</v>
      </c>
      <c r="H4" s="11" t="n">
        <v>9</v>
      </c>
      <c r="I4" s="11" t="n">
        <v>6</v>
      </c>
      <c r="J4" s="5" t="str">
        <f aca="false">IF(F4=0,"MISSING","")</f>
        <v/>
      </c>
      <c r="K4" s="5" t="str">
        <f aca="false">IF(G4&lt;=0,"MISSING","")</f>
        <v/>
      </c>
      <c r="L4" s="5" t="str">
        <f aca="false">IF(D4="","MISSING","")</f>
        <v/>
      </c>
      <c r="M4" s="5" t="str">
        <f aca="false">IF(COUNTIF(B$2:B$263,B4)&gt;1,"DUPLICATE","")</f>
        <v/>
      </c>
    </row>
    <row r="5" customFormat="false" ht="15" hidden="false" customHeight="false" outlineLevel="0" collapsed="false">
      <c r="A5" s="5" t="n">
        <v>4</v>
      </c>
      <c r="B5" s="5" t="n">
        <v>22400</v>
      </c>
      <c r="C5" s="5" t="s">
        <v>39</v>
      </c>
      <c r="D5" s="5" t="s">
        <v>544</v>
      </c>
      <c r="E5" s="5" t="s">
        <v>40</v>
      </c>
      <c r="F5" s="10" t="n">
        <v>19.55</v>
      </c>
      <c r="G5" s="11" t="n">
        <v>1</v>
      </c>
      <c r="H5" s="11" t="n">
        <v>4</v>
      </c>
      <c r="I5" s="11" t="n">
        <v>1</v>
      </c>
      <c r="J5" s="5" t="str">
        <f aca="false">IF(F5=0,"MISSING","")</f>
        <v/>
      </c>
      <c r="K5" s="5" t="str">
        <f aca="false">IF(G5&lt;=0,"MISSING","")</f>
        <v/>
      </c>
      <c r="L5" s="5" t="str">
        <f aca="false">IF(D5="","MISSING","")</f>
        <v/>
      </c>
      <c r="M5" s="5" t="str">
        <f aca="false">IF(COUNTIF(B$2:B$263,B5)&gt;1,"DUPLICATE","")</f>
        <v/>
      </c>
    </row>
    <row r="6" customFormat="false" ht="15" hidden="false" customHeight="false" outlineLevel="0" collapsed="false">
      <c r="A6" s="5" t="n">
        <v>5</v>
      </c>
      <c r="B6" s="5" t="n">
        <v>22401</v>
      </c>
      <c r="C6" s="5" t="s">
        <v>42</v>
      </c>
      <c r="D6" s="5" t="s">
        <v>544</v>
      </c>
      <c r="E6" s="5" t="s">
        <v>40</v>
      </c>
      <c r="F6" s="10" t="n">
        <v>23.36</v>
      </c>
      <c r="G6" s="11" t="n">
        <v>1</v>
      </c>
      <c r="H6" s="11" t="n">
        <v>18</v>
      </c>
      <c r="I6" s="11" t="n">
        <v>4</v>
      </c>
      <c r="J6" s="5" t="str">
        <f aca="false">IF(F6=0,"MISSING","")</f>
        <v/>
      </c>
      <c r="K6" s="5" t="str">
        <f aca="false">IF(G6&lt;=0,"MISSING","")</f>
        <v/>
      </c>
      <c r="L6" s="5" t="str">
        <f aca="false">IF(D6="","MISSING","")</f>
        <v/>
      </c>
      <c r="M6" s="5" t="str">
        <f aca="false">IF(COUNTIF(B$2:B$263,B6)&gt;1,"DUPLICATE","")</f>
        <v/>
      </c>
    </row>
    <row r="7" customFormat="false" ht="15" hidden="false" customHeight="false" outlineLevel="0" collapsed="false">
      <c r="A7" s="5" t="n">
        <v>6</v>
      </c>
      <c r="B7" s="5" t="n">
        <v>22402</v>
      </c>
      <c r="C7" s="5" t="s">
        <v>43</v>
      </c>
      <c r="D7" s="5" t="s">
        <v>544</v>
      </c>
      <c r="E7" s="5" t="s">
        <v>40</v>
      </c>
      <c r="F7" s="10" t="n">
        <v>18.46</v>
      </c>
      <c r="G7" s="11" t="n">
        <v>1</v>
      </c>
      <c r="H7" s="11" t="n">
        <v>3</v>
      </c>
      <c r="I7" s="11" t="n">
        <v>3</v>
      </c>
      <c r="J7" s="5" t="str">
        <f aca="false">IF(F7=0,"MISSING","")</f>
        <v/>
      </c>
      <c r="K7" s="5" t="str">
        <f aca="false">IF(G7&lt;=0,"MISSING","")</f>
        <v/>
      </c>
      <c r="L7" s="5" t="str">
        <f aca="false">IF(D7="","MISSING","")</f>
        <v/>
      </c>
      <c r="M7" s="5" t="str">
        <f aca="false">IF(COUNTIF(B$2:B$263,B7)&gt;1,"DUPLICATE","")</f>
        <v/>
      </c>
    </row>
    <row r="8" customFormat="false" ht="15" hidden="false" customHeight="false" outlineLevel="0" collapsed="false">
      <c r="A8" s="5" t="n">
        <v>7</v>
      </c>
      <c r="B8" s="5" t="n">
        <v>22406</v>
      </c>
      <c r="C8" s="5" t="s">
        <v>44</v>
      </c>
      <c r="D8" s="5" t="s">
        <v>544</v>
      </c>
      <c r="E8" s="5" t="s">
        <v>40</v>
      </c>
      <c r="F8" s="10" t="n">
        <v>19.63</v>
      </c>
      <c r="G8" s="11" t="n">
        <v>1</v>
      </c>
      <c r="H8" s="11" t="n">
        <v>10</v>
      </c>
      <c r="I8" s="11" t="n">
        <v>0</v>
      </c>
      <c r="J8" s="5" t="str">
        <f aca="false">IF(F8=0,"MISSING","")</f>
        <v/>
      </c>
      <c r="K8" s="5" t="str">
        <f aca="false">IF(G8&lt;=0,"MISSING","")</f>
        <v/>
      </c>
      <c r="L8" s="5" t="str">
        <f aca="false">IF(D8="","MISSING","")</f>
        <v/>
      </c>
      <c r="M8" s="5" t="str">
        <f aca="false">IF(COUNTIF(B$2:B$263,B8)&gt;1,"DUPLICATE","")</f>
        <v/>
      </c>
    </row>
    <row r="9" customFormat="false" ht="15" hidden="false" customHeight="false" outlineLevel="0" collapsed="false">
      <c r="A9" s="5" t="n">
        <v>8</v>
      </c>
      <c r="B9" s="5" t="n">
        <v>22407</v>
      </c>
      <c r="C9" s="5" t="s">
        <v>45</v>
      </c>
      <c r="D9" s="5" t="s">
        <v>544</v>
      </c>
      <c r="E9" s="5" t="s">
        <v>40</v>
      </c>
      <c r="F9" s="10" t="n">
        <v>22.62</v>
      </c>
      <c r="G9" s="11" t="n">
        <v>1</v>
      </c>
      <c r="H9" s="11" t="n">
        <v>1</v>
      </c>
      <c r="I9" s="11" t="n">
        <v>11</v>
      </c>
      <c r="J9" s="5" t="str">
        <f aca="false">IF(F9=0,"MISSING","")</f>
        <v/>
      </c>
      <c r="K9" s="5" t="str">
        <f aca="false">IF(G9&lt;=0,"MISSING","")</f>
        <v/>
      </c>
      <c r="L9" s="5" t="str">
        <f aca="false">IF(D9="","MISSING","")</f>
        <v/>
      </c>
      <c r="M9" s="5" t="str">
        <f aca="false">IF(COUNTIF(B$2:B$263,B9)&gt;1,"DUPLICATE","")</f>
        <v/>
      </c>
    </row>
    <row r="10" customFormat="false" ht="15" hidden="false" customHeight="false" outlineLevel="0" collapsed="false">
      <c r="A10" s="5" t="n">
        <v>9</v>
      </c>
      <c r="B10" s="5" t="n">
        <v>25800</v>
      </c>
      <c r="C10" s="5" t="s">
        <v>46</v>
      </c>
      <c r="D10" s="5" t="s">
        <v>544</v>
      </c>
      <c r="E10" s="5" t="s">
        <v>47</v>
      </c>
      <c r="F10" s="10" t="n">
        <v>15.99</v>
      </c>
      <c r="G10" s="11" t="n">
        <v>1</v>
      </c>
      <c r="H10" s="11" t="n">
        <v>11</v>
      </c>
      <c r="I10" s="11" t="n">
        <v>4</v>
      </c>
      <c r="J10" s="5" t="str">
        <f aca="false">IF(F10=0,"MISSING","")</f>
        <v/>
      </c>
      <c r="K10" s="5" t="str">
        <f aca="false">IF(G10&lt;=0,"MISSING","")</f>
        <v/>
      </c>
      <c r="L10" s="5" t="str">
        <f aca="false">IF(D10="","MISSING","")</f>
        <v/>
      </c>
      <c r="M10" s="5" t="str">
        <f aca="false">IF(COUNTIF(B$2:B$263,B10)&gt;1,"DUPLICATE","")</f>
        <v/>
      </c>
    </row>
    <row r="11" customFormat="false" ht="15" hidden="false" customHeight="false" outlineLevel="0" collapsed="false">
      <c r="A11" s="5" t="n">
        <v>10</v>
      </c>
      <c r="B11" s="5" t="n">
        <v>25802</v>
      </c>
      <c r="C11" s="5" t="s">
        <v>49</v>
      </c>
      <c r="D11" s="5" t="s">
        <v>544</v>
      </c>
      <c r="E11" s="5" t="s">
        <v>47</v>
      </c>
      <c r="F11" s="10" t="n">
        <v>23.42</v>
      </c>
      <c r="G11" s="11" t="n">
        <v>1</v>
      </c>
      <c r="H11" s="11" t="n">
        <v>14</v>
      </c>
      <c r="I11" s="11" t="n">
        <v>11</v>
      </c>
      <c r="J11" s="5" t="str">
        <f aca="false">IF(F11=0,"MISSING","")</f>
        <v/>
      </c>
      <c r="K11" s="5" t="str">
        <f aca="false">IF(G11&lt;=0,"MISSING","")</f>
        <v/>
      </c>
      <c r="L11" s="5" t="str">
        <f aca="false">IF(D11="","MISSING","")</f>
        <v/>
      </c>
      <c r="M11" s="5" t="str">
        <f aca="false">IF(COUNTIF(B$2:B$263,B11)&gt;1,"DUPLICATE","")</f>
        <v/>
      </c>
    </row>
    <row r="12" customFormat="false" ht="15" hidden="false" customHeight="false" outlineLevel="0" collapsed="false">
      <c r="A12" s="5" t="n">
        <v>11</v>
      </c>
      <c r="B12" s="5" t="n">
        <v>19689</v>
      </c>
      <c r="C12" s="5" t="s">
        <v>51</v>
      </c>
      <c r="D12" s="5" t="s">
        <v>545</v>
      </c>
      <c r="E12" s="5" t="s">
        <v>52</v>
      </c>
      <c r="F12" s="10" t="n">
        <v>13.82</v>
      </c>
      <c r="G12" s="11" t="n">
        <v>8</v>
      </c>
      <c r="H12" s="11" t="n">
        <v>1</v>
      </c>
      <c r="I12" s="11" t="n">
        <v>1</v>
      </c>
      <c r="J12" s="5" t="str">
        <f aca="false">IF(F12=0,"MISSING","")</f>
        <v/>
      </c>
      <c r="K12" s="5" t="str">
        <f aca="false">IF(G12&lt;=0,"MISSING","")</f>
        <v/>
      </c>
      <c r="L12" s="5" t="str">
        <f aca="false">IF(D12="","MISSING","")</f>
        <v/>
      </c>
      <c r="M12" s="5" t="str">
        <f aca="false">IF(COUNTIF(B$2:B$263,B12)&gt;1,"DUPLICATE","")</f>
        <v/>
      </c>
    </row>
    <row r="13" customFormat="false" ht="15" hidden="false" customHeight="false" outlineLevel="0" collapsed="false">
      <c r="A13" s="5" t="n">
        <v>12</v>
      </c>
      <c r="B13" s="5" t="n">
        <v>19692</v>
      </c>
      <c r="C13" s="5" t="s">
        <v>54</v>
      </c>
      <c r="D13" s="5" t="s">
        <v>545</v>
      </c>
      <c r="E13" s="5" t="s">
        <v>52</v>
      </c>
      <c r="F13" s="10" t="n">
        <v>21.36</v>
      </c>
      <c r="G13" s="11" t="n">
        <v>8</v>
      </c>
      <c r="H13" s="11" t="n">
        <v>6</v>
      </c>
      <c r="I13" s="11" t="n">
        <v>4</v>
      </c>
      <c r="J13" s="5" t="str">
        <f aca="false">IF(F13=0,"MISSING","")</f>
        <v/>
      </c>
      <c r="K13" s="5" t="str">
        <f aca="false">IF(G13&lt;=0,"MISSING","")</f>
        <v/>
      </c>
      <c r="L13" s="5" t="str">
        <f aca="false">IF(D13="","MISSING","")</f>
        <v/>
      </c>
      <c r="M13" s="5" t="str">
        <f aca="false">IF(COUNTIF(B$2:B$263,B13)&gt;1,"DUPLICATE","")</f>
        <v/>
      </c>
    </row>
    <row r="14" customFormat="false" ht="15" hidden="false" customHeight="false" outlineLevel="0" collapsed="false">
      <c r="A14" s="5" t="n">
        <v>13</v>
      </c>
      <c r="B14" s="5" t="n">
        <v>19693</v>
      </c>
      <c r="C14" s="5" t="s">
        <v>55</v>
      </c>
      <c r="D14" s="5" t="s">
        <v>545</v>
      </c>
      <c r="E14" s="5" t="s">
        <v>52</v>
      </c>
      <c r="F14" s="10" t="n">
        <v>17.87</v>
      </c>
      <c r="G14" s="11" t="n">
        <v>8</v>
      </c>
      <c r="H14" s="11" t="n">
        <v>1</v>
      </c>
      <c r="I14" s="11" t="n">
        <v>3</v>
      </c>
      <c r="J14" s="5" t="str">
        <f aca="false">IF(F14=0,"MISSING","")</f>
        <v/>
      </c>
      <c r="K14" s="5" t="str">
        <f aca="false">IF(G14&lt;=0,"MISSING","")</f>
        <v/>
      </c>
      <c r="L14" s="5" t="str">
        <f aca="false">IF(D14="","MISSING","")</f>
        <v/>
      </c>
      <c r="M14" s="5" t="str">
        <f aca="false">IF(COUNTIF(B$2:B$263,B14)&gt;1,"DUPLICATE","")</f>
        <v/>
      </c>
    </row>
    <row r="15" customFormat="false" ht="15" hidden="false" customHeight="false" outlineLevel="0" collapsed="false">
      <c r="A15" s="5" t="n">
        <v>14</v>
      </c>
      <c r="B15" s="5" t="n">
        <v>19688</v>
      </c>
      <c r="C15" s="5" t="s">
        <v>56</v>
      </c>
      <c r="D15" s="5" t="s">
        <v>545</v>
      </c>
      <c r="E15" s="5" t="s">
        <v>52</v>
      </c>
      <c r="F15" s="10" t="n">
        <v>58</v>
      </c>
      <c r="G15" s="11" t="n">
        <v>6</v>
      </c>
      <c r="H15" s="11" t="n">
        <v>0</v>
      </c>
      <c r="I15" s="11" t="n">
        <v>7</v>
      </c>
      <c r="J15" s="5" t="str">
        <f aca="false">IF(F15=0,"MISSING","")</f>
        <v/>
      </c>
      <c r="K15" s="5" t="str">
        <f aca="false">IF(G15&lt;=0,"MISSING","")</f>
        <v/>
      </c>
      <c r="L15" s="5" t="str">
        <f aca="false">IF(D15="","MISSING","")</f>
        <v/>
      </c>
      <c r="M15" s="5" t="str">
        <f aca="false">IF(COUNTIF(B$2:B$263,B15)&gt;1,"DUPLICATE","")</f>
        <v/>
      </c>
    </row>
    <row r="16" customFormat="false" ht="15" hidden="false" customHeight="false" outlineLevel="0" collapsed="false">
      <c r="A16" s="5" t="n">
        <v>15</v>
      </c>
      <c r="B16" s="5" t="n">
        <v>19687</v>
      </c>
      <c r="C16" s="5" t="s">
        <v>58</v>
      </c>
      <c r="D16" s="5" t="s">
        <v>545</v>
      </c>
      <c r="E16" s="5" t="s">
        <v>52</v>
      </c>
      <c r="F16" s="10" t="n">
        <v>84.7</v>
      </c>
      <c r="G16" s="11" t="n">
        <v>6</v>
      </c>
      <c r="H16" s="11" t="n">
        <v>0</v>
      </c>
      <c r="I16" s="11" t="n">
        <v>0</v>
      </c>
      <c r="J16" s="5" t="str">
        <f aca="false">IF(F16=0,"MISSING","")</f>
        <v/>
      </c>
      <c r="K16" s="5" t="str">
        <f aca="false">IF(G16&lt;=0,"MISSING","")</f>
        <v/>
      </c>
      <c r="L16" s="5" t="str">
        <f aca="false">IF(D16="","MISSING","")</f>
        <v/>
      </c>
      <c r="M16" s="5" t="str">
        <f aca="false">IF(COUNTIF(B$2:B$263,B16)&gt;1,"DUPLICATE","")</f>
        <v/>
      </c>
    </row>
    <row r="17" customFormat="false" ht="15" hidden="false" customHeight="false" outlineLevel="0" collapsed="false">
      <c r="A17" s="5" t="n">
        <v>16</v>
      </c>
      <c r="B17" s="5" t="n">
        <v>19685</v>
      </c>
      <c r="C17" s="5" t="s">
        <v>59</v>
      </c>
      <c r="D17" s="5" t="s">
        <v>545</v>
      </c>
      <c r="E17" s="5" t="s">
        <v>52</v>
      </c>
      <c r="F17" s="10" t="n">
        <v>40.56</v>
      </c>
      <c r="G17" s="11" t="n">
        <v>6</v>
      </c>
      <c r="H17" s="11" t="n">
        <v>1</v>
      </c>
      <c r="I17" s="11" t="n">
        <v>1</v>
      </c>
      <c r="J17" s="5" t="str">
        <f aca="false">IF(F17=0,"MISSING","")</f>
        <v/>
      </c>
      <c r="K17" s="5" t="str">
        <f aca="false">IF(G17&lt;=0,"MISSING","")</f>
        <v/>
      </c>
      <c r="L17" s="5" t="str">
        <f aca="false">IF(D17="","MISSING","")</f>
        <v/>
      </c>
      <c r="M17" s="5" t="str">
        <f aca="false">IF(COUNTIF(B$2:B$263,B17)&gt;1,"DUPLICATE","")</f>
        <v/>
      </c>
    </row>
    <row r="18" customFormat="false" ht="15" hidden="false" customHeight="false" outlineLevel="0" collapsed="false">
      <c r="A18" s="5" t="n">
        <v>17</v>
      </c>
      <c r="B18" s="5" t="n">
        <v>19628</v>
      </c>
      <c r="C18" s="5" t="s">
        <v>60</v>
      </c>
      <c r="D18" s="5" t="s">
        <v>545</v>
      </c>
      <c r="E18" s="5" t="s">
        <v>61</v>
      </c>
      <c r="F18" s="10" t="n">
        <v>33.35</v>
      </c>
      <c r="G18" s="11" t="n">
        <v>2</v>
      </c>
      <c r="H18" s="11" t="n">
        <v>3</v>
      </c>
      <c r="I18" s="11" t="n">
        <v>1</v>
      </c>
      <c r="J18" s="5" t="str">
        <f aca="false">IF(F18=0,"MISSING","")</f>
        <v/>
      </c>
      <c r="K18" s="5" t="str">
        <f aca="false">IF(G18&lt;=0,"MISSING","")</f>
        <v/>
      </c>
      <c r="L18" s="5" t="str">
        <f aca="false">IF(D18="","MISSING","")</f>
        <v/>
      </c>
      <c r="M18" s="5" t="str">
        <f aca="false">IF(COUNTIF(B$2:B$263,B18)&gt;1,"DUPLICATE","")</f>
        <v/>
      </c>
    </row>
    <row r="19" customFormat="false" ht="15" hidden="false" customHeight="false" outlineLevel="0" collapsed="false">
      <c r="A19" s="5" t="n">
        <v>18</v>
      </c>
      <c r="B19" s="5" t="n">
        <v>16992</v>
      </c>
      <c r="C19" s="5" t="s">
        <v>63</v>
      </c>
      <c r="D19" s="5" t="s">
        <v>545</v>
      </c>
      <c r="E19" s="5" t="s">
        <v>52</v>
      </c>
      <c r="F19" s="10" t="n">
        <v>72.45</v>
      </c>
      <c r="G19" s="11" t="n">
        <v>2</v>
      </c>
      <c r="H19" s="11" t="n">
        <v>0</v>
      </c>
      <c r="I19" s="11" t="n">
        <v>0</v>
      </c>
      <c r="J19" s="5" t="str">
        <f aca="false">IF(F19=0,"MISSING","")</f>
        <v/>
      </c>
      <c r="K19" s="5" t="str">
        <f aca="false">IF(G19&lt;=0,"MISSING","")</f>
        <v/>
      </c>
      <c r="L19" s="5" t="str">
        <f aca="false">IF(D19="","MISSING","")</f>
        <v/>
      </c>
      <c r="M19" s="5" t="str">
        <f aca="false">IF(COUNTIF(B$2:B$263,B19)&gt;1,"DUPLICATE","")</f>
        <v/>
      </c>
    </row>
    <row r="20" customFormat="false" ht="15" hidden="false" customHeight="false" outlineLevel="0" collapsed="false">
      <c r="A20" s="5" t="n">
        <v>19</v>
      </c>
      <c r="B20" s="5" t="n">
        <v>16995</v>
      </c>
      <c r="C20" s="5" t="s">
        <v>65</v>
      </c>
      <c r="D20" s="5" t="s">
        <v>545</v>
      </c>
      <c r="E20" s="5" t="s">
        <v>52</v>
      </c>
      <c r="F20" s="10" t="n">
        <v>41.11</v>
      </c>
      <c r="G20" s="11" t="n">
        <v>2</v>
      </c>
      <c r="H20" s="11" t="n">
        <v>3</v>
      </c>
      <c r="I20" s="11" t="n">
        <v>0</v>
      </c>
      <c r="J20" s="5" t="str">
        <f aca="false">IF(F20=0,"MISSING","")</f>
        <v/>
      </c>
      <c r="K20" s="5" t="str">
        <f aca="false">IF(G20&lt;=0,"MISSING","")</f>
        <v/>
      </c>
      <c r="L20" s="5" t="str">
        <f aca="false">IF(D20="","MISSING","")</f>
        <v/>
      </c>
      <c r="M20" s="5" t="str">
        <f aca="false">IF(COUNTIF(B$2:B$263,B20)&gt;1,"DUPLICATE","")</f>
        <v/>
      </c>
    </row>
    <row r="21" customFormat="false" ht="15" hidden="false" customHeight="false" outlineLevel="0" collapsed="false">
      <c r="A21" s="5" t="n">
        <v>20</v>
      </c>
      <c r="B21" s="5" t="n">
        <v>19629</v>
      </c>
      <c r="C21" s="5" t="s">
        <v>66</v>
      </c>
      <c r="D21" s="5" t="s">
        <v>545</v>
      </c>
      <c r="E21" s="5" t="s">
        <v>67</v>
      </c>
      <c r="F21" s="10" t="n">
        <v>29.38</v>
      </c>
      <c r="G21" s="11" t="n">
        <v>2</v>
      </c>
      <c r="H21" s="11" t="n">
        <v>0</v>
      </c>
      <c r="I21" s="11" t="n">
        <v>7</v>
      </c>
      <c r="J21" s="5" t="str">
        <f aca="false">IF(F21=0,"MISSING","")</f>
        <v/>
      </c>
      <c r="K21" s="5" t="str">
        <f aca="false">IF(G21&lt;=0,"MISSING","")</f>
        <v/>
      </c>
      <c r="L21" s="5" t="str">
        <f aca="false">IF(D21="","MISSING","")</f>
        <v/>
      </c>
      <c r="M21" s="5" t="str">
        <f aca="false">IF(COUNTIF(B$2:B$263,B21)&gt;1,"DUPLICATE","")</f>
        <v/>
      </c>
    </row>
    <row r="22" customFormat="false" ht="15" hidden="false" customHeight="false" outlineLevel="0" collapsed="false">
      <c r="A22" s="5" t="n">
        <v>21</v>
      </c>
      <c r="B22" s="5" t="n">
        <v>16993</v>
      </c>
      <c r="C22" s="5" t="s">
        <v>69</v>
      </c>
      <c r="D22" s="5" t="s">
        <v>545</v>
      </c>
      <c r="E22" s="5" t="s">
        <v>52</v>
      </c>
      <c r="F22" s="10" t="n">
        <v>55.72</v>
      </c>
      <c r="G22" s="11" t="n">
        <v>2</v>
      </c>
      <c r="H22" s="11" t="n">
        <v>2</v>
      </c>
      <c r="I22" s="11" t="n">
        <v>3</v>
      </c>
      <c r="J22" s="5" t="str">
        <f aca="false">IF(F22=0,"MISSING","")</f>
        <v/>
      </c>
      <c r="K22" s="5" t="str">
        <f aca="false">IF(G22&lt;=0,"MISSING","")</f>
        <v/>
      </c>
      <c r="L22" s="5" t="str">
        <f aca="false">IF(D22="","MISSING","")</f>
        <v/>
      </c>
      <c r="M22" s="5" t="str">
        <f aca="false">IF(COUNTIF(B$2:B$263,B22)&gt;1,"DUPLICATE","")</f>
        <v/>
      </c>
    </row>
    <row r="23" customFormat="false" ht="15" hidden="false" customHeight="false" outlineLevel="0" collapsed="false">
      <c r="A23" s="5" t="n">
        <v>22</v>
      </c>
      <c r="B23" s="5" t="n">
        <v>16988</v>
      </c>
      <c r="C23" s="5" t="s">
        <v>70</v>
      </c>
      <c r="D23" s="5" t="s">
        <v>545</v>
      </c>
      <c r="E23" s="5" t="s">
        <v>52</v>
      </c>
      <c r="F23" s="10" t="n">
        <v>72.39</v>
      </c>
      <c r="G23" s="11" t="n">
        <v>2</v>
      </c>
      <c r="H23" s="11" t="n">
        <v>8</v>
      </c>
      <c r="I23" s="11" t="n">
        <v>0</v>
      </c>
      <c r="J23" s="5" t="str">
        <f aca="false">IF(F23=0,"MISSING","")</f>
        <v/>
      </c>
      <c r="K23" s="5" t="str">
        <f aca="false">IF(G23&lt;=0,"MISSING","")</f>
        <v/>
      </c>
      <c r="L23" s="5" t="str">
        <f aca="false">IF(D23="","MISSING","")</f>
        <v/>
      </c>
      <c r="M23" s="5" t="str">
        <f aca="false">IF(COUNTIF(B$2:B$263,B23)&gt;1,"DUPLICATE","")</f>
        <v/>
      </c>
    </row>
    <row r="24" customFormat="false" ht="15" hidden="false" customHeight="false" outlineLevel="0" collapsed="false">
      <c r="A24" s="5" t="n">
        <v>23</v>
      </c>
      <c r="B24" s="5" t="n">
        <v>16987</v>
      </c>
      <c r="C24" s="5" t="s">
        <v>71</v>
      </c>
      <c r="D24" s="5" t="s">
        <v>545</v>
      </c>
      <c r="E24" s="5" t="s">
        <v>52</v>
      </c>
      <c r="F24" s="10" t="n">
        <v>34.11</v>
      </c>
      <c r="G24" s="11" t="n">
        <v>2</v>
      </c>
      <c r="H24" s="11" t="n">
        <v>0</v>
      </c>
      <c r="I24" s="11" t="n">
        <v>0</v>
      </c>
      <c r="J24" s="5" t="str">
        <f aca="false">IF(F24=0,"MISSING","")</f>
        <v/>
      </c>
      <c r="K24" s="5" t="str">
        <f aca="false">IF(G24&lt;=0,"MISSING","")</f>
        <v/>
      </c>
      <c r="L24" s="5" t="str">
        <f aca="false">IF(D24="","MISSING","")</f>
        <v/>
      </c>
      <c r="M24" s="5" t="str">
        <f aca="false">IF(COUNTIF(B$2:B$263,B24)&gt;1,"DUPLICATE","")</f>
        <v/>
      </c>
    </row>
    <row r="25" customFormat="false" ht="15" hidden="false" customHeight="false" outlineLevel="0" collapsed="false">
      <c r="A25" s="5" t="n">
        <v>24</v>
      </c>
      <c r="B25" s="5" t="n">
        <v>16994</v>
      </c>
      <c r="C25" s="5" t="s">
        <v>72</v>
      </c>
      <c r="D25" s="5" t="s">
        <v>545</v>
      </c>
      <c r="E25" s="5" t="s">
        <v>52</v>
      </c>
      <c r="F25" s="10" t="n">
        <v>31.36</v>
      </c>
      <c r="G25" s="11" t="n">
        <v>2</v>
      </c>
      <c r="H25" s="11" t="n">
        <v>9</v>
      </c>
      <c r="I25" s="11" t="n">
        <v>0</v>
      </c>
      <c r="J25" s="5" t="str">
        <f aca="false">IF(F25=0,"MISSING","")</f>
        <v/>
      </c>
      <c r="K25" s="5" t="str">
        <f aca="false">IF(G25&lt;=0,"MISSING","")</f>
        <v/>
      </c>
      <c r="L25" s="5" t="str">
        <f aca="false">IF(D25="","MISSING","")</f>
        <v/>
      </c>
      <c r="M25" s="5" t="str">
        <f aca="false">IF(COUNTIF(B$2:B$263,B25)&gt;1,"DUPLICATE","")</f>
        <v/>
      </c>
    </row>
    <row r="26" customFormat="false" ht="15" hidden="false" customHeight="false" outlineLevel="0" collapsed="false">
      <c r="A26" s="5" t="n">
        <v>25</v>
      </c>
      <c r="B26" s="5" t="n">
        <v>19694</v>
      </c>
      <c r="C26" s="5" t="s">
        <v>73</v>
      </c>
      <c r="D26" s="5" t="s">
        <v>545</v>
      </c>
      <c r="E26" s="5" t="s">
        <v>52</v>
      </c>
      <c r="F26" s="10" t="n">
        <v>51.07</v>
      </c>
      <c r="G26" s="11" t="n">
        <v>2</v>
      </c>
      <c r="H26" s="11" t="n">
        <v>0</v>
      </c>
      <c r="I26" s="11" t="n">
        <v>0</v>
      </c>
      <c r="J26" s="5" t="str">
        <f aca="false">IF(F26=0,"MISSING","")</f>
        <v/>
      </c>
      <c r="K26" s="5" t="str">
        <f aca="false">IF(G26&lt;=0,"MISSING","")</f>
        <v/>
      </c>
      <c r="L26" s="5" t="str">
        <f aca="false">IF(D26="","MISSING","")</f>
        <v/>
      </c>
      <c r="M26" s="5" t="str">
        <f aca="false">IF(COUNTIF(B$2:B$263,B26)&gt;1,"DUPLICATE","")</f>
        <v/>
      </c>
    </row>
    <row r="27" customFormat="false" ht="15" hidden="false" customHeight="false" outlineLevel="0" collapsed="false">
      <c r="A27" s="5" t="n">
        <v>26</v>
      </c>
      <c r="B27" s="5" t="n">
        <v>16991</v>
      </c>
      <c r="C27" s="5" t="s">
        <v>74</v>
      </c>
      <c r="D27" s="5" t="s">
        <v>545</v>
      </c>
      <c r="E27" s="5" t="s">
        <v>52</v>
      </c>
      <c r="F27" s="10" t="n">
        <v>52.5</v>
      </c>
      <c r="G27" s="11" t="n">
        <v>2</v>
      </c>
      <c r="H27" s="11" t="n">
        <v>4</v>
      </c>
      <c r="I27" s="11" t="n">
        <v>3</v>
      </c>
      <c r="J27" s="5" t="str">
        <f aca="false">IF(F27=0,"MISSING","")</f>
        <v/>
      </c>
      <c r="K27" s="5" t="str">
        <f aca="false">IF(G27&lt;=0,"MISSING","")</f>
        <v/>
      </c>
      <c r="L27" s="5" t="str">
        <f aca="false">IF(D27="","MISSING","")</f>
        <v/>
      </c>
      <c r="M27" s="5" t="str">
        <f aca="false">IF(COUNTIF(B$2:B$263,B27)&gt;1,"DUPLICATE","")</f>
        <v/>
      </c>
    </row>
    <row r="28" customFormat="false" ht="15" hidden="false" customHeight="false" outlineLevel="0" collapsed="false">
      <c r="A28" s="5" t="n">
        <v>27</v>
      </c>
      <c r="B28" s="5" t="n">
        <v>16989</v>
      </c>
      <c r="C28" s="5" t="s">
        <v>75</v>
      </c>
      <c r="D28" s="5" t="s">
        <v>545</v>
      </c>
      <c r="E28" s="5" t="s">
        <v>52</v>
      </c>
      <c r="F28" s="10" t="n">
        <v>73.62</v>
      </c>
      <c r="G28" s="11" t="n">
        <v>2</v>
      </c>
      <c r="H28" s="11" t="n">
        <v>3</v>
      </c>
      <c r="I28" s="11" t="n">
        <v>0</v>
      </c>
      <c r="J28" s="5" t="str">
        <f aca="false">IF(F28=0,"MISSING","")</f>
        <v/>
      </c>
      <c r="K28" s="5" t="str">
        <f aca="false">IF(G28&lt;=0,"MISSING","")</f>
        <v/>
      </c>
      <c r="L28" s="5" t="str">
        <f aca="false">IF(D28="","MISSING","")</f>
        <v/>
      </c>
      <c r="M28" s="5" t="str">
        <f aca="false">IF(COUNTIF(B$2:B$263,B28)&gt;1,"DUPLICATE","")</f>
        <v/>
      </c>
    </row>
    <row r="29" customFormat="false" ht="15" hidden="false" customHeight="false" outlineLevel="0" collapsed="false">
      <c r="A29" s="5" t="n">
        <v>28</v>
      </c>
      <c r="B29" s="5" t="n">
        <v>19630</v>
      </c>
      <c r="C29" s="5" t="s">
        <v>76</v>
      </c>
      <c r="D29" s="5" t="s">
        <v>545</v>
      </c>
      <c r="E29" s="5" t="s">
        <v>67</v>
      </c>
      <c r="F29" s="10" t="n">
        <v>37.08</v>
      </c>
      <c r="G29" s="11" t="n">
        <v>2</v>
      </c>
      <c r="H29" s="11" t="n">
        <v>10</v>
      </c>
      <c r="I29" s="11" t="n">
        <v>3</v>
      </c>
      <c r="J29" s="5" t="str">
        <f aca="false">IF(F29=0,"MISSING","")</f>
        <v/>
      </c>
      <c r="K29" s="5" t="str">
        <f aca="false">IF(G29&lt;=0,"MISSING","")</f>
        <v/>
      </c>
      <c r="L29" s="5" t="str">
        <f aca="false">IF(D29="","MISSING","")</f>
        <v/>
      </c>
      <c r="M29" s="5" t="str">
        <f aca="false">IF(COUNTIF(B$2:B$263,B29)&gt;1,"DUPLICATE","")</f>
        <v/>
      </c>
    </row>
    <row r="30" customFormat="false" ht="15" hidden="false" customHeight="false" outlineLevel="0" collapsed="false">
      <c r="A30" s="5" t="n">
        <v>29</v>
      </c>
      <c r="B30" s="5" t="n">
        <v>44985</v>
      </c>
      <c r="C30" s="5" t="s">
        <v>78</v>
      </c>
      <c r="D30" s="5" t="s">
        <v>535</v>
      </c>
      <c r="E30" s="5" t="s">
        <v>79</v>
      </c>
      <c r="F30" s="10" t="n">
        <v>53.51</v>
      </c>
      <c r="G30" s="11" t="n">
        <v>1</v>
      </c>
      <c r="H30" s="11" t="n">
        <v>3</v>
      </c>
      <c r="I30" s="11" t="n">
        <v>0</v>
      </c>
      <c r="J30" s="5" t="str">
        <f aca="false">IF(F30=0,"MISSING","")</f>
        <v/>
      </c>
      <c r="K30" s="5" t="str">
        <f aca="false">IF(G30&lt;=0,"MISSING","")</f>
        <v/>
      </c>
      <c r="L30" s="5" t="str">
        <f aca="false">IF(D30="","MISSING","")</f>
        <v/>
      </c>
      <c r="M30" s="5" t="str">
        <f aca="false">IF(COUNTIF(B$2:B$263,B30)&gt;1,"DUPLICATE","")</f>
        <v/>
      </c>
    </row>
    <row r="31" customFormat="false" ht="15" hidden="false" customHeight="false" outlineLevel="0" collapsed="false">
      <c r="A31" s="5" t="n">
        <v>30</v>
      </c>
      <c r="B31" s="5" t="n">
        <v>44961</v>
      </c>
      <c r="C31" s="5" t="s">
        <v>81</v>
      </c>
      <c r="D31" s="5" t="s">
        <v>535</v>
      </c>
      <c r="E31" s="5" t="s">
        <v>79</v>
      </c>
      <c r="F31" s="10" t="n">
        <v>59.96</v>
      </c>
      <c r="G31" s="11" t="n">
        <v>1</v>
      </c>
      <c r="H31" s="11" t="n">
        <v>1</v>
      </c>
      <c r="I31" s="11" t="n">
        <v>1</v>
      </c>
      <c r="J31" s="5" t="str">
        <f aca="false">IF(F31=0,"MISSING","")</f>
        <v/>
      </c>
      <c r="K31" s="5" t="str">
        <f aca="false">IF(G31&lt;=0,"MISSING","")</f>
        <v/>
      </c>
      <c r="L31" s="5" t="str">
        <f aca="false">IF(D31="","MISSING","")</f>
        <v/>
      </c>
      <c r="M31" s="5" t="str">
        <f aca="false">IF(COUNTIF(B$2:B$263,B31)&gt;1,"DUPLICATE","")</f>
        <v/>
      </c>
    </row>
    <row r="32" customFormat="false" ht="15" hidden="false" customHeight="false" outlineLevel="0" collapsed="false">
      <c r="A32" s="5" t="n">
        <v>31</v>
      </c>
      <c r="B32" s="5" t="n">
        <v>44962</v>
      </c>
      <c r="C32" s="5" t="s">
        <v>82</v>
      </c>
      <c r="D32" s="5" t="s">
        <v>535</v>
      </c>
      <c r="E32" s="5" t="s">
        <v>79</v>
      </c>
      <c r="F32" s="10" t="n">
        <v>12.58</v>
      </c>
      <c r="G32" s="11" t="n">
        <v>1</v>
      </c>
      <c r="H32" s="11" t="n">
        <v>9</v>
      </c>
      <c r="I32" s="11" t="n">
        <v>1</v>
      </c>
      <c r="J32" s="5" t="str">
        <f aca="false">IF(F32=0,"MISSING","")</f>
        <v/>
      </c>
      <c r="K32" s="5" t="str">
        <f aca="false">IF(G32&lt;=0,"MISSING","")</f>
        <v/>
      </c>
      <c r="L32" s="5" t="str">
        <f aca="false">IF(D32="","MISSING","")</f>
        <v/>
      </c>
      <c r="M32" s="5" t="str">
        <f aca="false">IF(COUNTIF(B$2:B$263,B32)&gt;1,"DUPLICATE","")</f>
        <v/>
      </c>
    </row>
    <row r="33" customFormat="false" ht="15" hidden="false" customHeight="false" outlineLevel="0" collapsed="false">
      <c r="A33" s="5" t="n">
        <v>32</v>
      </c>
      <c r="B33" s="5" t="n">
        <v>63927</v>
      </c>
      <c r="C33" s="5" t="s">
        <v>83</v>
      </c>
      <c r="D33" s="5" t="s">
        <v>535</v>
      </c>
      <c r="E33" s="5" t="s">
        <v>84</v>
      </c>
      <c r="F33" s="10" t="n">
        <v>68.6</v>
      </c>
      <c r="G33" s="11" t="n">
        <v>160</v>
      </c>
      <c r="H33" s="11" t="n">
        <v>7</v>
      </c>
      <c r="I33" s="11" t="n">
        <v>5</v>
      </c>
      <c r="J33" s="5" t="str">
        <f aca="false">IF(F33=0,"MISSING","")</f>
        <v/>
      </c>
      <c r="K33" s="5" t="str">
        <f aca="false">IF(G33&lt;=0,"MISSING","")</f>
        <v/>
      </c>
      <c r="L33" s="5" t="str">
        <f aca="false">IF(D33="","MISSING","")</f>
        <v/>
      </c>
      <c r="M33" s="5" t="str">
        <f aca="false">IF(COUNTIF(B$2:B$263,B33)&gt;1,"DUPLICATE","")</f>
        <v/>
      </c>
    </row>
    <row r="34" customFormat="false" ht="15" hidden="false" customHeight="false" outlineLevel="0" collapsed="false">
      <c r="A34" s="5" t="n">
        <v>33</v>
      </c>
      <c r="B34" s="5" t="n">
        <v>64106</v>
      </c>
      <c r="C34" s="5" t="s">
        <v>86</v>
      </c>
      <c r="D34" s="5" t="s">
        <v>535</v>
      </c>
      <c r="E34" s="5" t="s">
        <v>87</v>
      </c>
      <c r="F34" s="10" t="n">
        <v>56.66</v>
      </c>
      <c r="G34" s="11" t="n">
        <v>160</v>
      </c>
      <c r="H34" s="11" t="n">
        <v>2</v>
      </c>
      <c r="I34" s="11" t="n">
        <v>4</v>
      </c>
      <c r="J34" s="5" t="str">
        <f aca="false">IF(F34=0,"MISSING","")</f>
        <v/>
      </c>
      <c r="K34" s="5" t="str">
        <f aca="false">IF(G34&lt;=0,"MISSING","")</f>
        <v/>
      </c>
      <c r="L34" s="5" t="str">
        <f aca="false">IF(D34="","MISSING","")</f>
        <v/>
      </c>
      <c r="M34" s="5" t="str">
        <f aca="false">IF(COUNTIF(B$2:B$263,B34)&gt;1,"DUPLICATE","")</f>
        <v/>
      </c>
    </row>
    <row r="35" customFormat="false" ht="15" hidden="false" customHeight="false" outlineLevel="0" collapsed="false">
      <c r="A35" s="5" t="n">
        <v>34</v>
      </c>
      <c r="B35" s="5" t="n">
        <v>63934</v>
      </c>
      <c r="C35" s="5" t="s">
        <v>89</v>
      </c>
      <c r="D35" s="5" t="s">
        <v>535</v>
      </c>
      <c r="E35" s="5" t="s">
        <v>90</v>
      </c>
      <c r="F35" s="10" t="n">
        <v>61.35</v>
      </c>
      <c r="G35" s="11" t="n">
        <v>160</v>
      </c>
      <c r="H35" s="11" t="n">
        <v>4</v>
      </c>
      <c r="I35" s="11" t="n">
        <v>4</v>
      </c>
      <c r="J35" s="5" t="str">
        <f aca="false">IF(F35=0,"MISSING","")</f>
        <v/>
      </c>
      <c r="K35" s="5" t="str">
        <f aca="false">IF(G35&lt;=0,"MISSING","")</f>
        <v/>
      </c>
      <c r="L35" s="5" t="str">
        <f aca="false">IF(D35="","MISSING","")</f>
        <v/>
      </c>
      <c r="M35" s="5" t="str">
        <f aca="false">IF(COUNTIF(B$2:B$263,B35)&gt;1,"DUPLICATE","")</f>
        <v/>
      </c>
    </row>
    <row r="36" customFormat="false" ht="15" hidden="false" customHeight="false" outlineLevel="0" collapsed="false">
      <c r="A36" s="5" t="n">
        <v>35</v>
      </c>
      <c r="B36" s="5" t="n">
        <v>12596</v>
      </c>
      <c r="C36" s="5" t="s">
        <v>92</v>
      </c>
      <c r="D36" s="5" t="s">
        <v>535</v>
      </c>
      <c r="E36" s="5" t="s">
        <v>93</v>
      </c>
      <c r="F36" s="10" t="n">
        <v>48.79</v>
      </c>
      <c r="G36" s="11" t="n">
        <v>24</v>
      </c>
      <c r="H36" s="11" t="n">
        <v>14</v>
      </c>
      <c r="I36" s="11" t="n">
        <v>0</v>
      </c>
      <c r="J36" s="5" t="str">
        <f aca="false">IF(F36=0,"MISSING","")</f>
        <v/>
      </c>
      <c r="K36" s="5" t="str">
        <f aca="false">IF(G36&lt;=0,"MISSING","")</f>
        <v/>
      </c>
      <c r="L36" s="5" t="str">
        <f aca="false">IF(D36="","MISSING","")</f>
        <v/>
      </c>
      <c r="M36" s="5" t="str">
        <f aca="false">IF(COUNTIF(B$2:B$263,B36)&gt;1,"DUPLICATE","")</f>
        <v/>
      </c>
    </row>
    <row r="37" customFormat="false" ht="15" hidden="false" customHeight="false" outlineLevel="0" collapsed="false">
      <c r="A37" s="5" t="n">
        <v>36</v>
      </c>
      <c r="B37" s="5" t="n">
        <v>48219</v>
      </c>
      <c r="C37" s="5" t="s">
        <v>95</v>
      </c>
      <c r="D37" s="5" t="s">
        <v>535</v>
      </c>
      <c r="E37" s="5" t="s">
        <v>96</v>
      </c>
      <c r="F37" s="10" t="n">
        <v>35.88</v>
      </c>
      <c r="G37" s="11" t="n">
        <v>10</v>
      </c>
      <c r="H37" s="11" t="n">
        <v>1</v>
      </c>
      <c r="I37" s="11" t="n">
        <v>10</v>
      </c>
      <c r="J37" s="5" t="str">
        <f aca="false">IF(F37=0,"MISSING","")</f>
        <v/>
      </c>
      <c r="K37" s="5" t="str">
        <f aca="false">IF(G37&lt;=0,"MISSING","")</f>
        <v/>
      </c>
      <c r="L37" s="5" t="str">
        <f aca="false">IF(D37="","MISSING","")</f>
        <v/>
      </c>
      <c r="M37" s="5" t="str">
        <f aca="false">IF(COUNTIF(B$2:B$263,B37)&gt;1,"DUPLICATE","")</f>
        <v/>
      </c>
    </row>
    <row r="38" customFormat="false" ht="15" hidden="false" customHeight="false" outlineLevel="0" collapsed="false">
      <c r="A38" s="5" t="n">
        <v>37</v>
      </c>
      <c r="B38" s="5" t="n">
        <v>39811</v>
      </c>
      <c r="C38" s="5" t="s">
        <v>98</v>
      </c>
      <c r="D38" s="5" t="s">
        <v>533</v>
      </c>
      <c r="E38" s="5" t="s">
        <v>34</v>
      </c>
      <c r="F38" s="10" t="n">
        <v>32.63</v>
      </c>
      <c r="G38" s="11" t="n">
        <v>140</v>
      </c>
      <c r="H38" s="11" t="n">
        <v>1</v>
      </c>
      <c r="I38" s="11" t="n">
        <v>3</v>
      </c>
      <c r="J38" s="5" t="str">
        <f aca="false">IF(F38=0,"MISSING","")</f>
        <v/>
      </c>
      <c r="K38" s="5" t="str">
        <f aca="false">IF(G38&lt;=0,"MISSING","")</f>
        <v/>
      </c>
      <c r="L38" s="5" t="str">
        <f aca="false">IF(D38="","MISSING","")</f>
        <v/>
      </c>
      <c r="M38" s="5" t="str">
        <f aca="false">IF(COUNTIF(B$2:B$263,B38)&gt;1,"DUPLICATE","")</f>
        <v/>
      </c>
    </row>
    <row r="39" customFormat="false" ht="15" hidden="false" customHeight="false" outlineLevel="0" collapsed="false">
      <c r="A39" s="5" t="n">
        <v>38</v>
      </c>
      <c r="B39" s="5" t="n">
        <v>43328</v>
      </c>
      <c r="C39" s="5" t="s">
        <v>100</v>
      </c>
      <c r="D39" s="5" t="s">
        <v>533</v>
      </c>
      <c r="E39" s="5" t="s">
        <v>101</v>
      </c>
      <c r="F39" s="10" t="n">
        <v>38.35</v>
      </c>
      <c r="G39" s="11" t="n">
        <v>300</v>
      </c>
      <c r="H39" s="11" t="n">
        <v>11</v>
      </c>
      <c r="I39" s="11" t="n">
        <v>1</v>
      </c>
      <c r="J39" s="5" t="str">
        <f aca="false">IF(F39=0,"MISSING","")</f>
        <v/>
      </c>
      <c r="K39" s="5" t="str">
        <f aca="false">IF(G39&lt;=0,"MISSING","")</f>
        <v/>
      </c>
      <c r="L39" s="5" t="str">
        <f aca="false">IF(D39="","MISSING","")</f>
        <v/>
      </c>
      <c r="M39" s="5" t="str">
        <f aca="false">IF(COUNTIF(B$2:B$263,B39)&gt;1,"DUPLICATE","")</f>
        <v/>
      </c>
    </row>
    <row r="40" customFormat="false" ht="15" hidden="false" customHeight="false" outlineLevel="0" collapsed="false">
      <c r="A40" s="5" t="n">
        <v>39</v>
      </c>
      <c r="B40" s="5" t="n">
        <v>50170</v>
      </c>
      <c r="C40" s="5" t="s">
        <v>103</v>
      </c>
      <c r="D40" s="5" t="s">
        <v>533</v>
      </c>
      <c r="E40" s="5" t="s">
        <v>104</v>
      </c>
      <c r="F40" s="10" t="n">
        <v>53.81</v>
      </c>
      <c r="G40" s="11" t="n">
        <v>5</v>
      </c>
      <c r="H40" s="11" t="n">
        <v>3</v>
      </c>
      <c r="I40" s="11" t="n">
        <v>3</v>
      </c>
      <c r="J40" s="5" t="str">
        <f aca="false">IF(F40=0,"MISSING","")</f>
        <v/>
      </c>
      <c r="K40" s="5" t="str">
        <f aca="false">IF(G40&lt;=0,"MISSING","")</f>
        <v/>
      </c>
      <c r="L40" s="5" t="str">
        <f aca="false">IF(D40="","MISSING","")</f>
        <v/>
      </c>
      <c r="M40" s="5" t="str">
        <f aca="false">IF(COUNTIF(B$2:B$263,B40)&gt;1,"DUPLICATE","")</f>
        <v/>
      </c>
    </row>
    <row r="41" customFormat="false" ht="15" hidden="false" customHeight="false" outlineLevel="0" collapsed="false">
      <c r="A41" s="5" t="n">
        <v>40</v>
      </c>
      <c r="B41" s="5" t="n">
        <v>50010</v>
      </c>
      <c r="C41" s="5" t="s">
        <v>106</v>
      </c>
      <c r="D41" s="5" t="s">
        <v>533</v>
      </c>
      <c r="E41" s="5" t="s">
        <v>107</v>
      </c>
      <c r="F41" s="10" t="n">
        <v>48.2</v>
      </c>
      <c r="G41" s="11" t="n">
        <v>5</v>
      </c>
      <c r="H41" s="11" t="n">
        <v>6</v>
      </c>
      <c r="I41" s="11" t="n">
        <v>0</v>
      </c>
      <c r="J41" s="5" t="str">
        <f aca="false">IF(F41=0,"MISSING","")</f>
        <v/>
      </c>
      <c r="K41" s="5" t="str">
        <f aca="false">IF(G41&lt;=0,"MISSING","")</f>
        <v/>
      </c>
      <c r="L41" s="5" t="str">
        <f aca="false">IF(D41="","MISSING","")</f>
        <v/>
      </c>
      <c r="M41" s="5" t="str">
        <f aca="false">IF(COUNTIF(B$2:B$263,B41)&gt;1,"DUPLICATE","")</f>
        <v/>
      </c>
    </row>
    <row r="42" customFormat="false" ht="15" hidden="false" customHeight="false" outlineLevel="0" collapsed="false">
      <c r="A42" s="5" t="n">
        <v>41</v>
      </c>
      <c r="B42" s="5" t="n">
        <v>50166</v>
      </c>
      <c r="C42" s="5" t="s">
        <v>108</v>
      </c>
      <c r="D42" s="5" t="s">
        <v>533</v>
      </c>
      <c r="E42" s="5" t="s">
        <v>107</v>
      </c>
      <c r="F42" s="10" t="n">
        <v>50.92</v>
      </c>
      <c r="G42" s="11" t="n">
        <v>10</v>
      </c>
      <c r="H42" s="11" t="n">
        <v>4</v>
      </c>
      <c r="I42" s="11" t="n">
        <v>2</v>
      </c>
      <c r="J42" s="5" t="str">
        <f aca="false">IF(F42=0,"MISSING","")</f>
        <v/>
      </c>
      <c r="K42" s="5" t="str">
        <f aca="false">IF(G42&lt;=0,"MISSING","")</f>
        <v/>
      </c>
      <c r="L42" s="5" t="str">
        <f aca="false">IF(D42="","MISSING","")</f>
        <v/>
      </c>
      <c r="M42" s="5" t="str">
        <f aca="false">IF(COUNTIF(B$2:B$263,B42)&gt;1,"DUPLICATE","")</f>
        <v/>
      </c>
    </row>
    <row r="43" customFormat="false" ht="15" hidden="false" customHeight="false" outlineLevel="0" collapsed="false">
      <c r="A43" s="5" t="n">
        <v>42</v>
      </c>
      <c r="B43" s="5" t="n">
        <v>19850</v>
      </c>
      <c r="C43" s="5" t="s">
        <v>110</v>
      </c>
      <c r="D43" s="5" t="s">
        <v>533</v>
      </c>
      <c r="E43" s="5" t="s">
        <v>107</v>
      </c>
      <c r="F43" s="10" t="n">
        <v>4.35</v>
      </c>
      <c r="G43" s="11" t="n">
        <v>1</v>
      </c>
      <c r="H43" s="11" t="n">
        <v>11</v>
      </c>
      <c r="I43" s="11" t="n">
        <v>9</v>
      </c>
      <c r="J43" s="5" t="str">
        <f aca="false">IF(F43=0,"MISSING","")</f>
        <v/>
      </c>
      <c r="K43" s="5" t="str">
        <f aca="false">IF(G43&lt;=0,"MISSING","")</f>
        <v/>
      </c>
      <c r="L43" s="5" t="str">
        <f aca="false">IF(D43="","MISSING","")</f>
        <v/>
      </c>
      <c r="M43" s="5" t="str">
        <f aca="false">IF(COUNTIF(B$2:B$263,B43)&gt;1,"DUPLICATE","")</f>
        <v/>
      </c>
    </row>
    <row r="44" customFormat="false" ht="15" hidden="false" customHeight="false" outlineLevel="0" collapsed="false">
      <c r="A44" s="5" t="n">
        <v>43</v>
      </c>
      <c r="B44" s="5" t="n">
        <v>68587</v>
      </c>
      <c r="C44" s="5" t="s">
        <v>112</v>
      </c>
      <c r="D44" s="5" t="s">
        <v>533</v>
      </c>
      <c r="E44" s="5" t="s">
        <v>113</v>
      </c>
      <c r="F44" s="10" t="n">
        <v>5.41</v>
      </c>
      <c r="G44" s="11" t="n">
        <v>1</v>
      </c>
      <c r="H44" s="11" t="n">
        <v>2</v>
      </c>
      <c r="I44" s="11" t="n">
        <v>3</v>
      </c>
      <c r="J44" s="5" t="str">
        <f aca="false">IF(F44=0,"MISSING","")</f>
        <v/>
      </c>
      <c r="K44" s="5" t="str">
        <f aca="false">IF(G44&lt;=0,"MISSING","")</f>
        <v/>
      </c>
      <c r="L44" s="5" t="str">
        <f aca="false">IF(D44="","MISSING","")</f>
        <v/>
      </c>
      <c r="M44" s="5" t="str">
        <f aca="false">IF(COUNTIF(B$2:B$263,B44)&gt;1,"DUPLICATE","")</f>
        <v/>
      </c>
    </row>
    <row r="45" customFormat="false" ht="15" hidden="false" customHeight="false" outlineLevel="0" collapsed="false">
      <c r="A45" s="5" t="n">
        <v>44</v>
      </c>
      <c r="B45" s="5" t="n">
        <v>65315</v>
      </c>
      <c r="C45" s="5" t="s">
        <v>115</v>
      </c>
      <c r="D45" s="5" t="s">
        <v>533</v>
      </c>
      <c r="E45" s="5" t="s">
        <v>116</v>
      </c>
      <c r="F45" s="10" t="n">
        <v>4.32</v>
      </c>
      <c r="G45" s="11" t="n">
        <v>1</v>
      </c>
      <c r="H45" s="11" t="n">
        <v>1</v>
      </c>
      <c r="I45" s="11" t="n">
        <v>2</v>
      </c>
      <c r="J45" s="5" t="str">
        <f aca="false">IF(F45=0,"MISSING","")</f>
        <v/>
      </c>
      <c r="K45" s="5" t="str">
        <f aca="false">IF(G45&lt;=0,"MISSING","")</f>
        <v/>
      </c>
      <c r="L45" s="5" t="str">
        <f aca="false">IF(D45="","MISSING","")</f>
        <v/>
      </c>
      <c r="M45" s="5" t="str">
        <f aca="false">IF(COUNTIF(B$2:B$263,B45)&gt;1,"DUPLICATE","")</f>
        <v/>
      </c>
    </row>
    <row r="46" customFormat="false" ht="15" hidden="false" customHeight="false" outlineLevel="0" collapsed="false">
      <c r="A46" s="5" t="n">
        <v>45</v>
      </c>
      <c r="B46" s="5" t="n">
        <v>47526</v>
      </c>
      <c r="C46" s="5" t="s">
        <v>118</v>
      </c>
      <c r="D46" s="5" t="s">
        <v>539</v>
      </c>
      <c r="E46" s="5" t="s">
        <v>119</v>
      </c>
      <c r="F46" s="10" t="n">
        <v>55.33</v>
      </c>
      <c r="G46" s="11" t="n">
        <v>100</v>
      </c>
      <c r="H46" s="11" t="n">
        <v>1</v>
      </c>
      <c r="I46" s="11" t="n">
        <v>1</v>
      </c>
      <c r="J46" s="5" t="str">
        <f aca="false">IF(F46=0,"MISSING","")</f>
        <v/>
      </c>
      <c r="K46" s="5" t="str">
        <f aca="false">IF(G46&lt;=0,"MISSING","")</f>
        <v/>
      </c>
      <c r="L46" s="5" t="str">
        <f aca="false">IF(D46="","MISSING","")</f>
        <v/>
      </c>
      <c r="M46" s="5" t="str">
        <f aca="false">IF(COUNTIF(B$2:B$263,B46)&gt;1,"DUPLICATE","")</f>
        <v/>
      </c>
    </row>
    <row r="47" customFormat="false" ht="15" hidden="false" customHeight="false" outlineLevel="0" collapsed="false">
      <c r="A47" s="5" t="n">
        <v>46</v>
      </c>
      <c r="B47" s="5" t="n">
        <v>49632</v>
      </c>
      <c r="C47" s="5" t="s">
        <v>121</v>
      </c>
      <c r="D47" s="5" t="s">
        <v>539</v>
      </c>
      <c r="E47" s="5" t="s">
        <v>122</v>
      </c>
      <c r="F47" s="10" t="n">
        <v>21.23</v>
      </c>
      <c r="G47" s="11" t="n">
        <v>80</v>
      </c>
      <c r="H47" s="11" t="n">
        <v>1</v>
      </c>
      <c r="I47" s="11" t="n">
        <v>9</v>
      </c>
      <c r="J47" s="5" t="str">
        <f aca="false">IF(F47=0,"MISSING","")</f>
        <v/>
      </c>
      <c r="K47" s="5" t="str">
        <f aca="false">IF(G47&lt;=0,"MISSING","")</f>
        <v/>
      </c>
      <c r="L47" s="5" t="str">
        <f aca="false">IF(D47="","MISSING","")</f>
        <v/>
      </c>
      <c r="M47" s="5" t="str">
        <f aca="false">IF(COUNTIF(B$2:B$263,B47)&gt;1,"DUPLICATE","")</f>
        <v/>
      </c>
    </row>
    <row r="48" customFormat="false" ht="15" hidden="false" customHeight="false" outlineLevel="0" collapsed="false">
      <c r="A48" s="5" t="n">
        <v>47</v>
      </c>
      <c r="B48" s="5" t="n">
        <v>44967</v>
      </c>
      <c r="C48" s="5" t="s">
        <v>124</v>
      </c>
      <c r="D48" s="5" t="s">
        <v>539</v>
      </c>
      <c r="E48" s="5" t="s">
        <v>79</v>
      </c>
      <c r="F48" s="10" t="n">
        <v>48.87</v>
      </c>
      <c r="G48" s="11" t="n">
        <v>32</v>
      </c>
      <c r="H48" s="11" t="n">
        <v>7</v>
      </c>
      <c r="I48" s="11" t="n">
        <v>14</v>
      </c>
      <c r="J48" s="5" t="str">
        <f aca="false">IF(F48=0,"MISSING","")</f>
        <v/>
      </c>
      <c r="K48" s="5" t="str">
        <f aca="false">IF(G48&lt;=0,"MISSING","")</f>
        <v/>
      </c>
      <c r="L48" s="5" t="str">
        <f aca="false">IF(D48="","MISSING","")</f>
        <v/>
      </c>
      <c r="M48" s="5" t="str">
        <f aca="false">IF(COUNTIF(B$2:B$263,B48)&gt;1,"DUPLICATE","")</f>
        <v/>
      </c>
    </row>
    <row r="49" customFormat="false" ht="15" hidden="false" customHeight="false" outlineLevel="0" collapsed="false">
      <c r="A49" s="5" t="n">
        <v>48</v>
      </c>
      <c r="B49" s="5" t="n">
        <v>33785</v>
      </c>
      <c r="C49" s="5" t="s">
        <v>126</v>
      </c>
      <c r="D49" s="5" t="s">
        <v>539</v>
      </c>
      <c r="E49" s="5" t="s">
        <v>127</v>
      </c>
      <c r="F49" s="10" t="n">
        <v>54.29</v>
      </c>
      <c r="G49" s="11" t="n">
        <v>2</v>
      </c>
      <c r="H49" s="11" t="n">
        <v>1</v>
      </c>
      <c r="I49" s="11" t="n">
        <v>1</v>
      </c>
      <c r="J49" s="5" t="str">
        <f aca="false">IF(F49=0,"MISSING","")</f>
        <v/>
      </c>
      <c r="K49" s="5" t="str">
        <f aca="false">IF(G49&lt;=0,"MISSING","")</f>
        <v/>
      </c>
      <c r="L49" s="5" t="str">
        <f aca="false">IF(D49="","MISSING","")</f>
        <v/>
      </c>
      <c r="M49" s="5" t="str">
        <f aca="false">IF(COUNTIF(B$2:B$263,B49)&gt;1,"DUPLICATE","")</f>
        <v/>
      </c>
    </row>
    <row r="50" customFormat="false" ht="15" hidden="false" customHeight="false" outlineLevel="0" collapsed="false">
      <c r="A50" s="5" t="n">
        <v>49</v>
      </c>
      <c r="B50" s="5" t="n">
        <v>33784</v>
      </c>
      <c r="C50" s="5" t="s">
        <v>128</v>
      </c>
      <c r="D50" s="5" t="s">
        <v>539</v>
      </c>
      <c r="E50" s="5" t="s">
        <v>129</v>
      </c>
      <c r="F50" s="10" t="n">
        <v>51.8</v>
      </c>
      <c r="G50" s="11" t="n">
        <v>2</v>
      </c>
      <c r="H50" s="11" t="n">
        <v>0</v>
      </c>
      <c r="I50" s="11" t="n">
        <v>0</v>
      </c>
      <c r="J50" s="5" t="str">
        <f aca="false">IF(F50=0,"MISSING","")</f>
        <v/>
      </c>
      <c r="K50" s="5" t="str">
        <f aca="false">IF(G50&lt;=0,"MISSING","")</f>
        <v/>
      </c>
      <c r="L50" s="5" t="str">
        <f aca="false">IF(D50="","MISSING","")</f>
        <v/>
      </c>
      <c r="M50" s="5" t="str">
        <f aca="false">IF(COUNTIF(B$2:B$263,B50)&gt;1,"DUPLICATE","")</f>
        <v/>
      </c>
    </row>
    <row r="51" customFormat="false" ht="15" hidden="false" customHeight="false" outlineLevel="0" collapsed="false">
      <c r="A51" s="5" t="n">
        <v>50</v>
      </c>
      <c r="B51" s="5" t="n">
        <v>33780</v>
      </c>
      <c r="C51" s="5" t="s">
        <v>130</v>
      </c>
      <c r="D51" s="5" t="s">
        <v>539</v>
      </c>
      <c r="E51" s="5" t="s">
        <v>129</v>
      </c>
      <c r="F51" s="10" t="n">
        <v>48.64</v>
      </c>
      <c r="G51" s="11" t="n">
        <v>2</v>
      </c>
      <c r="H51" s="11" t="n">
        <v>2</v>
      </c>
      <c r="I51" s="11" t="n">
        <v>1</v>
      </c>
      <c r="J51" s="5" t="str">
        <f aca="false">IF(F51=0,"MISSING","")</f>
        <v/>
      </c>
      <c r="K51" s="5" t="str">
        <f aca="false">IF(G51&lt;=0,"MISSING","")</f>
        <v/>
      </c>
      <c r="L51" s="5" t="str">
        <f aca="false">IF(D51="","MISSING","")</f>
        <v/>
      </c>
      <c r="M51" s="5" t="str">
        <f aca="false">IF(COUNTIF(B$2:B$263,B51)&gt;1,"DUPLICATE","")</f>
        <v/>
      </c>
    </row>
    <row r="52" customFormat="false" ht="15" hidden="false" customHeight="false" outlineLevel="0" collapsed="false">
      <c r="A52" s="5" t="n">
        <v>51</v>
      </c>
      <c r="B52" s="5" t="n">
        <v>28983</v>
      </c>
      <c r="C52" s="5" t="s">
        <v>131</v>
      </c>
      <c r="D52" s="5" t="s">
        <v>539</v>
      </c>
      <c r="E52" s="5" t="s">
        <v>132</v>
      </c>
      <c r="F52" s="10" t="n">
        <v>37.77</v>
      </c>
      <c r="G52" s="11" t="n">
        <v>1</v>
      </c>
      <c r="H52" s="11" t="n">
        <v>0</v>
      </c>
      <c r="I52" s="11" t="n">
        <v>10</v>
      </c>
      <c r="J52" s="5" t="str">
        <f aca="false">IF(F52=0,"MISSING","")</f>
        <v/>
      </c>
      <c r="K52" s="5" t="str">
        <f aca="false">IF(G52&lt;=0,"MISSING","")</f>
        <v/>
      </c>
      <c r="L52" s="5" t="str">
        <f aca="false">IF(D52="","MISSING","")</f>
        <v/>
      </c>
      <c r="M52" s="5" t="str">
        <f aca="false">IF(COUNTIF(B$2:B$263,B52)&gt;1,"DUPLICATE","")</f>
        <v/>
      </c>
    </row>
    <row r="53" customFormat="false" ht="15" hidden="false" customHeight="false" outlineLevel="0" collapsed="false">
      <c r="A53" s="5" t="n">
        <v>52</v>
      </c>
      <c r="B53" s="5" t="n">
        <v>28988</v>
      </c>
      <c r="C53" s="5" t="s">
        <v>134</v>
      </c>
      <c r="D53" s="5" t="s">
        <v>539</v>
      </c>
      <c r="E53" s="5" t="s">
        <v>132</v>
      </c>
      <c r="F53" s="10" t="n">
        <v>20.33</v>
      </c>
      <c r="G53" s="11" t="n">
        <v>1</v>
      </c>
      <c r="H53" s="11" t="n">
        <v>11</v>
      </c>
      <c r="I53" s="11" t="n">
        <v>0</v>
      </c>
      <c r="J53" s="5" t="str">
        <f aca="false">IF(F53=0,"MISSING","")</f>
        <v/>
      </c>
      <c r="K53" s="5" t="str">
        <f aca="false">IF(G53&lt;=0,"MISSING","")</f>
        <v/>
      </c>
      <c r="L53" s="5" t="str">
        <f aca="false">IF(D53="","MISSING","")</f>
        <v/>
      </c>
      <c r="M53" s="5" t="str">
        <f aca="false">IF(COUNTIF(B$2:B$263,B53)&gt;1,"DUPLICATE","")</f>
        <v/>
      </c>
    </row>
    <row r="54" customFormat="false" ht="15" hidden="false" customHeight="false" outlineLevel="0" collapsed="false">
      <c r="A54" s="5" t="n">
        <v>53</v>
      </c>
      <c r="B54" s="5" t="n">
        <v>28989</v>
      </c>
      <c r="C54" s="5" t="s">
        <v>136</v>
      </c>
      <c r="D54" s="5" t="s">
        <v>539</v>
      </c>
      <c r="E54" s="5" t="s">
        <v>132</v>
      </c>
      <c r="F54" s="10" t="n">
        <v>37.82</v>
      </c>
      <c r="G54" s="11" t="n">
        <v>1</v>
      </c>
      <c r="H54" s="11" t="n">
        <v>2</v>
      </c>
      <c r="I54" s="11" t="n">
        <v>1</v>
      </c>
      <c r="J54" s="5" t="str">
        <f aca="false">IF(F54=0,"MISSING","")</f>
        <v/>
      </c>
      <c r="K54" s="5" t="str">
        <f aca="false">IF(G54&lt;=0,"MISSING","")</f>
        <v/>
      </c>
      <c r="L54" s="5" t="str">
        <f aca="false">IF(D54="","MISSING","")</f>
        <v/>
      </c>
      <c r="M54" s="5" t="str">
        <f aca="false">IF(COUNTIF(B$2:B$263,B54)&gt;1,"DUPLICATE","")</f>
        <v/>
      </c>
    </row>
    <row r="55" customFormat="false" ht="15" hidden="false" customHeight="false" outlineLevel="0" collapsed="false">
      <c r="A55" s="5" t="n">
        <v>54</v>
      </c>
      <c r="B55" s="5" t="n">
        <v>28990</v>
      </c>
      <c r="C55" s="5" t="s">
        <v>138</v>
      </c>
      <c r="D55" s="5" t="s">
        <v>539</v>
      </c>
      <c r="E55" s="5" t="s">
        <v>132</v>
      </c>
      <c r="F55" s="10" t="n">
        <v>55.75</v>
      </c>
      <c r="G55" s="11" t="n">
        <v>1</v>
      </c>
      <c r="H55" s="11" t="n">
        <v>1</v>
      </c>
      <c r="I55" s="11" t="n">
        <v>2</v>
      </c>
      <c r="J55" s="5" t="str">
        <f aca="false">IF(F55=0,"MISSING","")</f>
        <v/>
      </c>
      <c r="K55" s="5" t="str">
        <f aca="false">IF(G55&lt;=0,"MISSING","")</f>
        <v/>
      </c>
      <c r="L55" s="5" t="str">
        <f aca="false">IF(D55="","MISSING","")</f>
        <v/>
      </c>
      <c r="M55" s="5" t="str">
        <f aca="false">IF(COUNTIF(B$2:B$263,B55)&gt;1,"DUPLICATE","")</f>
        <v/>
      </c>
    </row>
    <row r="56" customFormat="false" ht="15" hidden="false" customHeight="false" outlineLevel="0" collapsed="false">
      <c r="A56" s="5" t="n">
        <v>55</v>
      </c>
      <c r="B56" s="5" t="n">
        <v>28992</v>
      </c>
      <c r="C56" s="5" t="s">
        <v>140</v>
      </c>
      <c r="D56" s="5" t="s">
        <v>539</v>
      </c>
      <c r="E56" s="5" t="s">
        <v>132</v>
      </c>
      <c r="F56" s="10" t="n">
        <v>56.99</v>
      </c>
      <c r="G56" s="11" t="n">
        <v>1</v>
      </c>
      <c r="H56" s="11" t="n">
        <v>1</v>
      </c>
      <c r="I56" s="11" t="n">
        <v>1</v>
      </c>
      <c r="J56" s="5" t="str">
        <f aca="false">IF(F56=0,"MISSING","")</f>
        <v/>
      </c>
      <c r="K56" s="5" t="str">
        <f aca="false">IF(G56&lt;=0,"MISSING","")</f>
        <v/>
      </c>
      <c r="L56" s="5" t="str">
        <f aca="false">IF(D56="","MISSING","")</f>
        <v/>
      </c>
      <c r="M56" s="5" t="str">
        <f aca="false">IF(COUNTIF(B$2:B$263,B56)&gt;1,"DUPLICATE","")</f>
        <v/>
      </c>
    </row>
    <row r="57" customFormat="false" ht="15" hidden="false" customHeight="false" outlineLevel="0" collapsed="false">
      <c r="A57" s="5" t="n">
        <v>56</v>
      </c>
      <c r="B57" s="5" t="n">
        <v>27030</v>
      </c>
      <c r="C57" s="5" t="s">
        <v>142</v>
      </c>
      <c r="D57" s="5" t="s">
        <v>539</v>
      </c>
      <c r="E57" s="5" t="s">
        <v>40</v>
      </c>
      <c r="F57" s="10" t="n">
        <v>31.79</v>
      </c>
      <c r="G57" s="11" t="n">
        <v>6</v>
      </c>
      <c r="H57" s="11" t="n">
        <v>1</v>
      </c>
      <c r="I57" s="11" t="n">
        <v>1</v>
      </c>
      <c r="J57" s="5" t="str">
        <f aca="false">IF(F57=0,"MISSING","")</f>
        <v/>
      </c>
      <c r="K57" s="5" t="str">
        <f aca="false">IF(G57&lt;=0,"MISSING","")</f>
        <v/>
      </c>
      <c r="L57" s="5" t="str">
        <f aca="false">IF(D57="","MISSING","")</f>
        <v/>
      </c>
      <c r="M57" s="5" t="str">
        <f aca="false">IF(COUNTIF(B$2:B$263,B57)&gt;1,"DUPLICATE","")</f>
        <v/>
      </c>
    </row>
    <row r="58" customFormat="false" ht="15" hidden="false" customHeight="false" outlineLevel="0" collapsed="false">
      <c r="A58" s="5" t="n">
        <v>57</v>
      </c>
      <c r="B58" s="5" t="n">
        <v>27031</v>
      </c>
      <c r="C58" s="5" t="s">
        <v>144</v>
      </c>
      <c r="D58" s="5" t="s">
        <v>539</v>
      </c>
      <c r="E58" s="5" t="s">
        <v>40</v>
      </c>
      <c r="F58" s="10" t="n">
        <v>31.54</v>
      </c>
      <c r="G58" s="11" t="n">
        <v>6</v>
      </c>
      <c r="H58" s="11" t="n">
        <v>7</v>
      </c>
      <c r="I58" s="11" t="n">
        <v>3</v>
      </c>
      <c r="J58" s="5" t="str">
        <f aca="false">IF(F58=0,"MISSING","")</f>
        <v/>
      </c>
      <c r="K58" s="5" t="str">
        <f aca="false">IF(G58&lt;=0,"MISSING","")</f>
        <v/>
      </c>
      <c r="L58" s="5" t="str">
        <f aca="false">IF(D58="","MISSING","")</f>
        <v/>
      </c>
      <c r="M58" s="5" t="str">
        <f aca="false">IF(COUNTIF(B$2:B$263,B58)&gt;1,"DUPLICATE","")</f>
        <v/>
      </c>
    </row>
    <row r="59" customFormat="false" ht="15" hidden="false" customHeight="false" outlineLevel="0" collapsed="false">
      <c r="A59" s="5" t="n">
        <v>58</v>
      </c>
      <c r="B59" s="5" t="n">
        <v>27032</v>
      </c>
      <c r="C59" s="5" t="s">
        <v>145</v>
      </c>
      <c r="D59" s="5" t="s">
        <v>539</v>
      </c>
      <c r="E59" s="5" t="s">
        <v>40</v>
      </c>
      <c r="F59" s="10" t="n">
        <v>15.98</v>
      </c>
      <c r="G59" s="11" t="n">
        <v>6</v>
      </c>
      <c r="H59" s="11" t="n">
        <v>6</v>
      </c>
      <c r="I59" s="11" t="n">
        <v>3</v>
      </c>
      <c r="J59" s="5" t="str">
        <f aca="false">IF(F59=0,"MISSING","")</f>
        <v/>
      </c>
      <c r="K59" s="5" t="str">
        <f aca="false">IF(G59&lt;=0,"MISSING","")</f>
        <v/>
      </c>
      <c r="L59" s="5" t="str">
        <f aca="false">IF(D59="","MISSING","")</f>
        <v/>
      </c>
      <c r="M59" s="5" t="str">
        <f aca="false">IF(COUNTIF(B$2:B$263,B59)&gt;1,"DUPLICATE","")</f>
        <v/>
      </c>
    </row>
    <row r="60" customFormat="false" ht="15" hidden="false" customHeight="false" outlineLevel="0" collapsed="false">
      <c r="A60" s="5" t="n">
        <v>59</v>
      </c>
      <c r="B60" s="5" t="n">
        <v>27033</v>
      </c>
      <c r="C60" s="5" t="s">
        <v>146</v>
      </c>
      <c r="D60" s="5" t="s">
        <v>539</v>
      </c>
      <c r="E60" s="5" t="s">
        <v>40</v>
      </c>
      <c r="F60" s="10" t="n">
        <v>35.95</v>
      </c>
      <c r="G60" s="11" t="n">
        <v>6</v>
      </c>
      <c r="H60" s="11" t="n">
        <v>3</v>
      </c>
      <c r="I60" s="11" t="n">
        <v>2</v>
      </c>
      <c r="J60" s="5" t="str">
        <f aca="false">IF(F60=0,"MISSING","")</f>
        <v/>
      </c>
      <c r="K60" s="5" t="str">
        <f aca="false">IF(G60&lt;=0,"MISSING","")</f>
        <v/>
      </c>
      <c r="L60" s="5" t="str">
        <f aca="false">IF(D60="","MISSING","")</f>
        <v/>
      </c>
      <c r="M60" s="5" t="str">
        <f aca="false">IF(COUNTIF(B$2:B$263,B60)&gt;1,"DUPLICATE","")</f>
        <v/>
      </c>
    </row>
    <row r="61" customFormat="false" ht="15" hidden="false" customHeight="false" outlineLevel="0" collapsed="false">
      <c r="A61" s="5" t="n">
        <v>60</v>
      </c>
      <c r="B61" s="5" t="n">
        <v>27034</v>
      </c>
      <c r="C61" s="5" t="s">
        <v>147</v>
      </c>
      <c r="D61" s="5" t="s">
        <v>539</v>
      </c>
      <c r="E61" s="5" t="s">
        <v>40</v>
      </c>
      <c r="F61" s="10" t="n">
        <v>35.22</v>
      </c>
      <c r="G61" s="11" t="n">
        <v>6</v>
      </c>
      <c r="H61" s="11" t="n">
        <v>3</v>
      </c>
      <c r="I61" s="11" t="n">
        <v>2</v>
      </c>
      <c r="J61" s="5" t="str">
        <f aca="false">IF(F61=0,"MISSING","")</f>
        <v/>
      </c>
      <c r="K61" s="5" t="str">
        <f aca="false">IF(G61&lt;=0,"MISSING","")</f>
        <v/>
      </c>
      <c r="L61" s="5" t="str">
        <f aca="false">IF(D61="","MISSING","")</f>
        <v/>
      </c>
      <c r="M61" s="5" t="str">
        <f aca="false">IF(COUNTIF(B$2:B$263,B61)&gt;1,"DUPLICATE","")</f>
        <v/>
      </c>
    </row>
    <row r="62" customFormat="false" ht="15" hidden="false" customHeight="false" outlineLevel="0" collapsed="false">
      <c r="A62" s="5" t="n">
        <v>61</v>
      </c>
      <c r="B62" s="5" t="n">
        <v>28967</v>
      </c>
      <c r="C62" s="5" t="s">
        <v>148</v>
      </c>
      <c r="D62" s="5" t="s">
        <v>539</v>
      </c>
      <c r="E62" s="5" t="s">
        <v>132</v>
      </c>
      <c r="F62" s="10" t="n">
        <v>48.15</v>
      </c>
      <c r="G62" s="11" t="n">
        <v>1</v>
      </c>
      <c r="H62" s="11" t="n">
        <v>0</v>
      </c>
      <c r="I62" s="11" t="n">
        <v>0</v>
      </c>
      <c r="J62" s="5" t="str">
        <f aca="false">IF(F62=0,"MISSING","")</f>
        <v/>
      </c>
      <c r="K62" s="5" t="str">
        <f aca="false">IF(G62&lt;=0,"MISSING","")</f>
        <v/>
      </c>
      <c r="L62" s="5" t="str">
        <f aca="false">IF(D62="","MISSING","")</f>
        <v/>
      </c>
      <c r="M62" s="5" t="str">
        <f aca="false">IF(COUNTIF(B$2:B$263,B62)&gt;1,"DUPLICATE","")</f>
        <v/>
      </c>
    </row>
    <row r="63" customFormat="false" ht="15" hidden="false" customHeight="false" outlineLevel="0" collapsed="false">
      <c r="A63" s="5" t="n">
        <v>62</v>
      </c>
      <c r="B63" s="5" t="n">
        <v>31229</v>
      </c>
      <c r="C63" s="5" t="s">
        <v>150</v>
      </c>
      <c r="D63" s="5" t="s">
        <v>547</v>
      </c>
      <c r="E63" s="5" t="s">
        <v>151</v>
      </c>
      <c r="F63" s="10" t="n">
        <v>50.28</v>
      </c>
      <c r="G63" s="11" t="n">
        <v>2</v>
      </c>
      <c r="H63" s="11" t="n">
        <v>11</v>
      </c>
      <c r="I63" s="11" t="n">
        <v>9</v>
      </c>
      <c r="J63" s="5" t="str">
        <f aca="false">IF(F63=0,"MISSING","")</f>
        <v/>
      </c>
      <c r="K63" s="5" t="str">
        <f aca="false">IF(G63&lt;=0,"MISSING","")</f>
        <v/>
      </c>
      <c r="L63" s="5" t="str">
        <f aca="false">IF(D63="","MISSING","")</f>
        <v/>
      </c>
      <c r="M63" s="5" t="str">
        <f aca="false">IF(COUNTIF(B$2:B$263,B63)&gt;1,"DUPLICATE","")</f>
        <v/>
      </c>
    </row>
    <row r="64" customFormat="false" ht="15" hidden="false" customHeight="false" outlineLevel="0" collapsed="false">
      <c r="A64" s="5" t="n">
        <v>63</v>
      </c>
      <c r="B64" s="5" t="n">
        <v>36756</v>
      </c>
      <c r="C64" s="5" t="s">
        <v>153</v>
      </c>
      <c r="D64" s="5" t="s">
        <v>547</v>
      </c>
      <c r="E64" s="5" t="s">
        <v>40</v>
      </c>
      <c r="F64" s="10" t="n">
        <v>58.22</v>
      </c>
      <c r="G64" s="11" t="n">
        <v>8</v>
      </c>
      <c r="H64" s="11" t="n">
        <v>10</v>
      </c>
      <c r="I64" s="11" t="n">
        <v>0</v>
      </c>
      <c r="J64" s="5" t="str">
        <f aca="false">IF(F64=0,"MISSING","")</f>
        <v/>
      </c>
      <c r="K64" s="5" t="str">
        <f aca="false">IF(G64&lt;=0,"MISSING","")</f>
        <v/>
      </c>
      <c r="L64" s="5" t="str">
        <f aca="false">IF(D64="","MISSING","")</f>
        <v/>
      </c>
      <c r="M64" s="5" t="str">
        <f aca="false">IF(COUNTIF(B$2:B$263,B64)&gt;1,"DUPLICATE","")</f>
        <v/>
      </c>
    </row>
    <row r="65" customFormat="false" ht="15" hidden="false" customHeight="false" outlineLevel="0" collapsed="false">
      <c r="A65" s="5" t="n">
        <v>64</v>
      </c>
      <c r="B65" s="5" t="n">
        <v>31231</v>
      </c>
      <c r="C65" s="5" t="s">
        <v>155</v>
      </c>
      <c r="D65" s="5" t="s">
        <v>547</v>
      </c>
      <c r="E65" s="5" t="s">
        <v>104</v>
      </c>
      <c r="F65" s="10" t="n">
        <v>60.66</v>
      </c>
      <c r="G65" s="11" t="n">
        <v>2</v>
      </c>
      <c r="H65" s="11" t="n">
        <v>13</v>
      </c>
      <c r="I65" s="11" t="n">
        <v>5</v>
      </c>
      <c r="J65" s="5" t="str">
        <f aca="false">IF(F65=0,"MISSING","")</f>
        <v/>
      </c>
      <c r="K65" s="5" t="str">
        <f aca="false">IF(G65&lt;=0,"MISSING","")</f>
        <v/>
      </c>
      <c r="L65" s="5" t="str">
        <f aca="false">IF(D65="","MISSING","")</f>
        <v/>
      </c>
      <c r="M65" s="5" t="str">
        <f aca="false">IF(COUNTIF(B$2:B$263,B65)&gt;1,"DUPLICATE","")</f>
        <v/>
      </c>
    </row>
    <row r="66" customFormat="false" ht="15" hidden="false" customHeight="false" outlineLevel="0" collapsed="false">
      <c r="A66" s="5" t="n">
        <v>65</v>
      </c>
      <c r="B66" s="5" t="n">
        <v>30283</v>
      </c>
      <c r="C66" s="5" t="s">
        <v>156</v>
      </c>
      <c r="D66" s="5" t="s">
        <v>546</v>
      </c>
      <c r="E66" s="5" t="s">
        <v>157</v>
      </c>
      <c r="F66" s="10" t="n">
        <v>17.81</v>
      </c>
      <c r="G66" s="11" t="n">
        <v>12</v>
      </c>
      <c r="H66" s="11" t="n">
        <v>2</v>
      </c>
      <c r="I66" s="11" t="n">
        <v>9</v>
      </c>
      <c r="J66" s="5" t="str">
        <f aca="false">IF(F66=0,"MISSING","")</f>
        <v/>
      </c>
      <c r="K66" s="5" t="str">
        <f aca="false">IF(G66&lt;=0,"MISSING","")</f>
        <v/>
      </c>
      <c r="L66" s="5" t="str">
        <f aca="false">IF(D66="","MISSING","")</f>
        <v/>
      </c>
      <c r="M66" s="5" t="str">
        <f aca="false">IF(COUNTIF(B$2:B$263,B66)&gt;1,"DUPLICATE","")</f>
        <v/>
      </c>
    </row>
    <row r="67" customFormat="false" ht="15" hidden="false" customHeight="false" outlineLevel="0" collapsed="false">
      <c r="A67" s="5" t="n">
        <v>66</v>
      </c>
      <c r="B67" s="5" t="n">
        <v>30282</v>
      </c>
      <c r="C67" s="5" t="s">
        <v>159</v>
      </c>
      <c r="D67" s="5" t="s">
        <v>546</v>
      </c>
      <c r="E67" s="5" t="s">
        <v>157</v>
      </c>
      <c r="F67" s="10" t="n">
        <v>5.23</v>
      </c>
      <c r="G67" s="11" t="n">
        <v>12</v>
      </c>
      <c r="H67" s="11" t="n">
        <v>10</v>
      </c>
      <c r="I67" s="11" t="n">
        <v>6</v>
      </c>
      <c r="J67" s="5" t="str">
        <f aca="false">IF(F67=0,"MISSING","")</f>
        <v/>
      </c>
      <c r="K67" s="5" t="str">
        <f aca="false">IF(G67&lt;=0,"MISSING","")</f>
        <v/>
      </c>
      <c r="L67" s="5" t="str">
        <f aca="false">IF(D67="","MISSING","")</f>
        <v/>
      </c>
      <c r="M67" s="5" t="str">
        <f aca="false">IF(COUNTIF(B$2:B$263,B67)&gt;1,"DUPLICATE","")</f>
        <v/>
      </c>
    </row>
    <row r="68" customFormat="false" ht="15" hidden="false" customHeight="false" outlineLevel="0" collapsed="false">
      <c r="A68" s="5" t="n">
        <v>67</v>
      </c>
      <c r="B68" s="5" t="n">
        <v>31225</v>
      </c>
      <c r="C68" s="5" t="s">
        <v>161</v>
      </c>
      <c r="D68" s="5" t="s">
        <v>546</v>
      </c>
      <c r="E68" s="5" t="s">
        <v>151</v>
      </c>
      <c r="F68" s="10" t="n">
        <v>4.4</v>
      </c>
      <c r="G68" s="11" t="n">
        <v>1</v>
      </c>
      <c r="H68" s="11" t="n">
        <v>0</v>
      </c>
      <c r="I68" s="11" t="n">
        <v>21</v>
      </c>
      <c r="J68" s="5" t="str">
        <f aca="false">IF(F68=0,"MISSING","")</f>
        <v/>
      </c>
      <c r="K68" s="5" t="str">
        <f aca="false">IF(G68&lt;=0,"MISSING","")</f>
        <v/>
      </c>
      <c r="L68" s="5" t="str">
        <f aca="false">IF(D68="","MISSING","")</f>
        <v/>
      </c>
      <c r="M68" s="5" t="str">
        <f aca="false">IF(COUNTIF(B$2:B$263,B68)&gt;1,"DUPLICATE","")</f>
        <v/>
      </c>
    </row>
    <row r="69" customFormat="false" ht="15" hidden="false" customHeight="false" outlineLevel="0" collapsed="false">
      <c r="A69" s="5" t="n">
        <v>68</v>
      </c>
      <c r="B69" s="5" t="n">
        <v>31227</v>
      </c>
      <c r="C69" s="5" t="s">
        <v>163</v>
      </c>
      <c r="D69" s="5" t="s">
        <v>546</v>
      </c>
      <c r="E69" s="5" t="s">
        <v>151</v>
      </c>
      <c r="F69" s="10" t="n">
        <v>4.97</v>
      </c>
      <c r="G69" s="11" t="n">
        <v>1</v>
      </c>
      <c r="H69" s="11" t="n">
        <v>41</v>
      </c>
      <c r="I69" s="11" t="n">
        <v>17</v>
      </c>
      <c r="J69" s="5" t="str">
        <f aca="false">IF(F69=0,"MISSING","")</f>
        <v/>
      </c>
      <c r="K69" s="5" t="str">
        <f aca="false">IF(G69&lt;=0,"MISSING","")</f>
        <v/>
      </c>
      <c r="L69" s="5" t="str">
        <f aca="false">IF(D69="","MISSING","")</f>
        <v/>
      </c>
      <c r="M69" s="5" t="str">
        <f aca="false">IF(COUNTIF(B$2:B$263,B69)&gt;1,"DUPLICATE","")</f>
        <v/>
      </c>
    </row>
    <row r="70" customFormat="false" ht="15" hidden="false" customHeight="false" outlineLevel="0" collapsed="false">
      <c r="A70" s="5" t="n">
        <v>69</v>
      </c>
      <c r="B70" s="5" t="n">
        <v>31226</v>
      </c>
      <c r="C70" s="5" t="s">
        <v>164</v>
      </c>
      <c r="D70" s="5" t="s">
        <v>546</v>
      </c>
      <c r="E70" s="5" t="s">
        <v>151</v>
      </c>
      <c r="F70" s="10" t="n">
        <v>4.31</v>
      </c>
      <c r="G70" s="11" t="n">
        <v>1</v>
      </c>
      <c r="H70" s="11" t="n">
        <v>6</v>
      </c>
      <c r="I70" s="11" t="n">
        <v>1</v>
      </c>
      <c r="J70" s="5" t="str">
        <f aca="false">IF(F70=0,"MISSING","")</f>
        <v/>
      </c>
      <c r="K70" s="5" t="str">
        <f aca="false">IF(G70&lt;=0,"MISSING","")</f>
        <v/>
      </c>
      <c r="L70" s="5" t="str">
        <f aca="false">IF(D70="","MISSING","")</f>
        <v/>
      </c>
      <c r="M70" s="5" t="str">
        <f aca="false">IF(COUNTIF(B$2:B$263,B70)&gt;1,"DUPLICATE","")</f>
        <v/>
      </c>
    </row>
    <row r="71" customFormat="false" ht="15" hidden="false" customHeight="false" outlineLevel="0" collapsed="false">
      <c r="A71" s="5" t="n">
        <v>70</v>
      </c>
      <c r="B71" s="5" t="n">
        <v>31221</v>
      </c>
      <c r="C71" s="5" t="s">
        <v>166</v>
      </c>
      <c r="D71" s="5" t="s">
        <v>546</v>
      </c>
      <c r="E71" s="5" t="s">
        <v>157</v>
      </c>
      <c r="F71" s="10" t="n">
        <v>48.22</v>
      </c>
      <c r="G71" s="11" t="n">
        <v>12</v>
      </c>
      <c r="H71" s="11" t="n">
        <v>26</v>
      </c>
      <c r="I71" s="11" t="n">
        <v>18</v>
      </c>
      <c r="J71" s="5" t="str">
        <f aca="false">IF(F71=0,"MISSING","")</f>
        <v/>
      </c>
      <c r="K71" s="5" t="str">
        <f aca="false">IF(G71&lt;=0,"MISSING","")</f>
        <v/>
      </c>
      <c r="L71" s="5" t="str">
        <f aca="false">IF(D71="","MISSING","")</f>
        <v/>
      </c>
      <c r="M71" s="5" t="str">
        <f aca="false">IF(COUNTIF(B$2:B$263,B71)&gt;1,"DUPLICATE","")</f>
        <v/>
      </c>
    </row>
    <row r="72" customFormat="false" ht="15" hidden="false" customHeight="false" outlineLevel="0" collapsed="false">
      <c r="A72" s="5" t="n">
        <v>71</v>
      </c>
      <c r="B72" s="5" t="n">
        <v>64878</v>
      </c>
      <c r="C72" s="5" t="s">
        <v>168</v>
      </c>
      <c r="D72" s="5" t="s">
        <v>546</v>
      </c>
      <c r="E72" s="5" t="s">
        <v>169</v>
      </c>
      <c r="F72" s="10" t="n">
        <v>19.1</v>
      </c>
      <c r="G72" s="11" t="n">
        <v>20</v>
      </c>
      <c r="H72" s="11" t="n">
        <v>12</v>
      </c>
      <c r="I72" s="11" t="n">
        <v>7</v>
      </c>
      <c r="J72" s="5" t="str">
        <f aca="false">IF(F72=0,"MISSING","")</f>
        <v/>
      </c>
      <c r="K72" s="5" t="str">
        <f aca="false">IF(G72&lt;=0,"MISSING","")</f>
        <v/>
      </c>
      <c r="L72" s="5" t="str">
        <f aca="false">IF(D72="","MISSING","")</f>
        <v/>
      </c>
      <c r="M72" s="5" t="str">
        <f aca="false">IF(COUNTIF(B$2:B$263,B72)&gt;1,"DUPLICATE","")</f>
        <v/>
      </c>
    </row>
    <row r="73" customFormat="false" ht="15" hidden="false" customHeight="false" outlineLevel="0" collapsed="false">
      <c r="A73" s="5" t="n">
        <v>72</v>
      </c>
      <c r="B73" s="5" t="n">
        <v>61594</v>
      </c>
      <c r="C73" s="5" t="s">
        <v>171</v>
      </c>
      <c r="D73" s="5" t="s">
        <v>546</v>
      </c>
      <c r="E73" s="5" t="s">
        <v>172</v>
      </c>
      <c r="F73" s="10" t="n">
        <v>16.83</v>
      </c>
      <c r="G73" s="11" t="n">
        <v>10</v>
      </c>
      <c r="H73" s="11" t="n">
        <v>31</v>
      </c>
      <c r="I73" s="11" t="n">
        <v>19</v>
      </c>
      <c r="J73" s="5" t="str">
        <f aca="false">IF(F73=0,"MISSING","")</f>
        <v/>
      </c>
      <c r="K73" s="5" t="str">
        <f aca="false">IF(G73&lt;=0,"MISSING","")</f>
        <v/>
      </c>
      <c r="L73" s="5" t="str">
        <f aca="false">IF(D73="","MISSING","")</f>
        <v/>
      </c>
      <c r="M73" s="5" t="str">
        <f aca="false">IF(COUNTIF(B$2:B$263,B73)&gt;1,"DUPLICATE","")</f>
        <v/>
      </c>
    </row>
    <row r="74" customFormat="false" ht="15" hidden="false" customHeight="false" outlineLevel="0" collapsed="false">
      <c r="A74" s="5" t="n">
        <v>73</v>
      </c>
      <c r="B74" s="5" t="n">
        <v>61593</v>
      </c>
      <c r="C74" s="5" t="s">
        <v>174</v>
      </c>
      <c r="D74" s="5" t="s">
        <v>546</v>
      </c>
      <c r="E74" s="5" t="s">
        <v>172</v>
      </c>
      <c r="F74" s="10" t="n">
        <v>17.88</v>
      </c>
      <c r="G74" s="11" t="n">
        <v>1</v>
      </c>
      <c r="H74" s="11" t="n">
        <v>16</v>
      </c>
      <c r="I74" s="11" t="n">
        <v>11</v>
      </c>
      <c r="J74" s="5" t="str">
        <f aca="false">IF(F74=0,"MISSING","")</f>
        <v/>
      </c>
      <c r="K74" s="5" t="str">
        <f aca="false">IF(G74&lt;=0,"MISSING","")</f>
        <v/>
      </c>
      <c r="L74" s="5" t="str">
        <f aca="false">IF(D74="","MISSING","")</f>
        <v/>
      </c>
      <c r="M74" s="5" t="str">
        <f aca="false">IF(COUNTIF(B$2:B$263,B74)&gt;1,"DUPLICATE","")</f>
        <v/>
      </c>
    </row>
    <row r="75" customFormat="false" ht="15" hidden="false" customHeight="false" outlineLevel="0" collapsed="false">
      <c r="A75" s="5" t="n">
        <v>74</v>
      </c>
      <c r="B75" s="5" t="n">
        <v>32911</v>
      </c>
      <c r="C75" s="5" t="s">
        <v>175</v>
      </c>
      <c r="D75" s="5" t="s">
        <v>546</v>
      </c>
      <c r="E75" s="5" t="s">
        <v>176</v>
      </c>
      <c r="F75" s="10" t="n">
        <v>54.83</v>
      </c>
      <c r="G75" s="11" t="n">
        <v>1</v>
      </c>
      <c r="H75" s="11" t="n">
        <v>1</v>
      </c>
      <c r="I75" s="11" t="n">
        <v>11</v>
      </c>
      <c r="J75" s="5" t="str">
        <f aca="false">IF(F75=0,"MISSING","")</f>
        <v/>
      </c>
      <c r="K75" s="5" t="str">
        <f aca="false">IF(G75&lt;=0,"MISSING","")</f>
        <v/>
      </c>
      <c r="L75" s="5" t="str">
        <f aca="false">IF(D75="","MISSING","")</f>
        <v/>
      </c>
      <c r="M75" s="5" t="str">
        <f aca="false">IF(COUNTIF(B$2:B$263,B75)&gt;1,"DUPLICATE","")</f>
        <v/>
      </c>
    </row>
    <row r="76" customFormat="false" ht="15" hidden="false" customHeight="false" outlineLevel="0" collapsed="false">
      <c r="A76" s="5" t="n">
        <v>75</v>
      </c>
      <c r="B76" s="5" t="n">
        <v>32912</v>
      </c>
      <c r="C76" s="5" t="s">
        <v>178</v>
      </c>
      <c r="D76" s="5" t="s">
        <v>546</v>
      </c>
      <c r="E76" s="5" t="s">
        <v>176</v>
      </c>
      <c r="F76" s="10" t="n">
        <v>31.79</v>
      </c>
      <c r="G76" s="11" t="n">
        <v>1</v>
      </c>
      <c r="H76" s="11" t="n">
        <v>8</v>
      </c>
      <c r="I76" s="11" t="n">
        <v>5</v>
      </c>
      <c r="J76" s="5" t="str">
        <f aca="false">IF(F76=0,"MISSING","")</f>
        <v/>
      </c>
      <c r="K76" s="5" t="str">
        <f aca="false">IF(G76&lt;=0,"MISSING","")</f>
        <v/>
      </c>
      <c r="L76" s="5" t="str">
        <f aca="false">IF(D76="","MISSING","")</f>
        <v/>
      </c>
      <c r="M76" s="5" t="str">
        <f aca="false">IF(COUNTIF(B$2:B$263,B76)&gt;1,"DUPLICATE","")</f>
        <v/>
      </c>
    </row>
    <row r="77" customFormat="false" ht="15" hidden="false" customHeight="false" outlineLevel="0" collapsed="false">
      <c r="A77" s="5" t="n">
        <v>76</v>
      </c>
      <c r="B77" s="5" t="n">
        <v>34434</v>
      </c>
      <c r="C77" s="5" t="s">
        <v>180</v>
      </c>
      <c r="D77" s="5" t="s">
        <v>546</v>
      </c>
      <c r="E77" s="5" t="s">
        <v>181</v>
      </c>
      <c r="F77" s="10" t="n">
        <v>19.15</v>
      </c>
      <c r="G77" s="11" t="n">
        <v>1</v>
      </c>
      <c r="H77" s="11" t="n">
        <v>0</v>
      </c>
      <c r="I77" s="11" t="n">
        <v>7</v>
      </c>
      <c r="J77" s="5" t="str">
        <f aca="false">IF(F77=0,"MISSING","")</f>
        <v/>
      </c>
      <c r="K77" s="5" t="str">
        <f aca="false">IF(G77&lt;=0,"MISSING","")</f>
        <v/>
      </c>
      <c r="L77" s="5" t="str">
        <f aca="false">IF(D77="","MISSING","")</f>
        <v/>
      </c>
      <c r="M77" s="5" t="str">
        <f aca="false">IF(COUNTIF(B$2:B$263,B77)&gt;1,"DUPLICATE","")</f>
        <v/>
      </c>
    </row>
    <row r="78" customFormat="false" ht="15" hidden="false" customHeight="false" outlineLevel="0" collapsed="false">
      <c r="A78" s="5" t="n">
        <v>77</v>
      </c>
      <c r="B78" s="5" t="n">
        <v>63815</v>
      </c>
      <c r="C78" s="5" t="s">
        <v>182</v>
      </c>
      <c r="D78" s="5" t="s">
        <v>546</v>
      </c>
      <c r="E78" s="5" t="s">
        <v>183</v>
      </c>
      <c r="F78" s="10" t="n">
        <v>27.44</v>
      </c>
      <c r="G78" s="11" t="n">
        <v>1</v>
      </c>
      <c r="H78" s="11" t="n">
        <v>4</v>
      </c>
      <c r="I78" s="11" t="n">
        <v>5</v>
      </c>
      <c r="J78" s="5" t="str">
        <f aca="false">IF(F78=0,"MISSING","")</f>
        <v/>
      </c>
      <c r="K78" s="5" t="str">
        <f aca="false">IF(G78&lt;=0,"MISSING","")</f>
        <v/>
      </c>
      <c r="L78" s="5" t="str">
        <f aca="false">IF(D78="","MISSING","")</f>
        <v/>
      </c>
      <c r="M78" s="5" t="str">
        <f aca="false">IF(COUNTIF(B$2:B$263,B78)&gt;1,"DUPLICATE","")</f>
        <v/>
      </c>
    </row>
    <row r="79" customFormat="false" ht="15" hidden="false" customHeight="false" outlineLevel="0" collapsed="false">
      <c r="A79" s="5" t="n">
        <v>78</v>
      </c>
      <c r="B79" s="5" t="n">
        <v>63816</v>
      </c>
      <c r="C79" s="5" t="s">
        <v>185</v>
      </c>
      <c r="D79" s="5" t="s">
        <v>546</v>
      </c>
      <c r="E79" s="5" t="s">
        <v>183</v>
      </c>
      <c r="F79" s="10" t="n">
        <v>26.22</v>
      </c>
      <c r="G79" s="11" t="n">
        <v>1</v>
      </c>
      <c r="H79" s="11" t="n">
        <v>30</v>
      </c>
      <c r="I79" s="11" t="n">
        <v>1</v>
      </c>
      <c r="J79" s="5" t="str">
        <f aca="false">IF(F79=0,"MISSING","")</f>
        <v/>
      </c>
      <c r="K79" s="5" t="str">
        <f aca="false">IF(G79&lt;=0,"MISSING","")</f>
        <v/>
      </c>
      <c r="L79" s="5" t="str">
        <f aca="false">IF(D79="","MISSING","")</f>
        <v/>
      </c>
      <c r="M79" s="5" t="str">
        <f aca="false">IF(COUNTIF(B$2:B$263,B79)&gt;1,"DUPLICATE","")</f>
        <v/>
      </c>
    </row>
    <row r="80" customFormat="false" ht="15" hidden="false" customHeight="false" outlineLevel="0" collapsed="false">
      <c r="A80" s="5" t="n">
        <v>79</v>
      </c>
      <c r="B80" s="5" t="n">
        <v>61558</v>
      </c>
      <c r="C80" s="5" t="s">
        <v>186</v>
      </c>
      <c r="D80" s="5" t="s">
        <v>546</v>
      </c>
      <c r="E80" s="5" t="s">
        <v>187</v>
      </c>
      <c r="F80" s="10" t="n">
        <v>19.18</v>
      </c>
      <c r="G80" s="11" t="n">
        <v>1</v>
      </c>
      <c r="H80" s="11" t="n">
        <v>38</v>
      </c>
      <c r="I80" s="11" t="n">
        <v>27</v>
      </c>
      <c r="J80" s="5" t="str">
        <f aca="false">IF(F80=0,"MISSING","")</f>
        <v/>
      </c>
      <c r="K80" s="5" t="str">
        <f aca="false">IF(G80&lt;=0,"MISSING","")</f>
        <v/>
      </c>
      <c r="L80" s="5" t="str">
        <f aca="false">IF(D80="","MISSING","")</f>
        <v/>
      </c>
      <c r="M80" s="5" t="str">
        <f aca="false">IF(COUNTIF(B$2:B$263,B80)&gt;1,"DUPLICATE","")</f>
        <v>DUPLICATE</v>
      </c>
    </row>
    <row r="81" customFormat="false" ht="23.85" hidden="false" customHeight="false" outlineLevel="0" collapsed="false">
      <c r="A81" s="5" t="n">
        <v>80</v>
      </c>
      <c r="B81" s="5" t="n">
        <v>23511</v>
      </c>
      <c r="C81" s="5" t="s">
        <v>188</v>
      </c>
      <c r="D81" s="5" t="s">
        <v>538</v>
      </c>
      <c r="E81" s="5" t="s">
        <v>189</v>
      </c>
      <c r="F81" s="10" t="n">
        <v>36.97</v>
      </c>
      <c r="G81" s="11" t="n">
        <v>1</v>
      </c>
      <c r="H81" s="11" t="n">
        <v>3</v>
      </c>
      <c r="I81" s="11" t="n">
        <v>2</v>
      </c>
      <c r="J81" s="5" t="str">
        <f aca="false">IF(F81=0,"MISSING","")</f>
        <v/>
      </c>
      <c r="K81" s="5" t="str">
        <f aca="false">IF(G81&lt;=0,"MISSING","")</f>
        <v/>
      </c>
      <c r="L81" s="5" t="str">
        <f aca="false">IF(D81="","MISSING","")</f>
        <v/>
      </c>
      <c r="M81" s="5" t="str">
        <f aca="false">IF(COUNTIF(B$2:B$263,B81)&gt;1,"DUPLICATE","")</f>
        <v/>
      </c>
    </row>
    <row r="82" customFormat="false" ht="23.85" hidden="false" customHeight="false" outlineLevel="0" collapsed="false">
      <c r="A82" s="5" t="n">
        <v>81</v>
      </c>
      <c r="B82" s="5" t="n">
        <v>15422</v>
      </c>
      <c r="C82" s="5" t="s">
        <v>191</v>
      </c>
      <c r="D82" s="5" t="s">
        <v>538</v>
      </c>
      <c r="E82" s="5" t="s">
        <v>192</v>
      </c>
      <c r="F82" s="10" t="n">
        <v>34.08</v>
      </c>
      <c r="G82" s="11" t="n">
        <v>1</v>
      </c>
      <c r="H82" s="11" t="n">
        <v>6</v>
      </c>
      <c r="I82" s="11" t="n">
        <v>4</v>
      </c>
      <c r="J82" s="5" t="str">
        <f aca="false">IF(F82=0,"MISSING","")</f>
        <v/>
      </c>
      <c r="K82" s="5" t="str">
        <f aca="false">IF(G82&lt;=0,"MISSING","")</f>
        <v/>
      </c>
      <c r="L82" s="5" t="str">
        <f aca="false">IF(D82="","MISSING","")</f>
        <v/>
      </c>
      <c r="M82" s="5" t="str">
        <f aca="false">IF(COUNTIF(B$2:B$263,B82)&gt;1,"DUPLICATE","")</f>
        <v/>
      </c>
    </row>
    <row r="83" customFormat="false" ht="23.85" hidden="false" customHeight="false" outlineLevel="0" collapsed="false">
      <c r="A83" s="5" t="n">
        <v>82</v>
      </c>
      <c r="B83" s="5" t="n">
        <v>36840</v>
      </c>
      <c r="C83" s="5" t="s">
        <v>193</v>
      </c>
      <c r="D83" s="5" t="s">
        <v>538</v>
      </c>
      <c r="E83" s="5" t="s">
        <v>192</v>
      </c>
      <c r="F83" s="10" t="n">
        <v>36.7</v>
      </c>
      <c r="G83" s="11" t="n">
        <v>1</v>
      </c>
      <c r="H83" s="11" t="n">
        <v>5</v>
      </c>
      <c r="I83" s="11" t="n">
        <v>0</v>
      </c>
      <c r="J83" s="5" t="str">
        <f aca="false">IF(F83=0,"MISSING","")</f>
        <v/>
      </c>
      <c r="K83" s="5" t="str">
        <f aca="false">IF(G83&lt;=0,"MISSING","")</f>
        <v/>
      </c>
      <c r="L83" s="5" t="str">
        <f aca="false">IF(D83="","MISSING","")</f>
        <v/>
      </c>
      <c r="M83" s="5" t="str">
        <f aca="false">IF(COUNTIF(B$2:B$263,B83)&gt;1,"DUPLICATE","")</f>
        <v/>
      </c>
    </row>
    <row r="84" customFormat="false" ht="23.85" hidden="false" customHeight="false" outlineLevel="0" collapsed="false">
      <c r="A84" s="5" t="n">
        <v>83</v>
      </c>
      <c r="B84" s="5" t="n">
        <v>36827</v>
      </c>
      <c r="C84" s="5" t="s">
        <v>194</v>
      </c>
      <c r="D84" s="5" t="s">
        <v>538</v>
      </c>
      <c r="E84" s="5" t="s">
        <v>192</v>
      </c>
      <c r="F84" s="10" t="n">
        <v>39.91</v>
      </c>
      <c r="G84" s="11" t="n">
        <v>1</v>
      </c>
      <c r="H84" s="11" t="n">
        <v>3</v>
      </c>
      <c r="I84" s="11" t="n">
        <v>1</v>
      </c>
      <c r="J84" s="5" t="str">
        <f aca="false">IF(F84=0,"MISSING","")</f>
        <v/>
      </c>
      <c r="K84" s="5" t="str">
        <f aca="false">IF(G84&lt;=0,"MISSING","")</f>
        <v/>
      </c>
      <c r="L84" s="5" t="str">
        <f aca="false">IF(D84="","MISSING","")</f>
        <v/>
      </c>
      <c r="M84" s="5" t="str">
        <f aca="false">IF(COUNTIF(B$2:B$263,B84)&gt;1,"DUPLICATE","")</f>
        <v/>
      </c>
    </row>
    <row r="85" customFormat="false" ht="23.85" hidden="false" customHeight="false" outlineLevel="0" collapsed="false">
      <c r="A85" s="5" t="n">
        <v>84</v>
      </c>
      <c r="B85" s="5" t="n">
        <v>36830</v>
      </c>
      <c r="C85" s="5" t="s">
        <v>195</v>
      </c>
      <c r="D85" s="5" t="s">
        <v>538</v>
      </c>
      <c r="E85" s="5" t="s">
        <v>192</v>
      </c>
      <c r="F85" s="10" t="n">
        <v>32.71</v>
      </c>
      <c r="G85" s="11" t="n">
        <v>1</v>
      </c>
      <c r="H85" s="11" t="n">
        <v>13</v>
      </c>
      <c r="I85" s="11" t="n">
        <v>14</v>
      </c>
      <c r="J85" s="5" t="str">
        <f aca="false">IF(F85=0,"MISSING","")</f>
        <v/>
      </c>
      <c r="K85" s="5" t="str">
        <f aca="false">IF(G85&lt;=0,"MISSING","")</f>
        <v/>
      </c>
      <c r="L85" s="5" t="str">
        <f aca="false">IF(D85="","MISSING","")</f>
        <v/>
      </c>
      <c r="M85" s="5" t="str">
        <f aca="false">IF(COUNTIF(B$2:B$263,B85)&gt;1,"DUPLICATE","")</f>
        <v/>
      </c>
    </row>
    <row r="86" customFormat="false" ht="23.85" hidden="false" customHeight="false" outlineLevel="0" collapsed="false">
      <c r="A86" s="5" t="n">
        <v>85</v>
      </c>
      <c r="B86" s="5" t="n">
        <v>36828</v>
      </c>
      <c r="C86" s="5" t="s">
        <v>196</v>
      </c>
      <c r="D86" s="5" t="s">
        <v>538</v>
      </c>
      <c r="E86" s="5" t="s">
        <v>192</v>
      </c>
      <c r="F86" s="10" t="n">
        <v>35.04</v>
      </c>
      <c r="G86" s="11" t="n">
        <v>1</v>
      </c>
      <c r="H86" s="11" t="n">
        <v>16</v>
      </c>
      <c r="I86" s="11" t="n">
        <v>0</v>
      </c>
      <c r="J86" s="5" t="str">
        <f aca="false">IF(F86=0,"MISSING","")</f>
        <v/>
      </c>
      <c r="K86" s="5" t="str">
        <f aca="false">IF(G86&lt;=0,"MISSING","")</f>
        <v/>
      </c>
      <c r="L86" s="5" t="str">
        <f aca="false">IF(D86="","MISSING","")</f>
        <v/>
      </c>
      <c r="M86" s="5" t="str">
        <f aca="false">IF(COUNTIF(B$2:B$263,B86)&gt;1,"DUPLICATE","")</f>
        <v/>
      </c>
    </row>
    <row r="87" customFormat="false" ht="23.85" hidden="false" customHeight="false" outlineLevel="0" collapsed="false">
      <c r="A87" s="5" t="n">
        <v>86</v>
      </c>
      <c r="B87" s="5" t="n">
        <v>36837</v>
      </c>
      <c r="C87" s="5" t="s">
        <v>197</v>
      </c>
      <c r="D87" s="5" t="s">
        <v>538</v>
      </c>
      <c r="E87" s="5" t="s">
        <v>192</v>
      </c>
      <c r="F87" s="10" t="n">
        <v>34.5</v>
      </c>
      <c r="G87" s="11" t="n">
        <v>1</v>
      </c>
      <c r="H87" s="11" t="n">
        <v>3</v>
      </c>
      <c r="I87" s="11" t="n">
        <v>2</v>
      </c>
      <c r="J87" s="5" t="str">
        <f aca="false">IF(F87=0,"MISSING","")</f>
        <v/>
      </c>
      <c r="K87" s="5" t="str">
        <f aca="false">IF(G87&lt;=0,"MISSING","")</f>
        <v/>
      </c>
      <c r="L87" s="5" t="str">
        <f aca="false">IF(D87="","MISSING","")</f>
        <v/>
      </c>
      <c r="M87" s="5" t="str">
        <f aca="false">IF(COUNTIF(B$2:B$263,B87)&gt;1,"DUPLICATE","")</f>
        <v/>
      </c>
    </row>
    <row r="88" customFormat="false" ht="23.85" hidden="false" customHeight="false" outlineLevel="0" collapsed="false">
      <c r="A88" s="5" t="n">
        <v>87</v>
      </c>
      <c r="B88" s="5" t="n">
        <v>36835</v>
      </c>
      <c r="C88" s="5" t="s">
        <v>198</v>
      </c>
      <c r="D88" s="5" t="s">
        <v>538</v>
      </c>
      <c r="E88" s="5" t="s">
        <v>192</v>
      </c>
      <c r="F88" s="10" t="n">
        <v>38.72</v>
      </c>
      <c r="G88" s="11" t="n">
        <v>1</v>
      </c>
      <c r="H88" s="11" t="n">
        <v>0</v>
      </c>
      <c r="I88" s="11" t="n">
        <v>1</v>
      </c>
      <c r="J88" s="5" t="str">
        <f aca="false">IF(F88=0,"MISSING","")</f>
        <v/>
      </c>
      <c r="K88" s="5" t="str">
        <f aca="false">IF(G88&lt;=0,"MISSING","")</f>
        <v/>
      </c>
      <c r="L88" s="5" t="str">
        <f aca="false">IF(D88="","MISSING","")</f>
        <v/>
      </c>
      <c r="M88" s="5" t="str">
        <f aca="false">IF(COUNTIF(B$2:B$263,B88)&gt;1,"DUPLICATE","")</f>
        <v/>
      </c>
    </row>
    <row r="89" customFormat="false" ht="23.85" hidden="false" customHeight="false" outlineLevel="0" collapsed="false">
      <c r="A89" s="5" t="n">
        <v>88</v>
      </c>
      <c r="B89" s="5" t="n">
        <v>36831</v>
      </c>
      <c r="C89" s="5" t="s">
        <v>199</v>
      </c>
      <c r="D89" s="5" t="s">
        <v>538</v>
      </c>
      <c r="E89" s="5" t="s">
        <v>192</v>
      </c>
      <c r="F89" s="10" t="n">
        <v>33.56</v>
      </c>
      <c r="G89" s="11" t="n">
        <v>1</v>
      </c>
      <c r="H89" s="11" t="n">
        <v>22</v>
      </c>
      <c r="I89" s="11" t="n">
        <v>1</v>
      </c>
      <c r="J89" s="5" t="str">
        <f aca="false">IF(F89=0,"MISSING","")</f>
        <v/>
      </c>
      <c r="K89" s="5" t="str">
        <f aca="false">IF(G89&lt;=0,"MISSING","")</f>
        <v/>
      </c>
      <c r="L89" s="5" t="str">
        <f aca="false">IF(D89="","MISSING","")</f>
        <v/>
      </c>
      <c r="M89" s="5" t="str">
        <f aca="false">IF(COUNTIF(B$2:B$263,B89)&gt;1,"DUPLICATE","")</f>
        <v/>
      </c>
    </row>
    <row r="90" customFormat="false" ht="23.85" hidden="false" customHeight="false" outlineLevel="0" collapsed="false">
      <c r="A90" s="5" t="n">
        <v>89</v>
      </c>
      <c r="B90" s="5" t="n">
        <v>15425</v>
      </c>
      <c r="C90" s="5" t="s">
        <v>201</v>
      </c>
      <c r="D90" s="5" t="s">
        <v>538</v>
      </c>
      <c r="E90" s="5" t="s">
        <v>192</v>
      </c>
      <c r="F90" s="10" t="n">
        <v>36.95</v>
      </c>
      <c r="G90" s="11" t="n">
        <v>1</v>
      </c>
      <c r="H90" s="11" t="n">
        <v>1</v>
      </c>
      <c r="I90" s="11" t="n">
        <v>0</v>
      </c>
      <c r="J90" s="5" t="str">
        <f aca="false">IF(F90=0,"MISSING","")</f>
        <v/>
      </c>
      <c r="K90" s="5" t="str">
        <f aca="false">IF(G90&lt;=0,"MISSING","")</f>
        <v/>
      </c>
      <c r="L90" s="5" t="str">
        <f aca="false">IF(D90="","MISSING","")</f>
        <v/>
      </c>
      <c r="M90" s="5" t="str">
        <f aca="false">IF(COUNTIF(B$2:B$263,B90)&gt;1,"DUPLICATE","")</f>
        <v/>
      </c>
    </row>
    <row r="91" customFormat="false" ht="23.85" hidden="false" customHeight="false" outlineLevel="0" collapsed="false">
      <c r="A91" s="5" t="n">
        <v>90</v>
      </c>
      <c r="B91" s="5" t="n">
        <v>15424</v>
      </c>
      <c r="C91" s="5" t="s">
        <v>202</v>
      </c>
      <c r="D91" s="5" t="s">
        <v>538</v>
      </c>
      <c r="E91" s="5" t="s">
        <v>192</v>
      </c>
      <c r="F91" s="10" t="n">
        <v>37.15</v>
      </c>
      <c r="G91" s="11" t="n">
        <v>1</v>
      </c>
      <c r="H91" s="11" t="n">
        <v>0</v>
      </c>
      <c r="I91" s="11" t="n">
        <v>1</v>
      </c>
      <c r="J91" s="5" t="str">
        <f aca="false">IF(F91=0,"MISSING","")</f>
        <v/>
      </c>
      <c r="K91" s="5" t="str">
        <f aca="false">IF(G91&lt;=0,"MISSING","")</f>
        <v/>
      </c>
      <c r="L91" s="5" t="str">
        <f aca="false">IF(D91="","MISSING","")</f>
        <v/>
      </c>
      <c r="M91" s="5" t="str">
        <f aca="false">IF(COUNTIF(B$2:B$263,B91)&gt;1,"DUPLICATE","")</f>
        <v/>
      </c>
    </row>
    <row r="92" customFormat="false" ht="23.85" hidden="false" customHeight="false" outlineLevel="0" collapsed="false">
      <c r="A92" s="5" t="n">
        <v>91</v>
      </c>
      <c r="B92" s="5" t="n">
        <v>36884</v>
      </c>
      <c r="C92" s="5" t="s">
        <v>203</v>
      </c>
      <c r="D92" s="5" t="s">
        <v>538</v>
      </c>
      <c r="E92" s="5" t="s">
        <v>192</v>
      </c>
      <c r="F92" s="10" t="n">
        <v>39.6</v>
      </c>
      <c r="G92" s="11" t="n">
        <v>1</v>
      </c>
      <c r="H92" s="11" t="n">
        <v>1</v>
      </c>
      <c r="I92" s="11" t="n">
        <v>11</v>
      </c>
      <c r="J92" s="5" t="str">
        <f aca="false">IF(F92=0,"MISSING","")</f>
        <v/>
      </c>
      <c r="K92" s="5" t="str">
        <f aca="false">IF(G92&lt;=0,"MISSING","")</f>
        <v/>
      </c>
      <c r="L92" s="5" t="str">
        <f aca="false">IF(D92="","MISSING","")</f>
        <v/>
      </c>
      <c r="M92" s="5" t="str">
        <f aca="false">IF(COUNTIF(B$2:B$263,B92)&gt;1,"DUPLICATE","")</f>
        <v/>
      </c>
    </row>
    <row r="93" customFormat="false" ht="23.85" hidden="false" customHeight="false" outlineLevel="0" collapsed="false">
      <c r="A93" s="5" t="n">
        <v>92</v>
      </c>
      <c r="B93" s="5" t="n">
        <v>15426</v>
      </c>
      <c r="C93" s="5" t="s">
        <v>204</v>
      </c>
      <c r="D93" s="5" t="s">
        <v>538</v>
      </c>
      <c r="E93" s="5" t="s">
        <v>192</v>
      </c>
      <c r="F93" s="10" t="n">
        <v>19.58</v>
      </c>
      <c r="G93" s="11" t="n">
        <v>1</v>
      </c>
      <c r="H93" s="11" t="n">
        <v>19</v>
      </c>
      <c r="I93" s="11" t="n">
        <v>4</v>
      </c>
      <c r="J93" s="5" t="str">
        <f aca="false">IF(F93=0,"MISSING","")</f>
        <v/>
      </c>
      <c r="K93" s="5" t="str">
        <f aca="false">IF(G93&lt;=0,"MISSING","")</f>
        <v/>
      </c>
      <c r="L93" s="5" t="str">
        <f aca="false">IF(D93="","MISSING","")</f>
        <v/>
      </c>
      <c r="M93" s="5" t="str">
        <f aca="false">IF(COUNTIF(B$2:B$263,B93)&gt;1,"DUPLICATE","")</f>
        <v/>
      </c>
    </row>
    <row r="94" customFormat="false" ht="23.85" hidden="false" customHeight="false" outlineLevel="0" collapsed="false">
      <c r="A94" s="5" t="n">
        <v>93</v>
      </c>
      <c r="B94" s="5" t="n">
        <v>36846</v>
      </c>
      <c r="C94" s="5" t="s">
        <v>205</v>
      </c>
      <c r="D94" s="5" t="s">
        <v>538</v>
      </c>
      <c r="E94" s="5" t="s">
        <v>192</v>
      </c>
      <c r="F94" s="10" t="n">
        <v>33.17</v>
      </c>
      <c r="G94" s="11" t="n">
        <v>1</v>
      </c>
      <c r="H94" s="11" t="n">
        <v>3</v>
      </c>
      <c r="I94" s="11" t="n">
        <v>5</v>
      </c>
      <c r="J94" s="5" t="str">
        <f aca="false">IF(F94=0,"MISSING","")</f>
        <v/>
      </c>
      <c r="K94" s="5" t="str">
        <f aca="false">IF(G94&lt;=0,"MISSING","")</f>
        <v/>
      </c>
      <c r="L94" s="5" t="str">
        <f aca="false">IF(D94="","MISSING","")</f>
        <v/>
      </c>
      <c r="M94" s="5" t="str">
        <f aca="false">IF(COUNTIF(B$2:B$263,B94)&gt;1,"DUPLICATE","")</f>
        <v/>
      </c>
    </row>
    <row r="95" customFormat="false" ht="23.85" hidden="false" customHeight="false" outlineLevel="0" collapsed="false">
      <c r="A95" s="5" t="n">
        <v>94</v>
      </c>
      <c r="B95" s="5" t="n">
        <v>15423</v>
      </c>
      <c r="C95" s="5" t="s">
        <v>206</v>
      </c>
      <c r="D95" s="5" t="s">
        <v>538</v>
      </c>
      <c r="E95" s="5" t="s">
        <v>192</v>
      </c>
      <c r="F95" s="10" t="n">
        <v>36.72</v>
      </c>
      <c r="G95" s="11" t="n">
        <v>1</v>
      </c>
      <c r="H95" s="11" t="n">
        <v>3</v>
      </c>
      <c r="I95" s="11" t="n">
        <v>1</v>
      </c>
      <c r="J95" s="5" t="str">
        <f aca="false">IF(F95=0,"MISSING","")</f>
        <v/>
      </c>
      <c r="K95" s="5" t="str">
        <f aca="false">IF(G95&lt;=0,"MISSING","")</f>
        <v/>
      </c>
      <c r="L95" s="5" t="str">
        <f aca="false">IF(D95="","MISSING","")</f>
        <v/>
      </c>
      <c r="M95" s="5" t="str">
        <f aca="false">IF(COUNTIF(B$2:B$263,B95)&gt;1,"DUPLICATE","")</f>
        <v/>
      </c>
    </row>
    <row r="96" customFormat="false" ht="23.85" hidden="false" customHeight="false" outlineLevel="0" collapsed="false">
      <c r="A96" s="5" t="n">
        <v>95</v>
      </c>
      <c r="B96" s="5" t="n">
        <v>36824</v>
      </c>
      <c r="C96" s="5" t="s">
        <v>207</v>
      </c>
      <c r="D96" s="5" t="s">
        <v>538</v>
      </c>
      <c r="E96" s="5" t="s">
        <v>192</v>
      </c>
      <c r="F96" s="10" t="n">
        <v>34.76</v>
      </c>
      <c r="G96" s="11" t="n">
        <v>1</v>
      </c>
      <c r="H96" s="11" t="n">
        <v>6</v>
      </c>
      <c r="I96" s="11" t="n">
        <v>4</v>
      </c>
      <c r="J96" s="5" t="str">
        <f aca="false">IF(F96=0,"MISSING","")</f>
        <v/>
      </c>
      <c r="K96" s="5" t="str">
        <f aca="false">IF(G96&lt;=0,"MISSING","")</f>
        <v/>
      </c>
      <c r="L96" s="5" t="str">
        <f aca="false">IF(D96="","MISSING","")</f>
        <v/>
      </c>
      <c r="M96" s="5" t="str">
        <f aca="false">IF(COUNTIF(B$2:B$263,B96)&gt;1,"DUPLICATE","")</f>
        <v/>
      </c>
    </row>
    <row r="97" customFormat="false" ht="23.85" hidden="false" customHeight="false" outlineLevel="0" collapsed="false">
      <c r="A97" s="5" t="n">
        <v>96</v>
      </c>
      <c r="B97" s="5" t="n">
        <v>36833</v>
      </c>
      <c r="C97" s="5" t="s">
        <v>208</v>
      </c>
      <c r="D97" s="5" t="s">
        <v>538</v>
      </c>
      <c r="E97" s="5" t="s">
        <v>192</v>
      </c>
      <c r="F97" s="10" t="n">
        <v>37.87</v>
      </c>
      <c r="G97" s="11" t="n">
        <v>1</v>
      </c>
      <c r="H97" s="11" t="n">
        <v>2</v>
      </c>
      <c r="I97" s="11" t="n">
        <v>0</v>
      </c>
      <c r="J97" s="5" t="str">
        <f aca="false">IF(F97=0,"MISSING","")</f>
        <v/>
      </c>
      <c r="K97" s="5" t="str">
        <f aca="false">IF(G97&lt;=0,"MISSING","")</f>
        <v/>
      </c>
      <c r="L97" s="5" t="str">
        <f aca="false">IF(D97="","MISSING","")</f>
        <v/>
      </c>
      <c r="M97" s="5" t="str">
        <f aca="false">IF(COUNTIF(B$2:B$263,B97)&gt;1,"DUPLICATE","")</f>
        <v/>
      </c>
    </row>
    <row r="98" customFormat="false" ht="23.85" hidden="false" customHeight="false" outlineLevel="0" collapsed="false">
      <c r="A98" s="5" t="n">
        <v>97</v>
      </c>
      <c r="B98" s="5" t="n">
        <v>32183</v>
      </c>
      <c r="C98" s="5" t="s">
        <v>209</v>
      </c>
      <c r="D98" s="5" t="s">
        <v>538</v>
      </c>
      <c r="E98" s="5" t="s">
        <v>189</v>
      </c>
      <c r="F98" s="10" t="n">
        <v>43.33</v>
      </c>
      <c r="G98" s="11" t="n">
        <v>1</v>
      </c>
      <c r="H98" s="11" t="n">
        <v>10</v>
      </c>
      <c r="I98" s="11" t="n">
        <v>0</v>
      </c>
      <c r="J98" s="5" t="str">
        <f aca="false">IF(F98=0,"MISSING","")</f>
        <v/>
      </c>
      <c r="K98" s="5" t="str">
        <f aca="false">IF(G98&lt;=0,"MISSING","")</f>
        <v/>
      </c>
      <c r="L98" s="5" t="str">
        <f aca="false">IF(D98="","MISSING","")</f>
        <v/>
      </c>
      <c r="M98" s="5" t="str">
        <f aca="false">IF(COUNTIF(B$2:B$263,B98)&gt;1,"DUPLICATE","")</f>
        <v/>
      </c>
    </row>
    <row r="99" customFormat="false" ht="23.85" hidden="false" customHeight="false" outlineLevel="0" collapsed="false">
      <c r="A99" s="5" t="n">
        <v>98</v>
      </c>
      <c r="B99" s="5" t="n">
        <v>15427</v>
      </c>
      <c r="C99" s="5" t="s">
        <v>210</v>
      </c>
      <c r="D99" s="5" t="s">
        <v>538</v>
      </c>
      <c r="E99" s="5" t="s">
        <v>192</v>
      </c>
      <c r="F99" s="10" t="n">
        <v>40.11</v>
      </c>
      <c r="G99" s="11" t="n">
        <v>1</v>
      </c>
      <c r="H99" s="11" t="n">
        <v>1</v>
      </c>
      <c r="I99" s="11" t="n">
        <v>1</v>
      </c>
      <c r="J99" s="5" t="str">
        <f aca="false">IF(F99=0,"MISSING","")</f>
        <v/>
      </c>
      <c r="K99" s="5" t="str">
        <f aca="false">IF(G99&lt;=0,"MISSING","")</f>
        <v/>
      </c>
      <c r="L99" s="5" t="str">
        <f aca="false">IF(D99="","MISSING","")</f>
        <v/>
      </c>
      <c r="M99" s="5" t="str">
        <f aca="false">IF(COUNTIF(B$2:B$263,B99)&gt;1,"DUPLICATE","")</f>
        <v/>
      </c>
    </row>
    <row r="100" customFormat="false" ht="23.85" hidden="false" customHeight="false" outlineLevel="0" collapsed="false">
      <c r="A100" s="5" t="n">
        <v>99</v>
      </c>
      <c r="B100" s="5" t="n">
        <v>15429</v>
      </c>
      <c r="C100" s="5" t="s">
        <v>211</v>
      </c>
      <c r="D100" s="5" t="s">
        <v>538</v>
      </c>
      <c r="E100" s="5" t="s">
        <v>192</v>
      </c>
      <c r="F100" s="10" t="n">
        <v>40.74</v>
      </c>
      <c r="G100" s="11" t="n">
        <v>1</v>
      </c>
      <c r="H100" s="11" t="n">
        <v>2</v>
      </c>
      <c r="I100" s="11" t="n">
        <v>0</v>
      </c>
      <c r="J100" s="5" t="str">
        <f aca="false">IF(F100=0,"MISSING","")</f>
        <v/>
      </c>
      <c r="K100" s="5" t="str">
        <f aca="false">IF(G100&lt;=0,"MISSING","")</f>
        <v/>
      </c>
      <c r="L100" s="5" t="str">
        <f aca="false">IF(D100="","MISSING","")</f>
        <v/>
      </c>
      <c r="M100" s="5" t="str">
        <f aca="false">IF(COUNTIF(B$2:B$263,B100)&gt;1,"DUPLICATE","")</f>
        <v/>
      </c>
    </row>
    <row r="101" customFormat="false" ht="23.85" hidden="false" customHeight="false" outlineLevel="0" collapsed="false">
      <c r="A101" s="5" t="n">
        <v>100</v>
      </c>
      <c r="B101" s="5" t="n">
        <v>32180</v>
      </c>
      <c r="C101" s="5" t="s">
        <v>212</v>
      </c>
      <c r="D101" s="5" t="s">
        <v>538</v>
      </c>
      <c r="E101" s="5" t="s">
        <v>189</v>
      </c>
      <c r="F101" s="10" t="n">
        <v>35.54</v>
      </c>
      <c r="G101" s="11" t="n">
        <v>1</v>
      </c>
      <c r="H101" s="11" t="n">
        <v>9</v>
      </c>
      <c r="I101" s="11" t="n">
        <v>9</v>
      </c>
      <c r="J101" s="5" t="str">
        <f aca="false">IF(F101=0,"MISSING","")</f>
        <v/>
      </c>
      <c r="K101" s="5" t="str">
        <f aca="false">IF(G101&lt;=0,"MISSING","")</f>
        <v/>
      </c>
      <c r="L101" s="5" t="str">
        <f aca="false">IF(D101="","MISSING","")</f>
        <v/>
      </c>
      <c r="M101" s="5" t="str">
        <f aca="false">IF(COUNTIF(B$2:B$263,B101)&gt;1,"DUPLICATE","")</f>
        <v/>
      </c>
    </row>
    <row r="102" customFormat="false" ht="23.85" hidden="false" customHeight="false" outlineLevel="0" collapsed="false">
      <c r="A102" s="5" t="n">
        <v>101</v>
      </c>
      <c r="B102" s="5" t="n">
        <v>32181</v>
      </c>
      <c r="C102" s="5" t="s">
        <v>213</v>
      </c>
      <c r="D102" s="5" t="s">
        <v>538</v>
      </c>
      <c r="E102" s="5" t="s">
        <v>189</v>
      </c>
      <c r="F102" s="10" t="n">
        <v>25.19</v>
      </c>
      <c r="G102" s="11" t="n">
        <v>1</v>
      </c>
      <c r="H102" s="11" t="n">
        <v>1</v>
      </c>
      <c r="I102" s="11" t="n">
        <v>3</v>
      </c>
      <c r="J102" s="5" t="str">
        <f aca="false">IF(F102=0,"MISSING","")</f>
        <v/>
      </c>
      <c r="K102" s="5" t="str">
        <f aca="false">IF(G102&lt;=0,"MISSING","")</f>
        <v/>
      </c>
      <c r="L102" s="5" t="str">
        <f aca="false">IF(D102="","MISSING","")</f>
        <v/>
      </c>
      <c r="M102" s="5" t="str">
        <f aca="false">IF(COUNTIF(B$2:B$263,B102)&gt;1,"DUPLICATE","")</f>
        <v/>
      </c>
    </row>
    <row r="103" customFormat="false" ht="23.85" hidden="false" customHeight="false" outlineLevel="0" collapsed="false">
      <c r="A103" s="5" t="n">
        <v>102</v>
      </c>
      <c r="B103" s="5" t="n">
        <v>32182</v>
      </c>
      <c r="C103" s="5" t="s">
        <v>214</v>
      </c>
      <c r="D103" s="5" t="s">
        <v>538</v>
      </c>
      <c r="E103" s="5" t="s">
        <v>189</v>
      </c>
      <c r="F103" s="10" t="n">
        <v>41.04</v>
      </c>
      <c r="G103" s="11" t="n">
        <v>1</v>
      </c>
      <c r="H103" s="11" t="n">
        <v>1</v>
      </c>
      <c r="I103" s="11" t="n">
        <v>2</v>
      </c>
      <c r="J103" s="5" t="str">
        <f aca="false">IF(F103=0,"MISSING","")</f>
        <v/>
      </c>
      <c r="K103" s="5" t="str">
        <f aca="false">IF(G103&lt;=0,"MISSING","")</f>
        <v/>
      </c>
      <c r="L103" s="5" t="str">
        <f aca="false">IF(D103="","MISSING","")</f>
        <v/>
      </c>
      <c r="M103" s="5" t="str">
        <f aca="false">IF(COUNTIF(B$2:B$263,B103)&gt;1,"DUPLICATE","")</f>
        <v/>
      </c>
    </row>
    <row r="104" customFormat="false" ht="23.85" hidden="false" customHeight="false" outlineLevel="0" collapsed="false">
      <c r="A104" s="5" t="n">
        <v>103</v>
      </c>
      <c r="B104" s="5" t="n">
        <v>32184</v>
      </c>
      <c r="C104" s="5" t="s">
        <v>215</v>
      </c>
      <c r="D104" s="5" t="s">
        <v>538</v>
      </c>
      <c r="E104" s="5" t="s">
        <v>189</v>
      </c>
      <c r="F104" s="10" t="n">
        <v>35.46</v>
      </c>
      <c r="G104" s="11" t="n">
        <v>1</v>
      </c>
      <c r="H104" s="11" t="n">
        <v>4</v>
      </c>
      <c r="I104" s="11" t="n">
        <v>1</v>
      </c>
      <c r="J104" s="5" t="str">
        <f aca="false">IF(F104=0,"MISSING","")</f>
        <v/>
      </c>
      <c r="K104" s="5" t="str">
        <f aca="false">IF(G104&lt;=0,"MISSING","")</f>
        <v/>
      </c>
      <c r="L104" s="5" t="str">
        <f aca="false">IF(D104="","MISSING","")</f>
        <v/>
      </c>
      <c r="M104" s="5" t="str">
        <f aca="false">IF(COUNTIF(B$2:B$263,B104)&gt;1,"DUPLICATE","")</f>
        <v/>
      </c>
    </row>
    <row r="105" customFormat="false" ht="15" hidden="false" customHeight="false" outlineLevel="0" collapsed="false">
      <c r="A105" s="5" t="n">
        <v>104</v>
      </c>
      <c r="B105" s="5" t="n">
        <v>32185</v>
      </c>
      <c r="C105" s="5" t="s">
        <v>216</v>
      </c>
      <c r="D105" s="5" t="s">
        <v>531</v>
      </c>
      <c r="E105" s="5" t="s">
        <v>217</v>
      </c>
      <c r="F105" s="10" t="n">
        <v>53.26</v>
      </c>
      <c r="G105" s="11" t="n">
        <v>8</v>
      </c>
      <c r="H105" s="11" t="n">
        <v>3</v>
      </c>
      <c r="I105" s="11" t="n">
        <v>0</v>
      </c>
      <c r="J105" s="5" t="str">
        <f aca="false">IF(F105=0,"MISSING","")</f>
        <v/>
      </c>
      <c r="K105" s="5" t="str">
        <f aca="false">IF(G105&lt;=0,"MISSING","")</f>
        <v/>
      </c>
      <c r="L105" s="5" t="str">
        <f aca="false">IF(D105="","MISSING","")</f>
        <v/>
      </c>
      <c r="M105" s="5" t="str">
        <f aca="false">IF(COUNTIF(B$2:B$263,B105)&gt;1,"DUPLICATE","")</f>
        <v/>
      </c>
    </row>
    <row r="106" customFormat="false" ht="15" hidden="false" customHeight="false" outlineLevel="0" collapsed="false">
      <c r="A106" s="5" t="n">
        <v>105</v>
      </c>
      <c r="B106" s="5" t="n">
        <v>37191</v>
      </c>
      <c r="C106" s="5" t="s">
        <v>218</v>
      </c>
      <c r="D106" s="5" t="s">
        <v>531</v>
      </c>
      <c r="E106" s="5" t="s">
        <v>104</v>
      </c>
      <c r="F106" s="10" t="n">
        <v>48.55</v>
      </c>
      <c r="G106" s="11" t="n">
        <v>24</v>
      </c>
      <c r="H106" s="11" t="n">
        <v>0</v>
      </c>
      <c r="I106" s="11" t="n">
        <v>0</v>
      </c>
      <c r="J106" s="5" t="str">
        <f aca="false">IF(F106=0,"MISSING","")</f>
        <v/>
      </c>
      <c r="K106" s="5" t="str">
        <f aca="false">IF(G106&lt;=0,"MISSING","")</f>
        <v/>
      </c>
      <c r="L106" s="5" t="str">
        <f aca="false">IF(D106="","MISSING","")</f>
        <v/>
      </c>
      <c r="M106" s="5" t="str">
        <f aca="false">IF(COUNTIF(B$2:B$263,B106)&gt;1,"DUPLICATE","")</f>
        <v/>
      </c>
    </row>
    <row r="107" customFormat="false" ht="15" hidden="false" customHeight="false" outlineLevel="0" collapsed="false">
      <c r="A107" s="5" t="n">
        <v>106</v>
      </c>
      <c r="B107" s="5" t="n">
        <v>37190</v>
      </c>
      <c r="C107" s="5" t="s">
        <v>219</v>
      </c>
      <c r="D107" s="5" t="s">
        <v>531</v>
      </c>
      <c r="E107" s="5" t="s">
        <v>104</v>
      </c>
      <c r="F107" s="10" t="n">
        <v>40</v>
      </c>
      <c r="G107" s="11" t="n">
        <v>24</v>
      </c>
      <c r="H107" s="11" t="n">
        <v>3</v>
      </c>
      <c r="I107" s="11" t="n">
        <v>1</v>
      </c>
      <c r="J107" s="5" t="str">
        <f aca="false">IF(F107=0,"MISSING","")</f>
        <v/>
      </c>
      <c r="K107" s="5" t="str">
        <f aca="false">IF(G107&lt;=0,"MISSING","")</f>
        <v/>
      </c>
      <c r="L107" s="5" t="str">
        <f aca="false">IF(D107="","MISSING","")</f>
        <v/>
      </c>
      <c r="M107" s="5" t="str">
        <f aca="false">IF(COUNTIF(B$2:B$263,B107)&gt;1,"DUPLICATE","")</f>
        <v/>
      </c>
    </row>
    <row r="108" customFormat="false" ht="15" hidden="false" customHeight="false" outlineLevel="0" collapsed="false">
      <c r="A108" s="5" t="n">
        <v>107</v>
      </c>
      <c r="B108" s="5" t="n">
        <v>12586</v>
      </c>
      <c r="C108" s="5" t="s">
        <v>220</v>
      </c>
      <c r="D108" s="5" t="s">
        <v>540</v>
      </c>
      <c r="E108" s="5" t="s">
        <v>104</v>
      </c>
      <c r="F108" s="10" t="n">
        <v>40.96</v>
      </c>
      <c r="G108" s="11" t="n">
        <v>6</v>
      </c>
      <c r="H108" s="11" t="n">
        <v>1</v>
      </c>
      <c r="I108" s="11" t="n">
        <v>24</v>
      </c>
      <c r="J108" s="5" t="str">
        <f aca="false">IF(F108=0,"MISSING","")</f>
        <v/>
      </c>
      <c r="K108" s="5" t="str">
        <f aca="false">IF(G108&lt;=0,"MISSING","")</f>
        <v/>
      </c>
      <c r="L108" s="5" t="str">
        <f aca="false">IF(D108="","MISSING","")</f>
        <v/>
      </c>
      <c r="M108" s="5" t="str">
        <f aca="false">IF(COUNTIF(B$2:B$263,B108)&gt;1,"DUPLICATE","")</f>
        <v/>
      </c>
    </row>
    <row r="109" customFormat="false" ht="15" hidden="false" customHeight="false" outlineLevel="0" collapsed="false">
      <c r="A109" s="5" t="n">
        <v>108</v>
      </c>
      <c r="B109" s="5" t="n">
        <v>12597</v>
      </c>
      <c r="C109" s="5" t="s">
        <v>222</v>
      </c>
      <c r="D109" s="5" t="s">
        <v>540</v>
      </c>
      <c r="E109" s="5" t="s">
        <v>104</v>
      </c>
      <c r="F109" s="10" t="n">
        <v>47.04</v>
      </c>
      <c r="G109" s="11" t="n">
        <v>6</v>
      </c>
      <c r="H109" s="11" t="n">
        <v>25</v>
      </c>
      <c r="I109" s="11" t="n">
        <v>13</v>
      </c>
      <c r="J109" s="5" t="str">
        <f aca="false">IF(F109=0,"MISSING","")</f>
        <v/>
      </c>
      <c r="K109" s="5" t="str">
        <f aca="false">IF(G109&lt;=0,"MISSING","")</f>
        <v/>
      </c>
      <c r="L109" s="5" t="str">
        <f aca="false">IF(D109="","MISSING","")</f>
        <v/>
      </c>
      <c r="M109" s="5" t="str">
        <f aca="false">IF(COUNTIF(B$2:B$263,B109)&gt;1,"DUPLICATE","")</f>
        <v/>
      </c>
    </row>
    <row r="110" customFormat="false" ht="15" hidden="false" customHeight="false" outlineLevel="0" collapsed="false">
      <c r="A110" s="5" t="n">
        <v>109</v>
      </c>
      <c r="B110" s="5" t="n">
        <v>19646</v>
      </c>
      <c r="C110" s="5" t="s">
        <v>223</v>
      </c>
      <c r="D110" s="5" t="s">
        <v>540</v>
      </c>
      <c r="E110" s="5" t="s">
        <v>104</v>
      </c>
      <c r="F110" s="10" t="n">
        <v>46.38</v>
      </c>
      <c r="G110" s="11" t="n">
        <v>6</v>
      </c>
      <c r="H110" s="11" t="n">
        <v>11</v>
      </c>
      <c r="I110" s="11" t="n">
        <v>2</v>
      </c>
      <c r="J110" s="5" t="str">
        <f aca="false">IF(F110=0,"MISSING","")</f>
        <v/>
      </c>
      <c r="K110" s="5" t="str">
        <f aca="false">IF(G110&lt;=0,"MISSING","")</f>
        <v/>
      </c>
      <c r="L110" s="5" t="str">
        <f aca="false">IF(D110="","MISSING","")</f>
        <v/>
      </c>
      <c r="M110" s="5" t="str">
        <f aca="false">IF(COUNTIF(B$2:B$263,B110)&gt;1,"DUPLICATE","")</f>
        <v/>
      </c>
    </row>
    <row r="111" customFormat="false" ht="15" hidden="false" customHeight="false" outlineLevel="0" collapsed="false">
      <c r="A111" s="5" t="n">
        <v>110</v>
      </c>
      <c r="B111" s="5" t="n">
        <v>19647</v>
      </c>
      <c r="C111" s="5" t="s">
        <v>224</v>
      </c>
      <c r="D111" s="5" t="s">
        <v>540</v>
      </c>
      <c r="E111" s="5" t="s">
        <v>104</v>
      </c>
      <c r="F111" s="10" t="n">
        <v>45.32</v>
      </c>
      <c r="G111" s="11" t="n">
        <v>6</v>
      </c>
      <c r="H111" s="11" t="n">
        <v>1</v>
      </c>
      <c r="I111" s="11" t="n">
        <v>1</v>
      </c>
      <c r="J111" s="5" t="str">
        <f aca="false">IF(F111=0,"MISSING","")</f>
        <v/>
      </c>
      <c r="K111" s="5" t="str">
        <f aca="false">IF(G111&lt;=0,"MISSING","")</f>
        <v/>
      </c>
      <c r="L111" s="5" t="str">
        <f aca="false">IF(D111="","MISSING","")</f>
        <v/>
      </c>
      <c r="M111" s="5" t="str">
        <f aca="false">IF(COUNTIF(B$2:B$263,B111)&gt;1,"DUPLICATE","")</f>
        <v/>
      </c>
    </row>
    <row r="112" customFormat="false" ht="15" hidden="false" customHeight="false" outlineLevel="0" collapsed="false">
      <c r="A112" s="5" t="n">
        <v>111</v>
      </c>
      <c r="B112" s="5" t="n">
        <v>24809</v>
      </c>
      <c r="C112" s="5" t="s">
        <v>225</v>
      </c>
      <c r="D112" s="5" t="s">
        <v>540</v>
      </c>
      <c r="E112" s="5" t="s">
        <v>226</v>
      </c>
      <c r="F112" s="10" t="n">
        <v>39.32</v>
      </c>
      <c r="G112" s="11" t="n">
        <v>6</v>
      </c>
      <c r="H112" s="11" t="n">
        <v>8</v>
      </c>
      <c r="I112" s="11" t="n">
        <v>5</v>
      </c>
      <c r="J112" s="5" t="str">
        <f aca="false">IF(F112=0,"MISSING","")</f>
        <v/>
      </c>
      <c r="K112" s="5" t="str">
        <f aca="false">IF(G112&lt;=0,"MISSING","")</f>
        <v/>
      </c>
      <c r="L112" s="5" t="str">
        <f aca="false">IF(D112="","MISSING","")</f>
        <v/>
      </c>
      <c r="M112" s="5" t="str">
        <f aca="false">IF(COUNTIF(B$2:B$263,B112)&gt;1,"DUPLICATE","")</f>
        <v/>
      </c>
    </row>
    <row r="113" customFormat="false" ht="15" hidden="false" customHeight="false" outlineLevel="0" collapsed="false">
      <c r="A113" s="5" t="n">
        <v>112</v>
      </c>
      <c r="B113" s="5" t="n">
        <v>24805</v>
      </c>
      <c r="C113" s="5" t="s">
        <v>227</v>
      </c>
      <c r="D113" s="5" t="s">
        <v>540</v>
      </c>
      <c r="E113" s="5" t="s">
        <v>226</v>
      </c>
      <c r="F113" s="10" t="n">
        <v>46.93</v>
      </c>
      <c r="G113" s="11" t="n">
        <v>6</v>
      </c>
      <c r="H113" s="11" t="n">
        <v>1</v>
      </c>
      <c r="I113" s="11" t="n">
        <v>1</v>
      </c>
      <c r="J113" s="5" t="str">
        <f aca="false">IF(F113=0,"MISSING","")</f>
        <v/>
      </c>
      <c r="K113" s="5" t="str">
        <f aca="false">IF(G113&lt;=0,"MISSING","")</f>
        <v/>
      </c>
      <c r="L113" s="5" t="str">
        <f aca="false">IF(D113="","MISSING","")</f>
        <v/>
      </c>
      <c r="M113" s="5" t="str">
        <f aca="false">IF(COUNTIF(B$2:B$263,B113)&gt;1,"DUPLICATE","")</f>
        <v/>
      </c>
    </row>
    <row r="114" customFormat="false" ht="15" hidden="false" customHeight="false" outlineLevel="0" collapsed="false">
      <c r="A114" s="5" t="n">
        <v>113</v>
      </c>
      <c r="B114" s="5" t="n">
        <v>19600</v>
      </c>
      <c r="C114" s="5" t="s">
        <v>228</v>
      </c>
      <c r="D114" s="5" t="s">
        <v>540</v>
      </c>
      <c r="E114" s="5" t="s">
        <v>104</v>
      </c>
      <c r="F114" s="10" t="n">
        <v>44.74</v>
      </c>
      <c r="G114" s="11" t="n">
        <v>6</v>
      </c>
      <c r="H114" s="11" t="n">
        <v>4</v>
      </c>
      <c r="I114" s="11" t="n">
        <v>1</v>
      </c>
      <c r="J114" s="5" t="str">
        <f aca="false">IF(F114=0,"MISSING","")</f>
        <v/>
      </c>
      <c r="K114" s="5" t="str">
        <f aca="false">IF(G114&lt;=0,"MISSING","")</f>
        <v/>
      </c>
      <c r="L114" s="5" t="str">
        <f aca="false">IF(D114="","MISSING","")</f>
        <v/>
      </c>
      <c r="M114" s="5" t="str">
        <f aca="false">IF(COUNTIF(B$2:B$263,B114)&gt;1,"DUPLICATE","")</f>
        <v/>
      </c>
    </row>
    <row r="115" customFormat="false" ht="15" hidden="false" customHeight="false" outlineLevel="0" collapsed="false">
      <c r="A115" s="5" t="n">
        <v>114</v>
      </c>
      <c r="B115" s="5" t="n">
        <v>24759</v>
      </c>
      <c r="C115" s="5" t="s">
        <v>229</v>
      </c>
      <c r="D115" s="5" t="s">
        <v>540</v>
      </c>
      <c r="E115" s="5" t="s">
        <v>104</v>
      </c>
      <c r="F115" s="10" t="n">
        <v>44.73</v>
      </c>
      <c r="G115" s="11" t="n">
        <v>6</v>
      </c>
      <c r="H115" s="11" t="n">
        <v>23</v>
      </c>
      <c r="I115" s="11" t="n">
        <v>0</v>
      </c>
      <c r="J115" s="5" t="str">
        <f aca="false">IF(F115=0,"MISSING","")</f>
        <v/>
      </c>
      <c r="K115" s="5" t="str">
        <f aca="false">IF(G115&lt;=0,"MISSING","")</f>
        <v/>
      </c>
      <c r="L115" s="5" t="str">
        <f aca="false">IF(D115="","MISSING","")</f>
        <v/>
      </c>
      <c r="M115" s="5" t="str">
        <f aca="false">IF(COUNTIF(B$2:B$263,B115)&gt;1,"DUPLICATE","")</f>
        <v/>
      </c>
    </row>
    <row r="116" customFormat="false" ht="15" hidden="false" customHeight="false" outlineLevel="0" collapsed="false">
      <c r="A116" s="5" t="n">
        <v>115</v>
      </c>
      <c r="B116" s="5" t="n">
        <v>19598</v>
      </c>
      <c r="C116" s="5" t="s">
        <v>230</v>
      </c>
      <c r="D116" s="5" t="s">
        <v>540</v>
      </c>
      <c r="E116" s="5" t="s">
        <v>104</v>
      </c>
      <c r="F116" s="10" t="n">
        <v>46.84</v>
      </c>
      <c r="G116" s="11" t="n">
        <v>6</v>
      </c>
      <c r="H116" s="11" t="n">
        <v>7</v>
      </c>
      <c r="I116" s="11" t="n">
        <v>4</v>
      </c>
      <c r="J116" s="5" t="str">
        <f aca="false">IF(F116=0,"MISSING","")</f>
        <v/>
      </c>
      <c r="K116" s="5" t="str">
        <f aca="false">IF(G116&lt;=0,"MISSING","")</f>
        <v/>
      </c>
      <c r="L116" s="5" t="str">
        <f aca="false">IF(D116="","MISSING","")</f>
        <v/>
      </c>
      <c r="M116" s="5" t="str">
        <f aca="false">IF(COUNTIF(B$2:B$263,B116)&gt;1,"DUPLICATE","")</f>
        <v/>
      </c>
    </row>
    <row r="117" customFormat="false" ht="15" hidden="false" customHeight="false" outlineLevel="0" collapsed="false">
      <c r="A117" s="5" t="n">
        <v>116</v>
      </c>
      <c r="B117" s="5" t="n">
        <v>12603</v>
      </c>
      <c r="C117" s="5" t="s">
        <v>231</v>
      </c>
      <c r="D117" s="5" t="s">
        <v>540</v>
      </c>
      <c r="E117" s="5" t="s">
        <v>104</v>
      </c>
      <c r="F117" s="10" t="n">
        <v>41.02</v>
      </c>
      <c r="G117" s="11" t="n">
        <v>6</v>
      </c>
      <c r="H117" s="11" t="n">
        <v>26</v>
      </c>
      <c r="I117" s="11" t="n">
        <v>0</v>
      </c>
      <c r="J117" s="5" t="str">
        <f aca="false">IF(F117=0,"MISSING","")</f>
        <v/>
      </c>
      <c r="K117" s="5" t="str">
        <f aca="false">IF(G117&lt;=0,"MISSING","")</f>
        <v/>
      </c>
      <c r="L117" s="5" t="str">
        <f aca="false">IF(D117="","MISSING","")</f>
        <v/>
      </c>
      <c r="M117" s="5" t="str">
        <f aca="false">IF(COUNTIF(B$2:B$263,B117)&gt;1,"DUPLICATE","")</f>
        <v/>
      </c>
    </row>
    <row r="118" customFormat="false" ht="15" hidden="false" customHeight="false" outlineLevel="0" collapsed="false">
      <c r="A118" s="5" t="n">
        <v>117</v>
      </c>
      <c r="B118" s="5" t="n">
        <v>24475</v>
      </c>
      <c r="C118" s="5" t="s">
        <v>232</v>
      </c>
      <c r="D118" s="5" t="s">
        <v>540</v>
      </c>
      <c r="E118" s="5" t="s">
        <v>104</v>
      </c>
      <c r="F118" s="10" t="n">
        <v>42.54</v>
      </c>
      <c r="G118" s="11" t="n">
        <v>6</v>
      </c>
      <c r="H118" s="11" t="n">
        <v>2</v>
      </c>
      <c r="I118" s="11" t="n">
        <v>19</v>
      </c>
      <c r="J118" s="5" t="str">
        <f aca="false">IF(F118=0,"MISSING","")</f>
        <v/>
      </c>
      <c r="K118" s="5" t="str">
        <f aca="false">IF(G118&lt;=0,"MISSING","")</f>
        <v/>
      </c>
      <c r="L118" s="5" t="str">
        <f aca="false">IF(D118="","MISSING","")</f>
        <v/>
      </c>
      <c r="M118" s="5" t="str">
        <f aca="false">IF(COUNTIF(B$2:B$263,B118)&gt;1,"DUPLICATE","")</f>
        <v/>
      </c>
    </row>
    <row r="119" customFormat="false" ht="15" hidden="false" customHeight="false" outlineLevel="0" collapsed="false">
      <c r="A119" s="5" t="n">
        <v>118</v>
      </c>
      <c r="B119" s="5" t="n">
        <v>12558</v>
      </c>
      <c r="C119" s="5" t="s">
        <v>233</v>
      </c>
      <c r="D119" s="5" t="s">
        <v>540</v>
      </c>
      <c r="E119" s="5" t="s">
        <v>104</v>
      </c>
      <c r="F119" s="10" t="n">
        <v>47.52</v>
      </c>
      <c r="G119" s="11" t="n">
        <v>6</v>
      </c>
      <c r="H119" s="11" t="n">
        <v>5</v>
      </c>
      <c r="I119" s="11" t="n">
        <v>6</v>
      </c>
      <c r="J119" s="5" t="str">
        <f aca="false">IF(F119=0,"MISSING","")</f>
        <v/>
      </c>
      <c r="K119" s="5" t="str">
        <f aca="false">IF(G119&lt;=0,"MISSING","")</f>
        <v/>
      </c>
      <c r="L119" s="5" t="str">
        <f aca="false">IF(D119="","MISSING","")</f>
        <v/>
      </c>
      <c r="M119" s="5" t="str">
        <f aca="false">IF(COUNTIF(B$2:B$263,B119)&gt;1,"DUPLICATE","")</f>
        <v/>
      </c>
    </row>
    <row r="120" customFormat="false" ht="15" hidden="false" customHeight="false" outlineLevel="0" collapsed="false">
      <c r="A120" s="5" t="n">
        <v>119</v>
      </c>
      <c r="B120" s="5" t="n">
        <v>12582</v>
      </c>
      <c r="C120" s="5" t="s">
        <v>234</v>
      </c>
      <c r="D120" s="5" t="s">
        <v>540</v>
      </c>
      <c r="E120" s="5" t="s">
        <v>104</v>
      </c>
      <c r="F120" s="10" t="n">
        <v>41.67</v>
      </c>
      <c r="G120" s="11" t="n">
        <v>6</v>
      </c>
      <c r="H120" s="11" t="n">
        <v>1</v>
      </c>
      <c r="I120" s="11" t="n">
        <v>11</v>
      </c>
      <c r="J120" s="5" t="str">
        <f aca="false">IF(F120=0,"MISSING","")</f>
        <v/>
      </c>
      <c r="K120" s="5" t="str">
        <f aca="false">IF(G120&lt;=0,"MISSING","")</f>
        <v/>
      </c>
      <c r="L120" s="5" t="str">
        <f aca="false">IF(D120="","MISSING","")</f>
        <v/>
      </c>
      <c r="M120" s="5" t="str">
        <f aca="false">IF(COUNTIF(B$2:B$263,B120)&gt;1,"DUPLICATE","")</f>
        <v/>
      </c>
    </row>
    <row r="121" customFormat="false" ht="15" hidden="false" customHeight="false" outlineLevel="0" collapsed="false">
      <c r="A121" s="5" t="n">
        <v>120</v>
      </c>
      <c r="B121" s="5" t="n">
        <v>24435</v>
      </c>
      <c r="C121" s="5" t="s">
        <v>235</v>
      </c>
      <c r="D121" s="5" t="s">
        <v>540</v>
      </c>
      <c r="E121" s="5" t="s">
        <v>104</v>
      </c>
      <c r="F121" s="10" t="n">
        <v>18.51</v>
      </c>
      <c r="G121" s="11" t="n">
        <v>6</v>
      </c>
      <c r="H121" s="11" t="n">
        <v>7</v>
      </c>
      <c r="I121" s="11" t="n">
        <v>3</v>
      </c>
      <c r="J121" s="5" t="str">
        <f aca="false">IF(F121=0,"MISSING","")</f>
        <v/>
      </c>
      <c r="K121" s="5" t="str">
        <f aca="false">IF(G121&lt;=0,"MISSING","")</f>
        <v/>
      </c>
      <c r="L121" s="5" t="str">
        <f aca="false">IF(D121="","MISSING","")</f>
        <v/>
      </c>
      <c r="M121" s="5" t="str">
        <f aca="false">IF(COUNTIF(B$2:B$263,B121)&gt;1,"DUPLICATE","")</f>
        <v/>
      </c>
    </row>
    <row r="122" customFormat="false" ht="15" hidden="false" customHeight="false" outlineLevel="0" collapsed="false">
      <c r="A122" s="5" t="n">
        <v>121</v>
      </c>
      <c r="B122" s="5" t="n">
        <v>24768</v>
      </c>
      <c r="C122" s="5" t="s">
        <v>236</v>
      </c>
      <c r="D122" s="5" t="s">
        <v>540</v>
      </c>
      <c r="E122" s="5" t="s">
        <v>104</v>
      </c>
      <c r="F122" s="10" t="n">
        <v>43.86</v>
      </c>
      <c r="G122" s="11" t="n">
        <v>6</v>
      </c>
      <c r="H122" s="11" t="n">
        <v>0</v>
      </c>
      <c r="I122" s="11" t="n">
        <v>11</v>
      </c>
      <c r="J122" s="5" t="str">
        <f aca="false">IF(F122=0,"MISSING","")</f>
        <v/>
      </c>
      <c r="K122" s="5" t="str">
        <f aca="false">IF(G122&lt;=0,"MISSING","")</f>
        <v/>
      </c>
      <c r="L122" s="5" t="str">
        <f aca="false">IF(D122="","MISSING","")</f>
        <v/>
      </c>
      <c r="M122" s="5" t="str">
        <f aca="false">IF(COUNTIF(B$2:B$263,B122)&gt;1,"DUPLICATE","")</f>
        <v/>
      </c>
    </row>
    <row r="123" customFormat="false" ht="15" hidden="false" customHeight="false" outlineLevel="0" collapsed="false">
      <c r="A123" s="5" t="n">
        <v>122</v>
      </c>
      <c r="B123" s="5" t="n">
        <v>24777</v>
      </c>
      <c r="C123" s="5" t="s">
        <v>237</v>
      </c>
      <c r="D123" s="5" t="s">
        <v>540</v>
      </c>
      <c r="E123" s="5" t="s">
        <v>104</v>
      </c>
      <c r="F123" s="10" t="n">
        <v>39.74</v>
      </c>
      <c r="G123" s="11" t="n">
        <v>6</v>
      </c>
      <c r="H123" s="11" t="n">
        <v>1</v>
      </c>
      <c r="I123" s="11" t="n">
        <v>5</v>
      </c>
      <c r="J123" s="5" t="str">
        <f aca="false">IF(F123=0,"MISSING","")</f>
        <v/>
      </c>
      <c r="K123" s="5" t="str">
        <f aca="false">IF(G123&lt;=0,"MISSING","")</f>
        <v/>
      </c>
      <c r="L123" s="5" t="str">
        <f aca="false">IF(D123="","MISSING","")</f>
        <v/>
      </c>
      <c r="M123" s="5" t="str">
        <f aca="false">IF(COUNTIF(B$2:B$263,B123)&gt;1,"DUPLICATE","")</f>
        <v/>
      </c>
    </row>
    <row r="124" customFormat="false" ht="15" hidden="false" customHeight="false" outlineLevel="0" collapsed="false">
      <c r="A124" s="5" t="n">
        <v>123</v>
      </c>
      <c r="B124" s="5" t="n">
        <v>24766</v>
      </c>
      <c r="C124" s="5" t="s">
        <v>238</v>
      </c>
      <c r="D124" s="5" t="s">
        <v>540</v>
      </c>
      <c r="E124" s="5" t="s">
        <v>104</v>
      </c>
      <c r="F124" s="10" t="n">
        <v>42.21</v>
      </c>
      <c r="G124" s="11" t="n">
        <v>6</v>
      </c>
      <c r="H124" s="11" t="n">
        <v>9</v>
      </c>
      <c r="I124" s="11" t="n">
        <v>0</v>
      </c>
      <c r="J124" s="5" t="str">
        <f aca="false">IF(F124=0,"MISSING","")</f>
        <v/>
      </c>
      <c r="K124" s="5" t="str">
        <f aca="false">IF(G124&lt;=0,"MISSING","")</f>
        <v/>
      </c>
      <c r="L124" s="5" t="str">
        <f aca="false">IF(D124="","MISSING","")</f>
        <v/>
      </c>
      <c r="M124" s="5" t="str">
        <f aca="false">IF(COUNTIF(B$2:B$263,B124)&gt;1,"DUPLICATE","")</f>
        <v/>
      </c>
    </row>
    <row r="125" customFormat="false" ht="15" hidden="false" customHeight="false" outlineLevel="0" collapsed="false">
      <c r="A125" s="5" t="n">
        <v>124</v>
      </c>
      <c r="B125" s="5" t="n">
        <v>12584</v>
      </c>
      <c r="C125" s="5" t="s">
        <v>239</v>
      </c>
      <c r="D125" s="5" t="s">
        <v>540</v>
      </c>
      <c r="E125" s="5" t="s">
        <v>104</v>
      </c>
      <c r="F125" s="10" t="n">
        <v>38.43</v>
      </c>
      <c r="G125" s="11" t="n">
        <v>6</v>
      </c>
      <c r="H125" s="11" t="n">
        <v>4</v>
      </c>
      <c r="I125" s="11" t="n">
        <v>1</v>
      </c>
      <c r="J125" s="5" t="str">
        <f aca="false">IF(F125=0,"MISSING","")</f>
        <v/>
      </c>
      <c r="K125" s="5" t="str">
        <f aca="false">IF(G125&lt;=0,"MISSING","")</f>
        <v/>
      </c>
      <c r="L125" s="5" t="str">
        <f aca="false">IF(D125="","MISSING","")</f>
        <v/>
      </c>
      <c r="M125" s="5" t="str">
        <f aca="false">IF(COUNTIF(B$2:B$263,B125)&gt;1,"DUPLICATE","")</f>
        <v/>
      </c>
    </row>
    <row r="126" customFormat="false" ht="15" hidden="false" customHeight="false" outlineLevel="0" collapsed="false">
      <c r="A126" s="5" t="n">
        <v>125</v>
      </c>
      <c r="B126" s="5" t="n">
        <v>24763</v>
      </c>
      <c r="C126" s="5" t="s">
        <v>240</v>
      </c>
      <c r="D126" s="5" t="s">
        <v>540</v>
      </c>
      <c r="E126" s="5" t="s">
        <v>104</v>
      </c>
      <c r="F126" s="10" t="n">
        <v>42.26</v>
      </c>
      <c r="G126" s="11" t="n">
        <v>6</v>
      </c>
      <c r="H126" s="11" t="n">
        <v>24</v>
      </c>
      <c r="I126" s="11" t="n">
        <v>1</v>
      </c>
      <c r="J126" s="5" t="str">
        <f aca="false">IF(F126=0,"MISSING","")</f>
        <v/>
      </c>
      <c r="K126" s="5" t="str">
        <f aca="false">IF(G126&lt;=0,"MISSING","")</f>
        <v/>
      </c>
      <c r="L126" s="5" t="str">
        <f aca="false">IF(D126="","MISSING","")</f>
        <v/>
      </c>
      <c r="M126" s="5" t="str">
        <f aca="false">IF(COUNTIF(B$2:B$263,B126)&gt;1,"DUPLICATE","")</f>
        <v/>
      </c>
    </row>
    <row r="127" customFormat="false" ht="15" hidden="false" customHeight="false" outlineLevel="0" collapsed="false">
      <c r="A127" s="5" t="n">
        <v>126</v>
      </c>
      <c r="B127" s="5" t="n">
        <v>24761</v>
      </c>
      <c r="C127" s="5" t="s">
        <v>241</v>
      </c>
      <c r="D127" s="5" t="s">
        <v>540</v>
      </c>
      <c r="E127" s="5" t="s">
        <v>104</v>
      </c>
      <c r="F127" s="10" t="n">
        <v>45.12</v>
      </c>
      <c r="G127" s="11" t="n">
        <v>6</v>
      </c>
      <c r="H127" s="11" t="n">
        <v>21</v>
      </c>
      <c r="I127" s="11" t="n">
        <v>2</v>
      </c>
      <c r="J127" s="5" t="str">
        <f aca="false">IF(F127=0,"MISSING","")</f>
        <v/>
      </c>
      <c r="K127" s="5" t="str">
        <f aca="false">IF(G127&lt;=0,"MISSING","")</f>
        <v/>
      </c>
      <c r="L127" s="5" t="str">
        <f aca="false">IF(D127="","MISSING","")</f>
        <v/>
      </c>
      <c r="M127" s="5" t="str">
        <f aca="false">IF(COUNTIF(B$2:B$263,B127)&gt;1,"DUPLICATE","")</f>
        <v/>
      </c>
    </row>
    <row r="128" customFormat="false" ht="15" hidden="false" customHeight="false" outlineLevel="0" collapsed="false">
      <c r="A128" s="5" t="n">
        <v>127</v>
      </c>
      <c r="B128" s="5" t="n">
        <v>24822</v>
      </c>
      <c r="C128" s="5" t="s">
        <v>242</v>
      </c>
      <c r="D128" s="5" t="s">
        <v>540</v>
      </c>
      <c r="E128" s="5" t="s">
        <v>226</v>
      </c>
      <c r="F128" s="10" t="n">
        <v>45.02</v>
      </c>
      <c r="G128" s="11" t="n">
        <v>6</v>
      </c>
      <c r="H128" s="11" t="n">
        <v>5</v>
      </c>
      <c r="I128" s="11" t="n">
        <v>1</v>
      </c>
      <c r="J128" s="5" t="str">
        <f aca="false">IF(F128=0,"MISSING","")</f>
        <v/>
      </c>
      <c r="K128" s="5" t="str">
        <f aca="false">IF(G128&lt;=0,"MISSING","")</f>
        <v/>
      </c>
      <c r="L128" s="5" t="str">
        <f aca="false">IF(D128="","MISSING","")</f>
        <v/>
      </c>
      <c r="M128" s="5" t="str">
        <f aca="false">IF(COUNTIF(B$2:B$263,B128)&gt;1,"DUPLICATE","")</f>
        <v/>
      </c>
    </row>
    <row r="129" customFormat="false" ht="15" hidden="false" customHeight="false" outlineLevel="0" collapsed="false">
      <c r="A129" s="5" t="n">
        <v>128</v>
      </c>
      <c r="B129" s="5" t="n">
        <v>19648</v>
      </c>
      <c r="C129" s="5" t="s">
        <v>243</v>
      </c>
      <c r="D129" s="5" t="s">
        <v>540</v>
      </c>
      <c r="E129" s="5" t="s">
        <v>104</v>
      </c>
      <c r="F129" s="10" t="n">
        <v>45.3</v>
      </c>
      <c r="G129" s="11" t="n">
        <v>6</v>
      </c>
      <c r="H129" s="11" t="n">
        <v>1</v>
      </c>
      <c r="I129" s="11" t="n">
        <v>3</v>
      </c>
      <c r="J129" s="5" t="str">
        <f aca="false">IF(F129=0,"MISSING","")</f>
        <v/>
      </c>
      <c r="K129" s="5" t="str">
        <f aca="false">IF(G129&lt;=0,"MISSING","")</f>
        <v/>
      </c>
      <c r="L129" s="5" t="str">
        <f aca="false">IF(D129="","MISSING","")</f>
        <v/>
      </c>
      <c r="M129" s="5" t="str">
        <f aca="false">IF(COUNTIF(B$2:B$263,B129)&gt;1,"DUPLICATE","")</f>
        <v/>
      </c>
    </row>
    <row r="130" customFormat="false" ht="15" hidden="false" customHeight="false" outlineLevel="0" collapsed="false">
      <c r="A130" s="5" t="n">
        <v>129</v>
      </c>
      <c r="B130" s="5" t="n">
        <v>24762</v>
      </c>
      <c r="C130" s="5" t="s">
        <v>245</v>
      </c>
      <c r="D130" s="5" t="s">
        <v>540</v>
      </c>
      <c r="E130" s="5" t="s">
        <v>104</v>
      </c>
      <c r="F130" s="10" t="n">
        <v>38.91</v>
      </c>
      <c r="G130" s="11" t="n">
        <v>6</v>
      </c>
      <c r="H130" s="11" t="n">
        <v>8</v>
      </c>
      <c r="I130" s="11" t="n">
        <v>0</v>
      </c>
      <c r="J130" s="5" t="str">
        <f aca="false">IF(F130=0,"MISSING","")</f>
        <v/>
      </c>
      <c r="K130" s="5" t="str">
        <f aca="false">IF(G130&lt;=0,"MISSING","")</f>
        <v/>
      </c>
      <c r="L130" s="5" t="str">
        <f aca="false">IF(D130="","MISSING","")</f>
        <v/>
      </c>
      <c r="M130" s="5" t="str">
        <f aca="false">IF(COUNTIF(B$2:B$263,B130)&gt;1,"DUPLICATE","")</f>
        <v/>
      </c>
    </row>
    <row r="131" customFormat="false" ht="15" hidden="false" customHeight="false" outlineLevel="0" collapsed="false">
      <c r="A131" s="5" t="n">
        <v>130</v>
      </c>
      <c r="B131" s="5" t="n">
        <v>19649</v>
      </c>
      <c r="C131" s="5" t="s">
        <v>246</v>
      </c>
      <c r="D131" s="5" t="s">
        <v>540</v>
      </c>
      <c r="E131" s="5" t="s">
        <v>104</v>
      </c>
      <c r="F131" s="10" t="n">
        <v>43.62</v>
      </c>
      <c r="G131" s="11" t="n">
        <v>6</v>
      </c>
      <c r="H131" s="11" t="n">
        <v>5</v>
      </c>
      <c r="I131" s="11" t="n">
        <v>1</v>
      </c>
      <c r="J131" s="5" t="str">
        <f aca="false">IF(F131=0,"MISSING","")</f>
        <v/>
      </c>
      <c r="K131" s="5" t="str">
        <f aca="false">IF(G131&lt;=0,"MISSING","")</f>
        <v/>
      </c>
      <c r="L131" s="5" t="str">
        <f aca="false">IF(D131="","MISSING","")</f>
        <v/>
      </c>
      <c r="M131" s="5" t="str">
        <f aca="false">IF(COUNTIF(B$2:B$263,B131)&gt;1,"DUPLICATE","")</f>
        <v/>
      </c>
    </row>
    <row r="132" customFormat="false" ht="15" hidden="false" customHeight="false" outlineLevel="0" collapsed="false">
      <c r="A132" s="5" t="n">
        <v>131</v>
      </c>
      <c r="B132" s="5" t="n">
        <v>19594</v>
      </c>
      <c r="C132" s="5" t="s">
        <v>247</v>
      </c>
      <c r="D132" s="5" t="s">
        <v>540</v>
      </c>
      <c r="E132" s="5" t="s">
        <v>104</v>
      </c>
      <c r="F132" s="10" t="n">
        <v>38.51</v>
      </c>
      <c r="G132" s="11" t="n">
        <v>6</v>
      </c>
      <c r="H132" s="11" t="n">
        <v>16</v>
      </c>
      <c r="I132" s="11" t="n">
        <v>2</v>
      </c>
      <c r="J132" s="5" t="str">
        <f aca="false">IF(F132=0,"MISSING","")</f>
        <v/>
      </c>
      <c r="K132" s="5" t="str">
        <f aca="false">IF(G132&lt;=0,"MISSING","")</f>
        <v/>
      </c>
      <c r="L132" s="5" t="str">
        <f aca="false">IF(D132="","MISSING","")</f>
        <v/>
      </c>
      <c r="M132" s="5" t="str">
        <f aca="false">IF(COUNTIF(B$2:B$263,B132)&gt;1,"DUPLICATE","")</f>
        <v/>
      </c>
    </row>
    <row r="133" customFormat="false" ht="15" hidden="false" customHeight="false" outlineLevel="0" collapsed="false">
      <c r="A133" s="5" t="n">
        <v>132</v>
      </c>
      <c r="B133" s="5" t="n">
        <v>24434</v>
      </c>
      <c r="C133" s="5" t="s">
        <v>248</v>
      </c>
      <c r="D133" s="5" t="s">
        <v>540</v>
      </c>
      <c r="E133" s="5" t="s">
        <v>104</v>
      </c>
      <c r="F133" s="10" t="n">
        <v>41.5</v>
      </c>
      <c r="G133" s="11" t="n">
        <v>6</v>
      </c>
      <c r="H133" s="11" t="n">
        <v>10</v>
      </c>
      <c r="I133" s="11" t="n">
        <v>6</v>
      </c>
      <c r="J133" s="5" t="str">
        <f aca="false">IF(F133=0,"MISSING","")</f>
        <v/>
      </c>
      <c r="K133" s="5" t="str">
        <f aca="false">IF(G133&lt;=0,"MISSING","")</f>
        <v/>
      </c>
      <c r="L133" s="5" t="str">
        <f aca="false">IF(D133="","MISSING","")</f>
        <v/>
      </c>
      <c r="M133" s="5" t="str">
        <f aca="false">IF(COUNTIF(B$2:B$263,B133)&gt;1,"DUPLICATE","")</f>
        <v/>
      </c>
    </row>
    <row r="134" customFormat="false" ht="15" hidden="false" customHeight="false" outlineLevel="0" collapsed="false">
      <c r="A134" s="5" t="n">
        <v>133</v>
      </c>
      <c r="B134" s="5" t="n">
        <v>19651</v>
      </c>
      <c r="C134" s="5" t="s">
        <v>249</v>
      </c>
      <c r="D134" s="5" t="s">
        <v>540</v>
      </c>
      <c r="E134" s="5" t="s">
        <v>104</v>
      </c>
      <c r="F134" s="10" t="n">
        <v>45.67</v>
      </c>
      <c r="G134" s="11" t="n">
        <v>6</v>
      </c>
      <c r="H134" s="11" t="n">
        <v>28</v>
      </c>
      <c r="I134" s="11" t="n">
        <v>25</v>
      </c>
      <c r="J134" s="5" t="str">
        <f aca="false">IF(F134=0,"MISSING","")</f>
        <v/>
      </c>
      <c r="K134" s="5" t="str">
        <f aca="false">IF(G134&lt;=0,"MISSING","")</f>
        <v/>
      </c>
      <c r="L134" s="5" t="str">
        <f aca="false">IF(D134="","MISSING","")</f>
        <v/>
      </c>
      <c r="M134" s="5" t="str">
        <f aca="false">IF(COUNTIF(B$2:B$263,B134)&gt;1,"DUPLICATE","")</f>
        <v/>
      </c>
    </row>
    <row r="135" customFormat="false" ht="15" hidden="false" customHeight="false" outlineLevel="0" collapsed="false">
      <c r="A135" s="5" t="n">
        <v>134</v>
      </c>
      <c r="B135" s="5" t="n">
        <v>19652</v>
      </c>
      <c r="C135" s="5" t="s">
        <v>250</v>
      </c>
      <c r="D135" s="5" t="s">
        <v>540</v>
      </c>
      <c r="E135" s="5" t="s">
        <v>104</v>
      </c>
      <c r="F135" s="10" t="n">
        <v>38.29</v>
      </c>
      <c r="G135" s="11" t="n">
        <v>6</v>
      </c>
      <c r="H135" s="11" t="n">
        <v>17</v>
      </c>
      <c r="I135" s="11" t="n">
        <v>0</v>
      </c>
      <c r="J135" s="5" t="str">
        <f aca="false">IF(F135=0,"MISSING","")</f>
        <v/>
      </c>
      <c r="K135" s="5" t="str">
        <f aca="false">IF(G135&lt;=0,"MISSING","")</f>
        <v/>
      </c>
      <c r="L135" s="5" t="str">
        <f aca="false">IF(D135="","MISSING","")</f>
        <v/>
      </c>
      <c r="M135" s="5" t="str">
        <f aca="false">IF(COUNTIF(B$2:B$263,B135)&gt;1,"DUPLICATE","")</f>
        <v/>
      </c>
    </row>
    <row r="136" customFormat="false" ht="15" hidden="false" customHeight="false" outlineLevel="0" collapsed="false">
      <c r="A136" s="5" t="n">
        <v>135</v>
      </c>
      <c r="B136" s="5" t="n">
        <v>24775</v>
      </c>
      <c r="C136" s="5" t="s">
        <v>251</v>
      </c>
      <c r="D136" s="5" t="s">
        <v>540</v>
      </c>
      <c r="E136" s="5" t="s">
        <v>104</v>
      </c>
      <c r="F136" s="10" t="n">
        <v>46.82</v>
      </c>
      <c r="G136" s="11" t="n">
        <v>6</v>
      </c>
      <c r="H136" s="11" t="n">
        <v>6</v>
      </c>
      <c r="I136" s="11" t="n">
        <v>4</v>
      </c>
      <c r="J136" s="5" t="str">
        <f aca="false">IF(F136=0,"MISSING","")</f>
        <v/>
      </c>
      <c r="K136" s="5" t="str">
        <f aca="false">IF(G136&lt;=0,"MISSING","")</f>
        <v/>
      </c>
      <c r="L136" s="5" t="str">
        <f aca="false">IF(D136="","MISSING","")</f>
        <v/>
      </c>
      <c r="M136" s="5" t="str">
        <f aca="false">IF(COUNTIF(B$2:B$263,B136)&gt;1,"DUPLICATE","")</f>
        <v/>
      </c>
    </row>
    <row r="137" customFormat="false" ht="15" hidden="false" customHeight="false" outlineLevel="0" collapsed="false">
      <c r="A137" s="5" t="n">
        <v>136</v>
      </c>
      <c r="B137" s="5" t="n">
        <v>50346</v>
      </c>
      <c r="C137" s="5" t="s">
        <v>253</v>
      </c>
      <c r="D137" s="5" t="s">
        <v>537</v>
      </c>
      <c r="E137" s="5" t="s">
        <v>104</v>
      </c>
      <c r="F137" s="10" t="n">
        <v>38.97</v>
      </c>
      <c r="G137" s="11" t="n">
        <v>1</v>
      </c>
      <c r="H137" s="11" t="n">
        <v>16</v>
      </c>
      <c r="I137" s="11" t="n">
        <v>0</v>
      </c>
      <c r="J137" s="5" t="str">
        <f aca="false">IF(F137=0,"MISSING","")</f>
        <v/>
      </c>
      <c r="K137" s="5" t="str">
        <f aca="false">IF(G137&lt;=0,"MISSING","")</f>
        <v/>
      </c>
      <c r="L137" s="5" t="str">
        <f aca="false">IF(D137="","MISSING","")</f>
        <v/>
      </c>
      <c r="M137" s="5" t="str">
        <f aca="false">IF(COUNTIF(B$2:B$263,B137)&gt;1,"DUPLICATE","")</f>
        <v/>
      </c>
    </row>
    <row r="138" customFormat="false" ht="15" hidden="false" customHeight="false" outlineLevel="0" collapsed="false">
      <c r="A138" s="5" t="n">
        <v>137</v>
      </c>
      <c r="B138" s="5" t="n">
        <v>50335</v>
      </c>
      <c r="C138" s="5" t="s">
        <v>255</v>
      </c>
      <c r="D138" s="5" t="s">
        <v>537</v>
      </c>
      <c r="E138" s="5" t="s">
        <v>104</v>
      </c>
      <c r="F138" s="10" t="n">
        <v>34.39</v>
      </c>
      <c r="G138" s="11" t="n">
        <v>10</v>
      </c>
      <c r="H138" s="11" t="n">
        <v>35</v>
      </c>
      <c r="I138" s="11" t="n">
        <v>1</v>
      </c>
      <c r="J138" s="5" t="str">
        <f aca="false">IF(F138=0,"MISSING","")</f>
        <v/>
      </c>
      <c r="K138" s="5" t="str">
        <f aca="false">IF(G138&lt;=0,"MISSING","")</f>
        <v/>
      </c>
      <c r="L138" s="5" t="str">
        <f aca="false">IF(D138="","MISSING","")</f>
        <v/>
      </c>
      <c r="M138" s="5" t="str">
        <f aca="false">IF(COUNTIF(B$2:B$263,B138)&gt;1,"DUPLICATE","")</f>
        <v/>
      </c>
    </row>
    <row r="139" customFormat="false" ht="15" hidden="false" customHeight="false" outlineLevel="0" collapsed="false">
      <c r="A139" s="5" t="n">
        <v>138</v>
      </c>
      <c r="B139" s="5" t="n">
        <v>34437</v>
      </c>
      <c r="C139" s="5" t="s">
        <v>256</v>
      </c>
      <c r="D139" s="5" t="s">
        <v>537</v>
      </c>
      <c r="E139" s="5" t="s">
        <v>257</v>
      </c>
      <c r="F139" s="10" t="n">
        <v>32.23</v>
      </c>
      <c r="G139" s="11" t="n">
        <v>1</v>
      </c>
      <c r="H139" s="11" t="n">
        <v>5</v>
      </c>
      <c r="I139" s="11" t="n">
        <v>6</v>
      </c>
      <c r="J139" s="5" t="str">
        <f aca="false">IF(F139=0,"MISSING","")</f>
        <v/>
      </c>
      <c r="K139" s="5" t="str">
        <f aca="false">IF(G139&lt;=0,"MISSING","")</f>
        <v/>
      </c>
      <c r="L139" s="5" t="str">
        <f aca="false">IF(D139="","MISSING","")</f>
        <v/>
      </c>
      <c r="M139" s="5" t="str">
        <f aca="false">IF(COUNTIF(B$2:B$263,B139)&gt;1,"DUPLICATE","")</f>
        <v/>
      </c>
    </row>
    <row r="140" customFormat="false" ht="15" hidden="false" customHeight="false" outlineLevel="0" collapsed="false">
      <c r="A140" s="5" t="n">
        <v>139</v>
      </c>
      <c r="B140" s="5" t="n">
        <v>50332</v>
      </c>
      <c r="C140" s="5" t="s">
        <v>259</v>
      </c>
      <c r="D140" s="5" t="s">
        <v>537</v>
      </c>
      <c r="E140" s="5" t="s">
        <v>260</v>
      </c>
      <c r="F140" s="10" t="n">
        <v>38.63</v>
      </c>
      <c r="G140" s="11" t="n">
        <v>1</v>
      </c>
      <c r="H140" s="11" t="n">
        <v>2</v>
      </c>
      <c r="I140" s="11" t="n">
        <v>1</v>
      </c>
      <c r="J140" s="5" t="str">
        <f aca="false">IF(F140=0,"MISSING","")</f>
        <v/>
      </c>
      <c r="K140" s="5" t="str">
        <f aca="false">IF(G140&lt;=0,"MISSING","")</f>
        <v/>
      </c>
      <c r="L140" s="5" t="str">
        <f aca="false">IF(D140="","MISSING","")</f>
        <v/>
      </c>
      <c r="M140" s="5" t="str">
        <f aca="false">IF(COUNTIF(B$2:B$263,B140)&gt;1,"DUPLICATE","")</f>
        <v/>
      </c>
    </row>
    <row r="141" customFormat="false" ht="15" hidden="false" customHeight="false" outlineLevel="0" collapsed="false">
      <c r="A141" s="5" t="n">
        <v>140</v>
      </c>
      <c r="B141" s="5" t="n">
        <v>14929</v>
      </c>
      <c r="C141" s="5" t="s">
        <v>262</v>
      </c>
      <c r="D141" s="5" t="s">
        <v>552</v>
      </c>
      <c r="E141" s="5" t="s">
        <v>263</v>
      </c>
      <c r="F141" s="10" t="n">
        <v>39.85</v>
      </c>
      <c r="G141" s="11" t="n">
        <v>24</v>
      </c>
      <c r="H141" s="11" t="n">
        <v>1</v>
      </c>
      <c r="I141" s="11" t="n">
        <v>3</v>
      </c>
      <c r="J141" s="5" t="str">
        <f aca="false">IF(F141=0,"MISSING","")</f>
        <v/>
      </c>
      <c r="K141" s="5" t="str">
        <f aca="false">IF(G141&lt;=0,"MISSING","")</f>
        <v/>
      </c>
      <c r="L141" s="5" t="str">
        <f aca="false">IF(D141="","MISSING","")</f>
        <v/>
      </c>
      <c r="M141" s="5" t="str">
        <f aca="false">IF(COUNTIF(B$2:B$263,B141)&gt;1,"DUPLICATE","")</f>
        <v/>
      </c>
    </row>
    <row r="142" customFormat="false" ht="15" hidden="false" customHeight="false" outlineLevel="0" collapsed="false">
      <c r="A142" s="5" t="n">
        <v>141</v>
      </c>
      <c r="B142" s="5" t="n">
        <v>61647</v>
      </c>
      <c r="C142" s="5" t="s">
        <v>265</v>
      </c>
      <c r="D142" s="5" t="s">
        <v>552</v>
      </c>
      <c r="E142" s="5" t="s">
        <v>266</v>
      </c>
      <c r="F142" s="10" t="n">
        <v>31.05</v>
      </c>
      <c r="G142" s="11" t="n">
        <v>1</v>
      </c>
      <c r="H142" s="11" t="n">
        <v>7</v>
      </c>
      <c r="I142" s="11" t="n">
        <v>4</v>
      </c>
      <c r="J142" s="5" t="str">
        <f aca="false">IF(F142=0,"MISSING","")</f>
        <v/>
      </c>
      <c r="K142" s="5" t="str">
        <f aca="false">IF(G142&lt;=0,"MISSING","")</f>
        <v/>
      </c>
      <c r="L142" s="5" t="str">
        <f aca="false">IF(D142="","MISSING","")</f>
        <v/>
      </c>
      <c r="M142" s="5" t="str">
        <f aca="false">IF(COUNTIF(B$2:B$263,B142)&gt;1,"DUPLICATE","")</f>
        <v/>
      </c>
    </row>
    <row r="143" customFormat="false" ht="15" hidden="false" customHeight="false" outlineLevel="0" collapsed="false">
      <c r="A143" s="5" t="n">
        <v>142</v>
      </c>
      <c r="B143" s="5" t="n">
        <v>23656</v>
      </c>
      <c r="C143" s="5" t="s">
        <v>268</v>
      </c>
      <c r="D143" s="5" t="s">
        <v>552</v>
      </c>
      <c r="E143" s="5" t="s">
        <v>269</v>
      </c>
      <c r="F143" s="10" t="n">
        <v>55.43</v>
      </c>
      <c r="G143" s="11" t="n">
        <v>1</v>
      </c>
      <c r="H143" s="11" t="n">
        <v>1</v>
      </c>
      <c r="I143" s="11" t="n">
        <v>3</v>
      </c>
      <c r="J143" s="5" t="str">
        <f aca="false">IF(F143=0,"MISSING","")</f>
        <v/>
      </c>
      <c r="K143" s="5" t="str">
        <f aca="false">IF(G143&lt;=0,"MISSING","")</f>
        <v/>
      </c>
      <c r="L143" s="5" t="str">
        <f aca="false">IF(D143="","MISSING","")</f>
        <v/>
      </c>
      <c r="M143" s="5" t="str">
        <f aca="false">IF(COUNTIF(B$2:B$263,B143)&gt;1,"DUPLICATE","")</f>
        <v/>
      </c>
    </row>
    <row r="144" customFormat="false" ht="15" hidden="false" customHeight="false" outlineLevel="0" collapsed="false">
      <c r="A144" s="5" t="n">
        <v>143</v>
      </c>
      <c r="B144" s="5" t="n">
        <v>61654</v>
      </c>
      <c r="C144" s="5" t="s">
        <v>271</v>
      </c>
      <c r="D144" s="5" t="s">
        <v>552</v>
      </c>
      <c r="E144" s="5" t="s">
        <v>272</v>
      </c>
      <c r="F144" s="10" t="n">
        <v>20.63</v>
      </c>
      <c r="G144" s="11" t="n">
        <v>2</v>
      </c>
      <c r="H144" s="11" t="n">
        <v>0</v>
      </c>
      <c r="I144" s="11" t="n">
        <v>0</v>
      </c>
      <c r="J144" s="5" t="str">
        <f aca="false">IF(F144=0,"MISSING","")</f>
        <v/>
      </c>
      <c r="K144" s="5" t="str">
        <f aca="false">IF(G144&lt;=0,"MISSING","")</f>
        <v/>
      </c>
      <c r="L144" s="5" t="str">
        <f aca="false">IF(D144="","MISSING","")</f>
        <v/>
      </c>
      <c r="M144" s="5" t="str">
        <f aca="false">IF(COUNTIF(B$2:B$263,B144)&gt;1,"DUPLICATE","")</f>
        <v/>
      </c>
    </row>
    <row r="145" customFormat="false" ht="15" hidden="false" customHeight="false" outlineLevel="0" collapsed="false">
      <c r="A145" s="5" t="n">
        <v>144</v>
      </c>
      <c r="B145" s="5" t="n">
        <v>14624</v>
      </c>
      <c r="C145" s="5" t="s">
        <v>274</v>
      </c>
      <c r="D145" s="5" t="s">
        <v>552</v>
      </c>
      <c r="E145" s="5" t="s">
        <v>275</v>
      </c>
      <c r="F145" s="10" t="n">
        <v>49.46</v>
      </c>
      <c r="G145" s="11" t="n">
        <v>1</v>
      </c>
      <c r="H145" s="11" t="n">
        <v>10</v>
      </c>
      <c r="I145" s="11" t="n">
        <v>0</v>
      </c>
      <c r="J145" s="5" t="str">
        <f aca="false">IF(F145=0,"MISSING","")</f>
        <v/>
      </c>
      <c r="K145" s="5" t="str">
        <f aca="false">IF(G145&lt;=0,"MISSING","")</f>
        <v/>
      </c>
      <c r="L145" s="5" t="str">
        <f aca="false">IF(D145="","MISSING","")</f>
        <v/>
      </c>
      <c r="M145" s="5" t="str">
        <f aca="false">IF(COUNTIF(B$2:B$263,B145)&gt;1,"DUPLICATE","")</f>
        <v/>
      </c>
    </row>
    <row r="146" customFormat="false" ht="15" hidden="false" customHeight="false" outlineLevel="0" collapsed="false">
      <c r="A146" s="5" t="n">
        <v>145</v>
      </c>
      <c r="B146" s="5" t="n">
        <v>11692</v>
      </c>
      <c r="C146" s="5" t="s">
        <v>276</v>
      </c>
      <c r="D146" s="5" t="s">
        <v>552</v>
      </c>
      <c r="E146" s="5" t="s">
        <v>277</v>
      </c>
      <c r="F146" s="10" t="n">
        <v>62.22</v>
      </c>
      <c r="G146" s="11" t="n">
        <v>4</v>
      </c>
      <c r="H146" s="11" t="n">
        <v>1</v>
      </c>
      <c r="I146" s="11" t="n">
        <v>1</v>
      </c>
      <c r="J146" s="5" t="str">
        <f aca="false">IF(F146=0,"MISSING","")</f>
        <v/>
      </c>
      <c r="K146" s="5" t="str">
        <f aca="false">IF(G146&lt;=0,"MISSING","")</f>
        <v/>
      </c>
      <c r="L146" s="5" t="str">
        <f aca="false">IF(D146="","MISSING","")</f>
        <v/>
      </c>
      <c r="M146" s="5" t="str">
        <f aca="false">IF(COUNTIF(B$2:B$263,B146)&gt;1,"DUPLICATE","")</f>
        <v/>
      </c>
    </row>
    <row r="147" customFormat="false" ht="15" hidden="false" customHeight="false" outlineLevel="0" collapsed="false">
      <c r="A147" s="5" t="n">
        <v>146</v>
      </c>
      <c r="B147" s="5" t="n">
        <v>62812</v>
      </c>
      <c r="C147" s="5" t="s">
        <v>279</v>
      </c>
      <c r="D147" s="5" t="s">
        <v>552</v>
      </c>
      <c r="E147" s="5" t="s">
        <v>280</v>
      </c>
      <c r="F147" s="10" t="n">
        <v>16.6</v>
      </c>
      <c r="G147" s="11" t="n">
        <v>4</v>
      </c>
      <c r="H147" s="11" t="n">
        <v>6</v>
      </c>
      <c r="I147" s="11" t="n">
        <v>0</v>
      </c>
      <c r="J147" s="5" t="str">
        <f aca="false">IF(F147=0,"MISSING","")</f>
        <v/>
      </c>
      <c r="K147" s="5" t="str">
        <f aca="false">IF(G147&lt;=0,"MISSING","")</f>
        <v/>
      </c>
      <c r="L147" s="5" t="str">
        <f aca="false">IF(D147="","MISSING","")</f>
        <v/>
      </c>
      <c r="M147" s="5" t="str">
        <f aca="false">IF(COUNTIF(B$2:B$263,B147)&gt;1,"DUPLICATE","")</f>
        <v/>
      </c>
    </row>
    <row r="148" customFormat="false" ht="15" hidden="false" customHeight="false" outlineLevel="0" collapsed="false">
      <c r="A148" s="5" t="n">
        <v>147</v>
      </c>
      <c r="B148" s="5" t="n">
        <v>44503</v>
      </c>
      <c r="C148" s="5" t="s">
        <v>282</v>
      </c>
      <c r="D148" s="5" t="s">
        <v>552</v>
      </c>
      <c r="E148" s="5" t="s">
        <v>283</v>
      </c>
      <c r="F148" s="10" t="n">
        <v>33.76</v>
      </c>
      <c r="G148" s="11" t="n">
        <v>10</v>
      </c>
      <c r="H148" s="11" t="n">
        <v>2</v>
      </c>
      <c r="I148" s="11" t="n">
        <v>4</v>
      </c>
      <c r="J148" s="5" t="str">
        <f aca="false">IF(F148=0,"MISSING","")</f>
        <v/>
      </c>
      <c r="K148" s="5" t="str">
        <f aca="false">IF(G148&lt;=0,"MISSING","")</f>
        <v/>
      </c>
      <c r="L148" s="5" t="str">
        <f aca="false">IF(D148="","MISSING","")</f>
        <v/>
      </c>
      <c r="M148" s="5" t="str">
        <f aca="false">IF(COUNTIF(B$2:B$263,B148)&gt;1,"DUPLICATE","")</f>
        <v/>
      </c>
    </row>
    <row r="149" customFormat="false" ht="15" hidden="false" customHeight="false" outlineLevel="0" collapsed="false">
      <c r="A149" s="5" t="n">
        <v>148</v>
      </c>
      <c r="B149" s="5" t="n">
        <v>37163</v>
      </c>
      <c r="C149" s="5" t="s">
        <v>285</v>
      </c>
      <c r="D149" s="5" t="s">
        <v>552</v>
      </c>
      <c r="E149" s="5" t="s">
        <v>286</v>
      </c>
      <c r="F149" s="10" t="n">
        <v>3.89</v>
      </c>
      <c r="G149" s="11" t="n">
        <v>1</v>
      </c>
      <c r="H149" s="11" t="n">
        <v>4</v>
      </c>
      <c r="I149" s="11" t="n">
        <v>0</v>
      </c>
      <c r="J149" s="5" t="str">
        <f aca="false">IF(F149=0,"MISSING","")</f>
        <v/>
      </c>
      <c r="K149" s="5" t="str">
        <f aca="false">IF(G149&lt;=0,"MISSING","")</f>
        <v/>
      </c>
      <c r="L149" s="5" t="str">
        <f aca="false">IF(D149="","MISSING","")</f>
        <v/>
      </c>
      <c r="M149" s="5" t="str">
        <f aca="false">IF(COUNTIF(B$2:B$263,B149)&gt;1,"DUPLICATE","")</f>
        <v/>
      </c>
    </row>
    <row r="150" customFormat="false" ht="15" hidden="false" customHeight="false" outlineLevel="0" collapsed="false">
      <c r="A150" s="5" t="n">
        <v>149</v>
      </c>
      <c r="B150" s="5" t="n">
        <v>32978</v>
      </c>
      <c r="C150" s="5" t="s">
        <v>287</v>
      </c>
      <c r="D150" s="5" t="s">
        <v>552</v>
      </c>
      <c r="E150" s="5" t="s">
        <v>266</v>
      </c>
      <c r="F150" s="10" t="n">
        <v>16.6</v>
      </c>
      <c r="G150" s="11" t="n">
        <v>1</v>
      </c>
      <c r="H150" s="11" t="n">
        <v>3</v>
      </c>
      <c r="I150" s="11" t="n">
        <v>6</v>
      </c>
      <c r="J150" s="5" t="str">
        <f aca="false">IF(F150=0,"MISSING","")</f>
        <v/>
      </c>
      <c r="K150" s="5" t="str">
        <f aca="false">IF(G150&lt;=0,"MISSING","")</f>
        <v/>
      </c>
      <c r="L150" s="5" t="str">
        <f aca="false">IF(D150="","MISSING","")</f>
        <v/>
      </c>
      <c r="M150" s="5" t="str">
        <f aca="false">IF(COUNTIF(B$2:B$263,B150)&gt;1,"DUPLICATE","")</f>
        <v/>
      </c>
    </row>
    <row r="151" customFormat="false" ht="15" hidden="false" customHeight="false" outlineLevel="0" collapsed="false">
      <c r="A151" s="5" t="n">
        <v>150</v>
      </c>
      <c r="B151" s="5" t="n">
        <v>61496</v>
      </c>
      <c r="C151" s="5" t="s">
        <v>289</v>
      </c>
      <c r="D151" s="5" t="s">
        <v>552</v>
      </c>
      <c r="E151" s="5" t="s">
        <v>269</v>
      </c>
      <c r="F151" s="10" t="n">
        <v>17.84</v>
      </c>
      <c r="G151" s="11" t="n">
        <v>3</v>
      </c>
      <c r="H151" s="11" t="n">
        <v>3</v>
      </c>
      <c r="I151" s="11" t="n">
        <v>5</v>
      </c>
      <c r="J151" s="5" t="str">
        <f aca="false">IF(F151=0,"MISSING","")</f>
        <v/>
      </c>
      <c r="K151" s="5" t="str">
        <f aca="false">IF(G151&lt;=0,"MISSING","")</f>
        <v/>
      </c>
      <c r="L151" s="5" t="str">
        <f aca="false">IF(D151="","MISSING","")</f>
        <v/>
      </c>
      <c r="M151" s="5" t="str">
        <f aca="false">IF(COUNTIF(B$2:B$263,B151)&gt;1,"DUPLICATE","")</f>
        <v/>
      </c>
    </row>
    <row r="152" customFormat="false" ht="15" hidden="false" customHeight="false" outlineLevel="0" collapsed="false">
      <c r="A152" s="5" t="n">
        <v>151</v>
      </c>
      <c r="B152" s="5" t="n">
        <v>32981</v>
      </c>
      <c r="C152" s="5" t="s">
        <v>291</v>
      </c>
      <c r="D152" s="5" t="s">
        <v>552</v>
      </c>
      <c r="E152" s="5" t="s">
        <v>266</v>
      </c>
      <c r="F152" s="10" t="n">
        <v>30.08</v>
      </c>
      <c r="G152" s="11" t="n">
        <v>1</v>
      </c>
      <c r="H152" s="11" t="n">
        <v>1</v>
      </c>
      <c r="I152" s="11" t="n">
        <v>0</v>
      </c>
      <c r="J152" s="5" t="str">
        <f aca="false">IF(F152=0,"MISSING","")</f>
        <v/>
      </c>
      <c r="K152" s="5" t="str">
        <f aca="false">IF(G152&lt;=0,"MISSING","")</f>
        <v/>
      </c>
      <c r="L152" s="5" t="str">
        <f aca="false">IF(D152="","MISSING","")</f>
        <v/>
      </c>
      <c r="M152" s="5" t="str">
        <f aca="false">IF(COUNTIF(B$2:B$263,B152)&gt;1,"DUPLICATE","")</f>
        <v/>
      </c>
    </row>
    <row r="153" customFormat="false" ht="15" hidden="false" customHeight="false" outlineLevel="0" collapsed="false">
      <c r="A153" s="5" t="n">
        <v>152</v>
      </c>
      <c r="B153" s="5" t="n">
        <v>15058</v>
      </c>
      <c r="C153" s="5" t="s">
        <v>292</v>
      </c>
      <c r="D153" s="5" t="s">
        <v>552</v>
      </c>
      <c r="E153" s="5" t="s">
        <v>293</v>
      </c>
      <c r="F153" s="10" t="n">
        <v>30.03</v>
      </c>
      <c r="G153" s="11" t="n">
        <v>3</v>
      </c>
      <c r="H153" s="11" t="n">
        <v>2</v>
      </c>
      <c r="I153" s="11" t="n">
        <v>0</v>
      </c>
      <c r="J153" s="5" t="str">
        <f aca="false">IF(F153=0,"MISSING","")</f>
        <v/>
      </c>
      <c r="K153" s="5" t="str">
        <f aca="false">IF(G153&lt;=0,"MISSING","")</f>
        <v/>
      </c>
      <c r="L153" s="5" t="str">
        <f aca="false">IF(D153="","MISSING","")</f>
        <v/>
      </c>
      <c r="M153" s="5" t="str">
        <f aca="false">IF(COUNTIF(B$2:B$263,B153)&gt;1,"DUPLICATE","")</f>
        <v/>
      </c>
    </row>
    <row r="154" customFormat="false" ht="15" hidden="false" customHeight="false" outlineLevel="0" collapsed="false">
      <c r="A154" s="5" t="n">
        <v>153</v>
      </c>
      <c r="B154" s="5" t="n">
        <v>40251</v>
      </c>
      <c r="C154" s="5" t="s">
        <v>294</v>
      </c>
      <c r="D154" s="5" t="s">
        <v>552</v>
      </c>
      <c r="E154" s="5" t="s">
        <v>295</v>
      </c>
      <c r="F154" s="10" t="n">
        <v>47.81</v>
      </c>
      <c r="G154" s="11" t="n">
        <v>1</v>
      </c>
      <c r="H154" s="11" t="n">
        <v>24</v>
      </c>
      <c r="I154" s="11" t="n">
        <v>7</v>
      </c>
      <c r="J154" s="5" t="str">
        <f aca="false">IF(F154=0,"MISSING","")</f>
        <v/>
      </c>
      <c r="K154" s="5" t="str">
        <f aca="false">IF(G154&lt;=0,"MISSING","")</f>
        <v/>
      </c>
      <c r="L154" s="5" t="str">
        <f aca="false">IF(D154="","MISSING","")</f>
        <v/>
      </c>
      <c r="M154" s="5" t="str">
        <f aca="false">IF(COUNTIF(B$2:B$263,B154)&gt;1,"DUPLICATE","")</f>
        <v/>
      </c>
    </row>
    <row r="155" customFormat="false" ht="15" hidden="false" customHeight="false" outlineLevel="0" collapsed="false">
      <c r="A155" s="5" t="n">
        <v>154</v>
      </c>
      <c r="B155" s="5" t="n">
        <v>34732</v>
      </c>
      <c r="C155" s="5" t="s">
        <v>296</v>
      </c>
      <c r="D155" s="5" t="s">
        <v>552</v>
      </c>
      <c r="E155" s="5" t="s">
        <v>297</v>
      </c>
      <c r="F155" s="10" t="n">
        <v>54.35</v>
      </c>
      <c r="G155" s="11" t="n">
        <v>1</v>
      </c>
      <c r="H155" s="11" t="n">
        <v>2</v>
      </c>
      <c r="I155" s="11" t="n">
        <v>2</v>
      </c>
      <c r="J155" s="5" t="str">
        <f aca="false">IF(F155=0,"MISSING","")</f>
        <v/>
      </c>
      <c r="K155" s="5" t="str">
        <f aca="false">IF(G155&lt;=0,"MISSING","")</f>
        <v/>
      </c>
      <c r="L155" s="5" t="str">
        <f aca="false">IF(D155="","MISSING","")</f>
        <v/>
      </c>
      <c r="M155" s="5" t="str">
        <f aca="false">IF(COUNTIF(B$2:B$263,B155)&gt;1,"DUPLICATE","")</f>
        <v/>
      </c>
    </row>
    <row r="156" customFormat="false" ht="15" hidden="false" customHeight="false" outlineLevel="0" collapsed="false">
      <c r="A156" s="5" t="n">
        <v>155</v>
      </c>
      <c r="B156" s="5" t="n">
        <v>61580</v>
      </c>
      <c r="C156" s="5" t="s">
        <v>299</v>
      </c>
      <c r="D156" s="5" t="s">
        <v>552</v>
      </c>
      <c r="E156" s="5" t="s">
        <v>300</v>
      </c>
      <c r="F156" s="10" t="n">
        <v>35.72</v>
      </c>
      <c r="G156" s="11" t="n">
        <v>1</v>
      </c>
      <c r="H156" s="11" t="n">
        <v>4</v>
      </c>
      <c r="I156" s="11" t="n">
        <v>3</v>
      </c>
      <c r="J156" s="5" t="str">
        <f aca="false">IF(F156=0,"MISSING","")</f>
        <v/>
      </c>
      <c r="K156" s="5" t="str">
        <f aca="false">IF(G156&lt;=0,"MISSING","")</f>
        <v/>
      </c>
      <c r="L156" s="5" t="str">
        <f aca="false">IF(D156="","MISSING","")</f>
        <v/>
      </c>
      <c r="M156" s="5" t="str">
        <f aca="false">IF(COUNTIF(B$2:B$263,B156)&gt;1,"DUPLICATE","")</f>
        <v/>
      </c>
    </row>
    <row r="157" customFormat="false" ht="15" hidden="false" customHeight="false" outlineLevel="0" collapsed="false">
      <c r="A157" s="5" t="n">
        <v>156</v>
      </c>
      <c r="B157" s="5" t="n">
        <v>61581</v>
      </c>
      <c r="C157" s="5" t="s">
        <v>302</v>
      </c>
      <c r="D157" s="5" t="s">
        <v>552</v>
      </c>
      <c r="E157" s="5" t="s">
        <v>303</v>
      </c>
      <c r="F157" s="10" t="n">
        <v>50.1</v>
      </c>
      <c r="G157" s="11" t="n">
        <v>1</v>
      </c>
      <c r="H157" s="11" t="n">
        <v>2</v>
      </c>
      <c r="I157" s="11" t="n">
        <v>2</v>
      </c>
      <c r="J157" s="5" t="str">
        <f aca="false">IF(F157=0,"MISSING","")</f>
        <v/>
      </c>
      <c r="K157" s="5" t="str">
        <f aca="false">IF(G157&lt;=0,"MISSING","")</f>
        <v/>
      </c>
      <c r="L157" s="5" t="str">
        <f aca="false">IF(D157="","MISSING","")</f>
        <v/>
      </c>
      <c r="M157" s="5" t="str">
        <f aca="false">IF(COUNTIF(B$2:B$263,B157)&gt;1,"DUPLICATE","")</f>
        <v/>
      </c>
    </row>
    <row r="158" customFormat="false" ht="15" hidden="false" customHeight="false" outlineLevel="0" collapsed="false">
      <c r="A158" s="5" t="n">
        <v>157</v>
      </c>
      <c r="B158" s="5" t="n">
        <v>67089</v>
      </c>
      <c r="C158" s="5" t="s">
        <v>305</v>
      </c>
      <c r="D158" s="5" t="s">
        <v>551</v>
      </c>
      <c r="E158" s="5" t="s">
        <v>306</v>
      </c>
      <c r="F158" s="10" t="n">
        <v>11.75</v>
      </c>
      <c r="G158" s="11" t="n">
        <v>1</v>
      </c>
      <c r="H158" s="11" t="n">
        <v>1</v>
      </c>
      <c r="I158" s="11" t="n">
        <v>3</v>
      </c>
      <c r="J158" s="5" t="str">
        <f aca="false">IF(F158=0,"MISSING","")</f>
        <v/>
      </c>
      <c r="K158" s="5" t="str">
        <f aca="false">IF(G158&lt;=0,"MISSING","")</f>
        <v/>
      </c>
      <c r="L158" s="5" t="str">
        <f aca="false">IF(D158="","MISSING","")</f>
        <v/>
      </c>
      <c r="M158" s="5" t="str">
        <f aca="false">IF(COUNTIF(B$2:B$263,B158)&gt;1,"DUPLICATE","")</f>
        <v/>
      </c>
    </row>
    <row r="159" customFormat="false" ht="15" hidden="false" customHeight="false" outlineLevel="0" collapsed="false">
      <c r="A159" s="5" t="n">
        <v>158</v>
      </c>
      <c r="B159" s="5" t="n">
        <v>67123</v>
      </c>
      <c r="C159" s="5" t="s">
        <v>308</v>
      </c>
      <c r="D159" s="5" t="s">
        <v>551</v>
      </c>
      <c r="E159" s="5" t="s">
        <v>306</v>
      </c>
      <c r="F159" s="10" t="n">
        <v>12.51</v>
      </c>
      <c r="G159" s="11" t="n">
        <v>1</v>
      </c>
      <c r="H159" s="11" t="n">
        <v>0</v>
      </c>
      <c r="I159" s="11" t="n">
        <v>0</v>
      </c>
      <c r="J159" s="5" t="str">
        <f aca="false">IF(F159=0,"MISSING","")</f>
        <v/>
      </c>
      <c r="K159" s="5" t="str">
        <f aca="false">IF(G159&lt;=0,"MISSING","")</f>
        <v/>
      </c>
      <c r="L159" s="5" t="str">
        <f aca="false">IF(D159="","MISSING","")</f>
        <v/>
      </c>
      <c r="M159" s="5" t="str">
        <f aca="false">IF(COUNTIF(B$2:B$263,B159)&gt;1,"DUPLICATE","")</f>
        <v/>
      </c>
    </row>
    <row r="160" customFormat="false" ht="15" hidden="false" customHeight="false" outlineLevel="0" collapsed="false">
      <c r="A160" s="5" t="n">
        <v>159</v>
      </c>
      <c r="B160" s="5" t="n">
        <v>67121</v>
      </c>
      <c r="C160" s="5" t="s">
        <v>310</v>
      </c>
      <c r="D160" s="5" t="s">
        <v>551</v>
      </c>
      <c r="E160" s="5" t="s">
        <v>306</v>
      </c>
      <c r="F160" s="10" t="n">
        <v>10.21</v>
      </c>
      <c r="G160" s="11" t="n">
        <v>1</v>
      </c>
      <c r="H160" s="11" t="n">
        <v>1</v>
      </c>
      <c r="I160" s="11" t="n">
        <v>0</v>
      </c>
      <c r="J160" s="5" t="str">
        <f aca="false">IF(F160=0,"MISSING","")</f>
        <v/>
      </c>
      <c r="K160" s="5" t="str">
        <f aca="false">IF(G160&lt;=0,"MISSING","")</f>
        <v/>
      </c>
      <c r="L160" s="5" t="str">
        <f aca="false">IF(D160="","MISSING","")</f>
        <v/>
      </c>
      <c r="M160" s="5" t="str">
        <f aca="false">IF(COUNTIF(B$2:B$263,B160)&gt;1,"DUPLICATE","")</f>
        <v/>
      </c>
    </row>
    <row r="161" customFormat="false" ht="15" hidden="false" customHeight="false" outlineLevel="0" collapsed="false">
      <c r="A161" s="5" t="n">
        <v>160</v>
      </c>
      <c r="B161" s="5" t="n">
        <v>67094</v>
      </c>
      <c r="C161" s="5" t="s">
        <v>311</v>
      </c>
      <c r="D161" s="5" t="s">
        <v>551</v>
      </c>
      <c r="E161" s="5" t="s">
        <v>306</v>
      </c>
      <c r="F161" s="10" t="n">
        <v>7.01</v>
      </c>
      <c r="G161" s="11" t="n">
        <v>1</v>
      </c>
      <c r="H161" s="11" t="n">
        <v>1</v>
      </c>
      <c r="I161" s="11" t="n">
        <v>3</v>
      </c>
      <c r="J161" s="5" t="str">
        <f aca="false">IF(F161=0,"MISSING","")</f>
        <v/>
      </c>
      <c r="K161" s="5" t="str">
        <f aca="false">IF(G161&lt;=0,"MISSING","")</f>
        <v/>
      </c>
      <c r="L161" s="5" t="str">
        <f aca="false">IF(D161="","MISSING","")</f>
        <v/>
      </c>
      <c r="M161" s="5" t="str">
        <f aca="false">IF(COUNTIF(B$2:B$263,B161)&gt;1,"DUPLICATE","")</f>
        <v>DUPLICATE</v>
      </c>
    </row>
    <row r="162" customFormat="false" ht="15" hidden="false" customHeight="false" outlineLevel="0" collapsed="false">
      <c r="A162" s="5" t="n">
        <v>161</v>
      </c>
      <c r="B162" s="5" t="n">
        <v>67106</v>
      </c>
      <c r="C162" s="5" t="s">
        <v>312</v>
      </c>
      <c r="D162" s="5" t="s">
        <v>551</v>
      </c>
      <c r="E162" s="5" t="s">
        <v>306</v>
      </c>
      <c r="F162" s="10" t="n">
        <v>13.1</v>
      </c>
      <c r="G162" s="11" t="n">
        <v>4</v>
      </c>
      <c r="H162" s="11" t="n">
        <v>1</v>
      </c>
      <c r="I162" s="11" t="n">
        <v>3</v>
      </c>
      <c r="J162" s="5" t="str">
        <f aca="false">IF(F162=0,"MISSING","")</f>
        <v/>
      </c>
      <c r="K162" s="5" t="str">
        <f aca="false">IF(G162&lt;=0,"MISSING","")</f>
        <v/>
      </c>
      <c r="L162" s="5" t="str">
        <f aca="false">IF(D162="","MISSING","")</f>
        <v/>
      </c>
      <c r="M162" s="5" t="str">
        <f aca="false">IF(COUNTIF(B$2:B$263,B162)&gt;1,"DUPLICATE","")</f>
        <v/>
      </c>
    </row>
    <row r="163" customFormat="false" ht="15" hidden="false" customHeight="false" outlineLevel="0" collapsed="false">
      <c r="A163" s="5" t="n">
        <v>162</v>
      </c>
      <c r="B163" s="5" t="n">
        <v>25645</v>
      </c>
      <c r="C163" s="5" t="s">
        <v>314</v>
      </c>
      <c r="D163" s="5" t="s">
        <v>534</v>
      </c>
      <c r="E163" s="5" t="s">
        <v>315</v>
      </c>
      <c r="F163" s="10" t="n">
        <v>13.46</v>
      </c>
      <c r="G163" s="11" t="n">
        <v>24</v>
      </c>
      <c r="H163" s="11" t="n">
        <v>7</v>
      </c>
      <c r="I163" s="11" t="n">
        <v>4</v>
      </c>
      <c r="J163" s="5" t="str">
        <f aca="false">IF(F163=0,"MISSING","")</f>
        <v/>
      </c>
      <c r="K163" s="5" t="str">
        <f aca="false">IF(G163&lt;=0,"MISSING","")</f>
        <v/>
      </c>
      <c r="L163" s="5" t="str">
        <f aca="false">IF(D163="","MISSING","")</f>
        <v/>
      </c>
      <c r="M163" s="5" t="str">
        <f aca="false">IF(COUNTIF(B$2:B$263,B163)&gt;1,"DUPLICATE","")</f>
        <v/>
      </c>
    </row>
    <row r="164" customFormat="false" ht="15" hidden="false" customHeight="false" outlineLevel="0" collapsed="false">
      <c r="A164" s="5" t="n">
        <v>163</v>
      </c>
      <c r="B164" s="5" t="n">
        <v>724574</v>
      </c>
      <c r="C164" s="5" t="s">
        <v>317</v>
      </c>
      <c r="D164" s="5" t="s">
        <v>534</v>
      </c>
      <c r="E164" s="5" t="s">
        <v>318</v>
      </c>
      <c r="F164" s="10" t="n">
        <v>54.25</v>
      </c>
      <c r="G164" s="11" t="n">
        <v>24</v>
      </c>
      <c r="H164" s="11" t="n">
        <v>15</v>
      </c>
      <c r="I164" s="11" t="n">
        <v>0</v>
      </c>
      <c r="J164" s="5" t="str">
        <f aca="false">IF(F164=0,"MISSING","")</f>
        <v/>
      </c>
      <c r="K164" s="5" t="str">
        <f aca="false">IF(G164&lt;=0,"MISSING","")</f>
        <v/>
      </c>
      <c r="L164" s="5" t="str">
        <f aca="false">IF(D164="","MISSING","")</f>
        <v/>
      </c>
      <c r="M164" s="5" t="str">
        <f aca="false">IF(COUNTIF(B$2:B$263,B164)&gt;1,"DUPLICATE","")</f>
        <v/>
      </c>
    </row>
    <row r="165" customFormat="false" ht="15" hidden="false" customHeight="false" outlineLevel="0" collapsed="false">
      <c r="A165" s="5" t="n">
        <v>164</v>
      </c>
      <c r="B165" s="5" t="n">
        <v>724573</v>
      </c>
      <c r="C165" s="5" t="s">
        <v>320</v>
      </c>
      <c r="D165" s="5" t="s">
        <v>534</v>
      </c>
      <c r="E165" s="5" t="s">
        <v>318</v>
      </c>
      <c r="F165" s="10" t="n">
        <v>53.39</v>
      </c>
      <c r="G165" s="11" t="n">
        <v>24</v>
      </c>
      <c r="H165" s="11" t="n">
        <v>1</v>
      </c>
      <c r="I165" s="11" t="n">
        <v>1</v>
      </c>
      <c r="J165" s="5" t="str">
        <f aca="false">IF(F165=0,"MISSING","")</f>
        <v/>
      </c>
      <c r="K165" s="5" t="str">
        <f aca="false">IF(G165&lt;=0,"MISSING","")</f>
        <v/>
      </c>
      <c r="L165" s="5" t="str">
        <f aca="false">IF(D165="","MISSING","")</f>
        <v/>
      </c>
      <c r="M165" s="5" t="str">
        <f aca="false">IF(COUNTIF(B$2:B$263,B165)&gt;1,"DUPLICATE","")</f>
        <v/>
      </c>
    </row>
    <row r="166" customFormat="false" ht="15" hidden="false" customHeight="false" outlineLevel="0" collapsed="false">
      <c r="A166" s="5" t="n">
        <v>165</v>
      </c>
      <c r="B166" s="5" t="n">
        <v>724571</v>
      </c>
      <c r="C166" s="5" t="s">
        <v>321</v>
      </c>
      <c r="D166" s="5" t="s">
        <v>534</v>
      </c>
      <c r="E166" s="5" t="s">
        <v>318</v>
      </c>
      <c r="F166" s="10" t="n">
        <v>59.27</v>
      </c>
      <c r="G166" s="11" t="n">
        <v>24</v>
      </c>
      <c r="H166" s="11" t="n">
        <v>22</v>
      </c>
      <c r="I166" s="11" t="n">
        <v>2</v>
      </c>
      <c r="J166" s="5" t="str">
        <f aca="false">IF(F166=0,"MISSING","")</f>
        <v/>
      </c>
      <c r="K166" s="5" t="str">
        <f aca="false">IF(G166&lt;=0,"MISSING","")</f>
        <v/>
      </c>
      <c r="L166" s="5" t="str">
        <f aca="false">IF(D166="","MISSING","")</f>
        <v/>
      </c>
      <c r="M166" s="5" t="str">
        <f aca="false">IF(COUNTIF(B$2:B$263,B166)&gt;1,"DUPLICATE","")</f>
        <v/>
      </c>
    </row>
    <row r="167" customFormat="false" ht="15" hidden="false" customHeight="false" outlineLevel="0" collapsed="false">
      <c r="A167" s="5" t="n">
        <v>166</v>
      </c>
      <c r="B167" s="5" t="n">
        <v>45164</v>
      </c>
      <c r="C167" s="5" t="s">
        <v>322</v>
      </c>
      <c r="D167" s="5" t="s">
        <v>536</v>
      </c>
      <c r="E167" s="5" t="s">
        <v>323</v>
      </c>
      <c r="F167" s="10" t="n">
        <v>28.94</v>
      </c>
      <c r="G167" s="11" t="n">
        <v>2</v>
      </c>
      <c r="H167" s="11" t="n">
        <v>0</v>
      </c>
      <c r="I167" s="11" t="n">
        <v>12</v>
      </c>
      <c r="J167" s="5" t="str">
        <f aca="false">IF(F167=0,"MISSING","")</f>
        <v/>
      </c>
      <c r="K167" s="5" t="str">
        <f aca="false">IF(G167&lt;=0,"MISSING","")</f>
        <v/>
      </c>
      <c r="L167" s="5" t="str">
        <f aca="false">IF(D167="","MISSING","")</f>
        <v/>
      </c>
      <c r="M167" s="5" t="str">
        <f aca="false">IF(COUNTIF(B$2:B$263,B167)&gt;1,"DUPLICATE","")</f>
        <v/>
      </c>
    </row>
    <row r="168" customFormat="false" ht="15" hidden="false" customHeight="false" outlineLevel="0" collapsed="false">
      <c r="A168" s="5" t="n">
        <v>167</v>
      </c>
      <c r="B168" s="5" t="n">
        <v>52266</v>
      </c>
      <c r="C168" s="5" t="s">
        <v>325</v>
      </c>
      <c r="D168" s="5" t="s">
        <v>536</v>
      </c>
      <c r="E168" s="5" t="s">
        <v>323</v>
      </c>
      <c r="F168" s="10" t="n">
        <v>22.17</v>
      </c>
      <c r="G168" s="11" t="n">
        <v>2</v>
      </c>
      <c r="H168" s="11" t="n">
        <v>3</v>
      </c>
      <c r="I168" s="11" t="n">
        <v>5</v>
      </c>
      <c r="J168" s="5" t="str">
        <f aca="false">IF(F168=0,"MISSING","")</f>
        <v/>
      </c>
      <c r="K168" s="5" t="str">
        <f aca="false">IF(G168&lt;=0,"MISSING","")</f>
        <v/>
      </c>
      <c r="L168" s="5" t="str">
        <f aca="false">IF(D168="","MISSING","")</f>
        <v/>
      </c>
      <c r="M168" s="5" t="str">
        <f aca="false">IF(COUNTIF(B$2:B$263,B168)&gt;1,"DUPLICATE","")</f>
        <v/>
      </c>
    </row>
    <row r="169" customFormat="false" ht="15" hidden="false" customHeight="false" outlineLevel="0" collapsed="false">
      <c r="A169" s="5" t="n">
        <v>168</v>
      </c>
      <c r="B169" s="5" t="n">
        <v>39813</v>
      </c>
      <c r="C169" s="5" t="s">
        <v>326</v>
      </c>
      <c r="D169" s="5" t="s">
        <v>536</v>
      </c>
      <c r="E169" s="5" t="s">
        <v>327</v>
      </c>
      <c r="F169" s="10" t="n">
        <v>25.74</v>
      </c>
      <c r="G169" s="11" t="n">
        <v>40</v>
      </c>
      <c r="H169" s="11" t="n">
        <v>18</v>
      </c>
      <c r="I169" s="11" t="n">
        <v>0</v>
      </c>
      <c r="J169" s="5" t="str">
        <f aca="false">IF(F169=0,"MISSING","")</f>
        <v/>
      </c>
      <c r="K169" s="5" t="str">
        <f aca="false">IF(G169&lt;=0,"MISSING","")</f>
        <v/>
      </c>
      <c r="L169" s="5" t="str">
        <f aca="false">IF(D169="","MISSING","")</f>
        <v/>
      </c>
      <c r="M169" s="5" t="str">
        <f aca="false">IF(COUNTIF(B$2:B$263,B169)&gt;1,"DUPLICATE","")</f>
        <v/>
      </c>
    </row>
    <row r="170" customFormat="false" ht="15" hidden="false" customHeight="false" outlineLevel="0" collapsed="false">
      <c r="A170" s="5" t="n">
        <v>169</v>
      </c>
      <c r="B170" s="5" t="n">
        <v>39814</v>
      </c>
      <c r="C170" s="5" t="s">
        <v>329</v>
      </c>
      <c r="D170" s="5" t="s">
        <v>536</v>
      </c>
      <c r="E170" s="5" t="s">
        <v>327</v>
      </c>
      <c r="F170" s="10" t="n">
        <v>42.18</v>
      </c>
      <c r="G170" s="11" t="n">
        <v>40</v>
      </c>
      <c r="H170" s="11" t="n">
        <v>3</v>
      </c>
      <c r="I170" s="11" t="n">
        <v>4</v>
      </c>
      <c r="J170" s="5" t="str">
        <f aca="false">IF(F170=0,"MISSING","")</f>
        <v/>
      </c>
      <c r="K170" s="5" t="str">
        <f aca="false">IF(G170&lt;=0,"MISSING","")</f>
        <v/>
      </c>
      <c r="L170" s="5" t="str">
        <f aca="false">IF(D170="","MISSING","")</f>
        <v/>
      </c>
      <c r="M170" s="5" t="str">
        <f aca="false">IF(COUNTIF(B$2:B$263,B170)&gt;1,"DUPLICATE","")</f>
        <v/>
      </c>
    </row>
    <row r="171" customFormat="false" ht="15" hidden="false" customHeight="false" outlineLevel="0" collapsed="false">
      <c r="A171" s="5" t="n">
        <v>170</v>
      </c>
      <c r="B171" s="5" t="n">
        <v>32548</v>
      </c>
      <c r="C171" s="5" t="s">
        <v>330</v>
      </c>
      <c r="D171" s="5" t="s">
        <v>536</v>
      </c>
      <c r="E171" s="5" t="s">
        <v>331</v>
      </c>
      <c r="F171" s="10" t="n">
        <v>39.86</v>
      </c>
      <c r="G171" s="11" t="n">
        <v>2</v>
      </c>
      <c r="H171" s="11" t="n">
        <v>5</v>
      </c>
      <c r="I171" s="11" t="n">
        <v>2</v>
      </c>
      <c r="J171" s="5" t="str">
        <f aca="false">IF(F171=0,"MISSING","")</f>
        <v/>
      </c>
      <c r="K171" s="5" t="str">
        <f aca="false">IF(G171&lt;=0,"MISSING","")</f>
        <v/>
      </c>
      <c r="L171" s="5" t="str">
        <f aca="false">IF(D171="","MISSING","")</f>
        <v/>
      </c>
      <c r="M171" s="5" t="str">
        <f aca="false">IF(COUNTIF(B$2:B$263,B171)&gt;1,"DUPLICATE","")</f>
        <v/>
      </c>
    </row>
    <row r="172" customFormat="false" ht="15" hidden="false" customHeight="false" outlineLevel="0" collapsed="false">
      <c r="A172" s="5" t="n">
        <v>171</v>
      </c>
      <c r="B172" s="5" t="n">
        <v>67168</v>
      </c>
      <c r="C172" s="5" t="s">
        <v>333</v>
      </c>
      <c r="D172" s="5" t="s">
        <v>536</v>
      </c>
      <c r="E172" s="5" t="s">
        <v>306</v>
      </c>
      <c r="F172" s="10" t="n">
        <v>10.26</v>
      </c>
      <c r="G172" s="11" t="n">
        <v>1</v>
      </c>
      <c r="H172" s="11" t="n">
        <v>1</v>
      </c>
      <c r="I172" s="11" t="n">
        <v>0</v>
      </c>
      <c r="J172" s="5" t="str">
        <f aca="false">IF(F172=0,"MISSING","")</f>
        <v/>
      </c>
      <c r="K172" s="5" t="str">
        <f aca="false">IF(G172&lt;=0,"MISSING","")</f>
        <v/>
      </c>
      <c r="L172" s="5" t="str">
        <f aca="false">IF(D172="","MISSING","")</f>
        <v/>
      </c>
      <c r="M172" s="5" t="str">
        <f aca="false">IF(COUNTIF(B$2:B$263,B172)&gt;1,"DUPLICATE","")</f>
        <v/>
      </c>
    </row>
    <row r="173" customFormat="false" ht="15" hidden="false" customHeight="false" outlineLevel="0" collapsed="false">
      <c r="A173" s="5" t="n">
        <v>172</v>
      </c>
      <c r="B173" s="5" t="n">
        <v>67154</v>
      </c>
      <c r="C173" s="5" t="s">
        <v>335</v>
      </c>
      <c r="D173" s="5" t="s">
        <v>536</v>
      </c>
      <c r="E173" s="5" t="s">
        <v>306</v>
      </c>
      <c r="F173" s="10" t="n">
        <v>10.22</v>
      </c>
      <c r="G173" s="11" t="n">
        <v>1</v>
      </c>
      <c r="H173" s="11" t="n">
        <v>1</v>
      </c>
      <c r="I173" s="11" t="n">
        <v>9</v>
      </c>
      <c r="J173" s="5" t="str">
        <f aca="false">IF(F173=0,"MISSING","")</f>
        <v/>
      </c>
      <c r="K173" s="5" t="str">
        <f aca="false">IF(G173&lt;=0,"MISSING","")</f>
        <v/>
      </c>
      <c r="L173" s="5" t="str">
        <f aca="false">IF(D173="","MISSING","")</f>
        <v/>
      </c>
      <c r="M173" s="5" t="str">
        <f aca="false">IF(COUNTIF(B$2:B$263,B173)&gt;1,"DUPLICATE","")</f>
        <v/>
      </c>
    </row>
    <row r="174" customFormat="false" ht="15" hidden="false" customHeight="false" outlineLevel="0" collapsed="false">
      <c r="A174" s="5" t="n">
        <v>173</v>
      </c>
      <c r="B174" s="5" t="n">
        <v>67132</v>
      </c>
      <c r="C174" s="5" t="s">
        <v>336</v>
      </c>
      <c r="D174" s="5" t="s">
        <v>536</v>
      </c>
      <c r="E174" s="5" t="s">
        <v>306</v>
      </c>
      <c r="F174" s="10" t="n">
        <v>12.46</v>
      </c>
      <c r="G174" s="11" t="n">
        <v>1</v>
      </c>
      <c r="H174" s="11" t="n">
        <v>6</v>
      </c>
      <c r="I174" s="11" t="n">
        <v>3</v>
      </c>
      <c r="J174" s="5" t="str">
        <f aca="false">IF(F174=0,"MISSING","")</f>
        <v/>
      </c>
      <c r="K174" s="5" t="str">
        <f aca="false">IF(G174&lt;=0,"MISSING","")</f>
        <v/>
      </c>
      <c r="L174" s="5" t="str">
        <f aca="false">IF(D174="","MISSING","")</f>
        <v/>
      </c>
      <c r="M174" s="5" t="str">
        <f aca="false">IF(COUNTIF(B$2:B$263,B174)&gt;1,"DUPLICATE","")</f>
        <v/>
      </c>
    </row>
    <row r="175" customFormat="false" ht="15" hidden="false" customHeight="false" outlineLevel="0" collapsed="false">
      <c r="A175" s="5" t="n">
        <v>174</v>
      </c>
      <c r="B175" s="5" t="n">
        <v>61661</v>
      </c>
      <c r="C175" s="5" t="s">
        <v>337</v>
      </c>
      <c r="D175" s="5" t="s">
        <v>536</v>
      </c>
      <c r="E175" s="5" t="s">
        <v>306</v>
      </c>
      <c r="F175" s="10" t="n">
        <v>14.81</v>
      </c>
      <c r="G175" s="11" t="n">
        <v>1</v>
      </c>
      <c r="H175" s="11" t="n">
        <v>1</v>
      </c>
      <c r="I175" s="11" t="n">
        <v>3</v>
      </c>
      <c r="J175" s="5" t="str">
        <f aca="false">IF(F175=0,"MISSING","")</f>
        <v/>
      </c>
      <c r="K175" s="5" t="str">
        <f aca="false">IF(G175&lt;=0,"MISSING","")</f>
        <v/>
      </c>
      <c r="L175" s="5" t="str">
        <f aca="false">IF(D175="","MISSING","")</f>
        <v/>
      </c>
      <c r="M175" s="5" t="str">
        <f aca="false">IF(COUNTIF(B$2:B$263,B175)&gt;1,"DUPLICATE","")</f>
        <v/>
      </c>
    </row>
    <row r="176" customFormat="false" ht="15" hidden="false" customHeight="false" outlineLevel="0" collapsed="false">
      <c r="A176" s="5" t="n">
        <v>175</v>
      </c>
      <c r="B176" s="5" t="n">
        <v>67085</v>
      </c>
      <c r="C176" s="5" t="s">
        <v>338</v>
      </c>
      <c r="D176" s="5" t="s">
        <v>536</v>
      </c>
      <c r="E176" s="5" t="s">
        <v>306</v>
      </c>
      <c r="F176" s="10" t="n">
        <v>25.18</v>
      </c>
      <c r="G176" s="11" t="n">
        <v>1</v>
      </c>
      <c r="H176" s="11" t="n">
        <v>0</v>
      </c>
      <c r="I176" s="11" t="n">
        <v>2</v>
      </c>
      <c r="J176" s="5" t="str">
        <f aca="false">IF(F176=0,"MISSING","")</f>
        <v/>
      </c>
      <c r="K176" s="5" t="str">
        <f aca="false">IF(G176&lt;=0,"MISSING","")</f>
        <v/>
      </c>
      <c r="L176" s="5" t="str">
        <f aca="false">IF(D176="","MISSING","")</f>
        <v/>
      </c>
      <c r="M176" s="5" t="str">
        <f aca="false">IF(COUNTIF(B$2:B$263,B176)&gt;1,"DUPLICATE","")</f>
        <v/>
      </c>
    </row>
    <row r="177" customFormat="false" ht="15" hidden="false" customHeight="false" outlineLevel="0" collapsed="false">
      <c r="A177" s="5" t="n">
        <v>176</v>
      </c>
      <c r="B177" s="5" t="n">
        <v>67063</v>
      </c>
      <c r="C177" s="5" t="s">
        <v>339</v>
      </c>
      <c r="D177" s="5" t="s">
        <v>536</v>
      </c>
      <c r="E177" s="5" t="s">
        <v>306</v>
      </c>
      <c r="F177" s="10" t="n">
        <v>11.65</v>
      </c>
      <c r="G177" s="11" t="n">
        <v>1</v>
      </c>
      <c r="H177" s="11" t="n">
        <v>0</v>
      </c>
      <c r="I177" s="11" t="n">
        <v>2</v>
      </c>
      <c r="J177" s="5" t="str">
        <f aca="false">IF(F177=0,"MISSING","")</f>
        <v/>
      </c>
      <c r="K177" s="5" t="str">
        <f aca="false">IF(G177&lt;=0,"MISSING","")</f>
        <v/>
      </c>
      <c r="L177" s="5" t="str">
        <f aca="false">IF(D177="","MISSING","")</f>
        <v/>
      </c>
      <c r="M177" s="5" t="str">
        <f aca="false">IF(COUNTIF(B$2:B$263,B177)&gt;1,"DUPLICATE","")</f>
        <v/>
      </c>
    </row>
    <row r="178" customFormat="false" ht="15" hidden="false" customHeight="false" outlineLevel="0" collapsed="false">
      <c r="A178" s="5" t="n">
        <v>177</v>
      </c>
      <c r="B178" s="5" t="n">
        <v>61739</v>
      </c>
      <c r="C178" s="5" t="s">
        <v>340</v>
      </c>
      <c r="D178" s="5" t="s">
        <v>536</v>
      </c>
      <c r="E178" s="5" t="s">
        <v>306</v>
      </c>
      <c r="F178" s="10" t="n">
        <v>14.07</v>
      </c>
      <c r="G178" s="11" t="n">
        <v>1</v>
      </c>
      <c r="H178" s="11" t="n">
        <v>7</v>
      </c>
      <c r="I178" s="11" t="n">
        <v>1</v>
      </c>
      <c r="J178" s="5" t="str">
        <f aca="false">IF(F178=0,"MISSING","")</f>
        <v/>
      </c>
      <c r="K178" s="5" t="str">
        <f aca="false">IF(G178&lt;=0,"MISSING","")</f>
        <v/>
      </c>
      <c r="L178" s="5" t="str">
        <f aca="false">IF(D178="","MISSING","")</f>
        <v/>
      </c>
      <c r="M178" s="5" t="str">
        <f aca="false">IF(COUNTIF(B$2:B$263,B178)&gt;1,"DUPLICATE","")</f>
        <v/>
      </c>
    </row>
    <row r="179" customFormat="false" ht="15" hidden="false" customHeight="false" outlineLevel="0" collapsed="false">
      <c r="A179" s="5" t="n">
        <v>178</v>
      </c>
      <c r="B179" s="5" t="n">
        <v>39817</v>
      </c>
      <c r="C179" s="5" t="s">
        <v>341</v>
      </c>
      <c r="D179" s="5" t="s">
        <v>536</v>
      </c>
      <c r="E179" s="5" t="s">
        <v>327</v>
      </c>
      <c r="F179" s="10" t="n">
        <v>8.55</v>
      </c>
      <c r="G179" s="11" t="n">
        <v>40</v>
      </c>
      <c r="H179" s="11" t="n">
        <v>3</v>
      </c>
      <c r="I179" s="11" t="n">
        <v>5</v>
      </c>
      <c r="J179" s="5" t="str">
        <f aca="false">IF(F179=0,"MISSING","")</f>
        <v/>
      </c>
      <c r="K179" s="5" t="str">
        <f aca="false">IF(G179&lt;=0,"MISSING","")</f>
        <v/>
      </c>
      <c r="L179" s="5" t="str">
        <f aca="false">IF(D179="","MISSING","")</f>
        <v/>
      </c>
      <c r="M179" s="5" t="str">
        <f aca="false">IF(COUNTIF(B$2:B$263,B179)&gt;1,"DUPLICATE","")</f>
        <v/>
      </c>
    </row>
    <row r="180" customFormat="false" ht="15" hidden="false" customHeight="false" outlineLevel="0" collapsed="false">
      <c r="A180" s="5" t="n">
        <v>179</v>
      </c>
      <c r="B180" s="5" t="n">
        <v>67088</v>
      </c>
      <c r="C180" s="5" t="s">
        <v>343</v>
      </c>
      <c r="D180" s="5" t="s">
        <v>536</v>
      </c>
      <c r="E180" s="5" t="s">
        <v>306</v>
      </c>
      <c r="F180" s="10" t="n">
        <v>10.39</v>
      </c>
      <c r="G180" s="11" t="n">
        <v>1</v>
      </c>
      <c r="H180" s="11" t="n">
        <v>4</v>
      </c>
      <c r="I180" s="11" t="n">
        <v>2</v>
      </c>
      <c r="J180" s="5" t="str">
        <f aca="false">IF(F180=0,"MISSING","")</f>
        <v/>
      </c>
      <c r="K180" s="5" t="str">
        <f aca="false">IF(G180&lt;=0,"MISSING","")</f>
        <v/>
      </c>
      <c r="L180" s="5" t="str">
        <f aca="false">IF(D180="","MISSING","")</f>
        <v/>
      </c>
      <c r="M180" s="5" t="str">
        <f aca="false">IF(COUNTIF(B$2:B$263,B180)&gt;1,"DUPLICATE","")</f>
        <v/>
      </c>
    </row>
    <row r="181" customFormat="false" ht="15" hidden="false" customHeight="false" outlineLevel="0" collapsed="false">
      <c r="A181" s="5" t="n">
        <v>180</v>
      </c>
      <c r="B181" s="5" t="n">
        <v>67094</v>
      </c>
      <c r="C181" s="5" t="s">
        <v>311</v>
      </c>
      <c r="D181" s="5" t="s">
        <v>536</v>
      </c>
      <c r="E181" s="5" t="s">
        <v>306</v>
      </c>
      <c r="F181" s="10" t="n">
        <v>6.87</v>
      </c>
      <c r="G181" s="11" t="n">
        <v>1</v>
      </c>
      <c r="H181" s="11" t="n">
        <v>1</v>
      </c>
      <c r="I181" s="11" t="n">
        <v>7</v>
      </c>
      <c r="J181" s="5" t="str">
        <f aca="false">IF(F181=0,"MISSING","")</f>
        <v/>
      </c>
      <c r="K181" s="5" t="str">
        <f aca="false">IF(G181&lt;=0,"MISSING","")</f>
        <v/>
      </c>
      <c r="L181" s="5" t="str">
        <f aca="false">IF(D181="","MISSING","")</f>
        <v/>
      </c>
      <c r="M181" s="5" t="str">
        <f aca="false">IF(COUNTIF(B$2:B$263,B181)&gt;1,"DUPLICATE","")</f>
        <v>DUPLICATE</v>
      </c>
    </row>
    <row r="182" customFormat="false" ht="15" hidden="false" customHeight="false" outlineLevel="0" collapsed="false">
      <c r="A182" s="5" t="n">
        <v>181</v>
      </c>
      <c r="B182" s="5" t="n">
        <v>38527</v>
      </c>
      <c r="C182" s="5" t="s">
        <v>344</v>
      </c>
      <c r="D182" s="5" t="s">
        <v>536</v>
      </c>
      <c r="E182" s="5" t="s">
        <v>306</v>
      </c>
      <c r="F182" s="10" t="n">
        <v>5.23</v>
      </c>
      <c r="G182" s="11" t="n">
        <v>1</v>
      </c>
      <c r="H182" s="11" t="n">
        <v>8</v>
      </c>
      <c r="I182" s="11" t="n">
        <v>12</v>
      </c>
      <c r="J182" s="5" t="str">
        <f aca="false">IF(F182=0,"MISSING","")</f>
        <v/>
      </c>
      <c r="K182" s="5" t="str">
        <f aca="false">IF(G182&lt;=0,"MISSING","")</f>
        <v/>
      </c>
      <c r="L182" s="5" t="str">
        <f aca="false">IF(D182="","MISSING","")</f>
        <v/>
      </c>
      <c r="M182" s="5" t="str">
        <f aca="false">IF(COUNTIF(B$2:B$263,B182)&gt;1,"DUPLICATE","")</f>
        <v/>
      </c>
    </row>
    <row r="183" customFormat="false" ht="15" hidden="false" customHeight="false" outlineLevel="0" collapsed="false">
      <c r="A183" s="5" t="n">
        <v>182</v>
      </c>
      <c r="B183" s="5" t="n">
        <v>67112</v>
      </c>
      <c r="C183" s="5" t="s">
        <v>345</v>
      </c>
      <c r="D183" s="5" t="s">
        <v>536</v>
      </c>
      <c r="E183" s="5" t="s">
        <v>306</v>
      </c>
      <c r="F183" s="10" t="n">
        <v>25.1</v>
      </c>
      <c r="G183" s="11" t="n">
        <v>1</v>
      </c>
      <c r="H183" s="11" t="n">
        <v>11</v>
      </c>
      <c r="I183" s="11" t="n">
        <v>0</v>
      </c>
      <c r="J183" s="5" t="str">
        <f aca="false">IF(F183=0,"MISSING","")</f>
        <v/>
      </c>
      <c r="K183" s="5" t="str">
        <f aca="false">IF(G183&lt;=0,"MISSING","")</f>
        <v/>
      </c>
      <c r="L183" s="5" t="str">
        <f aca="false">IF(D183="","MISSING","")</f>
        <v/>
      </c>
      <c r="M183" s="5" t="str">
        <f aca="false">IF(COUNTIF(B$2:B$263,B183)&gt;1,"DUPLICATE","")</f>
        <v/>
      </c>
    </row>
    <row r="184" customFormat="false" ht="15" hidden="false" customHeight="false" outlineLevel="0" collapsed="false">
      <c r="A184" s="5" t="n">
        <v>183</v>
      </c>
      <c r="B184" s="5" t="n">
        <v>61558</v>
      </c>
      <c r="C184" s="5" t="s">
        <v>186</v>
      </c>
      <c r="D184" s="5" t="s">
        <v>536</v>
      </c>
      <c r="E184" s="5" t="s">
        <v>187</v>
      </c>
      <c r="F184" s="10" t="n">
        <v>21.69</v>
      </c>
      <c r="G184" s="11" t="n">
        <v>1</v>
      </c>
      <c r="H184" s="11" t="n">
        <v>4</v>
      </c>
      <c r="I184" s="11" t="n">
        <v>1</v>
      </c>
      <c r="J184" s="5" t="str">
        <f aca="false">IF(F184=0,"MISSING","")</f>
        <v/>
      </c>
      <c r="K184" s="5" t="str">
        <f aca="false">IF(G184&lt;=0,"MISSING","")</f>
        <v/>
      </c>
      <c r="L184" s="5" t="str">
        <f aca="false">IF(D184="","MISSING","")</f>
        <v/>
      </c>
      <c r="M184" s="5" t="str">
        <f aca="false">IF(COUNTIF(B$2:B$263,B184)&gt;1,"DUPLICATE","")</f>
        <v>DUPLICATE</v>
      </c>
    </row>
    <row r="185" customFormat="false" ht="15" hidden="false" customHeight="false" outlineLevel="0" collapsed="false">
      <c r="A185" s="5" t="n">
        <v>184</v>
      </c>
      <c r="B185" s="5" t="n">
        <v>50046</v>
      </c>
      <c r="C185" s="5" t="s">
        <v>347</v>
      </c>
      <c r="D185" s="5" t="s">
        <v>532</v>
      </c>
      <c r="E185" s="5" t="s">
        <v>107</v>
      </c>
      <c r="F185" s="10" t="n">
        <v>22.91</v>
      </c>
      <c r="G185" s="11" t="n">
        <v>2</v>
      </c>
      <c r="H185" s="11" t="n">
        <v>2</v>
      </c>
      <c r="I185" s="11" t="n">
        <v>1</v>
      </c>
      <c r="J185" s="5" t="str">
        <f aca="false">IF(F185=0,"MISSING","")</f>
        <v/>
      </c>
      <c r="K185" s="5" t="str">
        <f aca="false">IF(G185&lt;=0,"MISSING","")</f>
        <v/>
      </c>
      <c r="L185" s="5" t="str">
        <f aca="false">IF(D185="","MISSING","")</f>
        <v/>
      </c>
      <c r="M185" s="5" t="str">
        <f aca="false">IF(COUNTIF(B$2:B$263,B185)&gt;1,"DUPLICATE","")</f>
        <v/>
      </c>
    </row>
    <row r="186" customFormat="false" ht="15" hidden="false" customHeight="false" outlineLevel="0" collapsed="false">
      <c r="A186" s="5" t="n">
        <v>185</v>
      </c>
      <c r="B186" s="5" t="n">
        <v>97477</v>
      </c>
      <c r="C186" s="5" t="s">
        <v>349</v>
      </c>
      <c r="D186" s="5" t="s">
        <v>532</v>
      </c>
      <c r="E186" s="5" t="s">
        <v>107</v>
      </c>
      <c r="F186" s="10" t="n">
        <v>28.54</v>
      </c>
      <c r="G186" s="11" t="n">
        <v>2</v>
      </c>
      <c r="H186" s="11" t="n">
        <v>8</v>
      </c>
      <c r="I186" s="11" t="n">
        <v>0</v>
      </c>
      <c r="J186" s="5" t="str">
        <f aca="false">IF(F186=0,"MISSING","")</f>
        <v/>
      </c>
      <c r="K186" s="5" t="str">
        <f aca="false">IF(G186&lt;=0,"MISSING","")</f>
        <v/>
      </c>
      <c r="L186" s="5" t="str">
        <f aca="false">IF(D186="","MISSING","")</f>
        <v/>
      </c>
      <c r="M186" s="5" t="str">
        <f aca="false">IF(COUNTIF(B$2:B$263,B186)&gt;1,"DUPLICATE","")</f>
        <v/>
      </c>
    </row>
    <row r="187" customFormat="false" ht="15" hidden="false" customHeight="false" outlineLevel="0" collapsed="false">
      <c r="A187" s="5" t="n">
        <v>186</v>
      </c>
      <c r="B187" s="5" t="n">
        <v>50142</v>
      </c>
      <c r="C187" s="5" t="s">
        <v>350</v>
      </c>
      <c r="D187" s="5" t="s">
        <v>532</v>
      </c>
      <c r="E187" s="5" t="s">
        <v>107</v>
      </c>
      <c r="F187" s="10" t="n">
        <v>21.87</v>
      </c>
      <c r="G187" s="11" t="n">
        <v>1</v>
      </c>
      <c r="H187" s="11" t="n">
        <v>8</v>
      </c>
      <c r="I187" s="11" t="n">
        <v>0</v>
      </c>
      <c r="J187" s="5" t="str">
        <f aca="false">IF(F187=0,"MISSING","")</f>
        <v/>
      </c>
      <c r="K187" s="5" t="str">
        <f aca="false">IF(G187&lt;=0,"MISSING","")</f>
        <v/>
      </c>
      <c r="L187" s="5" t="str">
        <f aca="false">IF(D187="","MISSING","")</f>
        <v/>
      </c>
      <c r="M187" s="5" t="str">
        <f aca="false">IF(COUNTIF(B$2:B$263,B187)&gt;1,"DUPLICATE","")</f>
        <v/>
      </c>
    </row>
    <row r="188" customFormat="false" ht="15" hidden="false" customHeight="false" outlineLevel="0" collapsed="false">
      <c r="A188" s="5" t="n">
        <v>187</v>
      </c>
      <c r="B188" s="5" t="n">
        <v>43369</v>
      </c>
      <c r="C188" s="5" t="s">
        <v>352</v>
      </c>
      <c r="D188" s="5" t="s">
        <v>542</v>
      </c>
      <c r="E188" s="5" t="s">
        <v>353</v>
      </c>
      <c r="F188" s="10" t="n">
        <v>23.8</v>
      </c>
      <c r="G188" s="11" t="n">
        <v>1</v>
      </c>
      <c r="H188" s="11" t="n">
        <v>2</v>
      </c>
      <c r="I188" s="11" t="n">
        <v>21</v>
      </c>
      <c r="J188" s="5" t="str">
        <f aca="false">IF(F188=0,"MISSING","")</f>
        <v/>
      </c>
      <c r="K188" s="5" t="str">
        <f aca="false">IF(G188&lt;=0,"MISSING","")</f>
        <v/>
      </c>
      <c r="L188" s="5" t="str">
        <f aca="false">IF(D188="","MISSING","")</f>
        <v/>
      </c>
      <c r="M188" s="5" t="str">
        <f aca="false">IF(COUNTIF(B$2:B$263,B188)&gt;1,"DUPLICATE","")</f>
        <v/>
      </c>
    </row>
    <row r="189" customFormat="false" ht="15" hidden="false" customHeight="false" outlineLevel="0" collapsed="false">
      <c r="A189" s="5" t="n">
        <v>188</v>
      </c>
      <c r="B189" s="5" t="n">
        <v>61763</v>
      </c>
      <c r="C189" s="5" t="s">
        <v>354</v>
      </c>
      <c r="D189" s="5" t="s">
        <v>542</v>
      </c>
      <c r="E189" s="5" t="s">
        <v>355</v>
      </c>
      <c r="F189" s="10" t="n">
        <v>38.02</v>
      </c>
      <c r="G189" s="11" t="n">
        <v>1</v>
      </c>
      <c r="H189" s="11" t="n">
        <v>5</v>
      </c>
      <c r="I189" s="11" t="n">
        <v>3</v>
      </c>
      <c r="J189" s="5" t="str">
        <f aca="false">IF(F189=0,"MISSING","")</f>
        <v/>
      </c>
      <c r="K189" s="5" t="str">
        <f aca="false">IF(G189&lt;=0,"MISSING","")</f>
        <v/>
      </c>
      <c r="L189" s="5" t="str">
        <f aca="false">IF(D189="","MISSING","")</f>
        <v/>
      </c>
      <c r="M189" s="5" t="str">
        <f aca="false">IF(COUNTIF(B$2:B$263,B189)&gt;1,"DUPLICATE","")</f>
        <v/>
      </c>
    </row>
    <row r="190" customFormat="false" ht="15" hidden="false" customHeight="false" outlineLevel="0" collapsed="false">
      <c r="A190" s="5" t="n">
        <v>189</v>
      </c>
      <c r="B190" s="5" t="n">
        <v>35182</v>
      </c>
      <c r="C190" s="5" t="s">
        <v>357</v>
      </c>
      <c r="D190" s="5" t="s">
        <v>542</v>
      </c>
      <c r="E190" s="5" t="s">
        <v>358</v>
      </c>
      <c r="F190" s="10" t="n">
        <v>44.69</v>
      </c>
      <c r="G190" s="11" t="n">
        <v>1</v>
      </c>
      <c r="H190" s="11" t="n">
        <v>3</v>
      </c>
      <c r="I190" s="11" t="n">
        <v>6</v>
      </c>
      <c r="J190" s="5" t="str">
        <f aca="false">IF(F190=0,"MISSING","")</f>
        <v/>
      </c>
      <c r="K190" s="5" t="str">
        <f aca="false">IF(G190&lt;=0,"MISSING","")</f>
        <v/>
      </c>
      <c r="L190" s="5" t="str">
        <f aca="false">IF(D190="","MISSING","")</f>
        <v/>
      </c>
      <c r="M190" s="5" t="str">
        <f aca="false">IF(COUNTIF(B$2:B$263,B190)&gt;1,"DUPLICATE","")</f>
        <v/>
      </c>
    </row>
    <row r="191" customFormat="false" ht="15" hidden="false" customHeight="false" outlineLevel="0" collapsed="false">
      <c r="A191" s="5" t="n">
        <v>190</v>
      </c>
      <c r="B191" s="5" t="n">
        <v>68687</v>
      </c>
      <c r="C191" s="5" t="s">
        <v>359</v>
      </c>
      <c r="D191" s="5" t="s">
        <v>542</v>
      </c>
      <c r="E191" s="5" t="s">
        <v>360</v>
      </c>
      <c r="F191" s="10" t="n">
        <v>20.12</v>
      </c>
      <c r="G191" s="11" t="n">
        <v>4</v>
      </c>
      <c r="H191" s="11" t="n">
        <v>33</v>
      </c>
      <c r="I191" s="11" t="n">
        <v>7</v>
      </c>
      <c r="J191" s="5" t="str">
        <f aca="false">IF(F191=0,"MISSING","")</f>
        <v/>
      </c>
      <c r="K191" s="5" t="str">
        <f aca="false">IF(G191&lt;=0,"MISSING","")</f>
        <v/>
      </c>
      <c r="L191" s="5" t="str">
        <f aca="false">IF(D191="","MISSING","")</f>
        <v/>
      </c>
      <c r="M191" s="5" t="str">
        <f aca="false">IF(COUNTIF(B$2:B$263,B191)&gt;1,"DUPLICATE","")</f>
        <v/>
      </c>
    </row>
    <row r="192" customFormat="false" ht="15" hidden="false" customHeight="false" outlineLevel="0" collapsed="false">
      <c r="A192" s="5" t="n">
        <v>191</v>
      </c>
      <c r="B192" s="5" t="n">
        <v>35171</v>
      </c>
      <c r="C192" s="5" t="s">
        <v>362</v>
      </c>
      <c r="D192" s="5" t="s">
        <v>542</v>
      </c>
      <c r="E192" s="5" t="s">
        <v>358</v>
      </c>
      <c r="F192" s="10" t="n">
        <v>51.26</v>
      </c>
      <c r="G192" s="11" t="n">
        <v>1</v>
      </c>
      <c r="H192" s="11" t="n">
        <v>9</v>
      </c>
      <c r="I192" s="11" t="n">
        <v>8</v>
      </c>
      <c r="J192" s="5" t="str">
        <f aca="false">IF(F192=0,"MISSING","")</f>
        <v/>
      </c>
      <c r="K192" s="5" t="str">
        <f aca="false">IF(G192&lt;=0,"MISSING","")</f>
        <v/>
      </c>
      <c r="L192" s="5" t="str">
        <f aca="false">IF(D192="","MISSING","")</f>
        <v/>
      </c>
      <c r="M192" s="5" t="str">
        <f aca="false">IF(COUNTIF(B$2:B$263,B192)&gt;1,"DUPLICATE","")</f>
        <v/>
      </c>
    </row>
    <row r="193" customFormat="false" ht="15" hidden="false" customHeight="false" outlineLevel="0" collapsed="false">
      <c r="A193" s="5" t="n">
        <v>192</v>
      </c>
      <c r="B193" s="5" t="n">
        <v>35176</v>
      </c>
      <c r="C193" s="5" t="s">
        <v>363</v>
      </c>
      <c r="D193" s="5" t="s">
        <v>542</v>
      </c>
      <c r="E193" s="5" t="s">
        <v>358</v>
      </c>
      <c r="F193" s="10" t="n">
        <v>34.53</v>
      </c>
      <c r="G193" s="11" t="n">
        <v>1</v>
      </c>
      <c r="H193" s="11" t="n">
        <v>1</v>
      </c>
      <c r="I193" s="11" t="n">
        <v>0</v>
      </c>
      <c r="J193" s="5" t="str">
        <f aca="false">IF(F193=0,"MISSING","")</f>
        <v/>
      </c>
      <c r="K193" s="5" t="str">
        <f aca="false">IF(G193&lt;=0,"MISSING","")</f>
        <v/>
      </c>
      <c r="L193" s="5" t="str">
        <f aca="false">IF(D193="","MISSING","")</f>
        <v/>
      </c>
      <c r="M193" s="5" t="str">
        <f aca="false">IF(COUNTIF(B$2:B$263,B193)&gt;1,"DUPLICATE","")</f>
        <v/>
      </c>
    </row>
    <row r="194" customFormat="false" ht="15" hidden="false" customHeight="false" outlineLevel="0" collapsed="false">
      <c r="A194" s="5" t="n">
        <v>193</v>
      </c>
      <c r="B194" s="5" t="n">
        <v>35026</v>
      </c>
      <c r="C194" s="5" t="s">
        <v>364</v>
      </c>
      <c r="D194" s="5" t="s">
        <v>542</v>
      </c>
      <c r="E194" s="5" t="s">
        <v>358</v>
      </c>
      <c r="F194" s="10" t="n">
        <v>29.98</v>
      </c>
      <c r="G194" s="11" t="n">
        <v>1</v>
      </c>
      <c r="H194" s="11" t="n">
        <v>19</v>
      </c>
      <c r="I194" s="11" t="n">
        <v>1</v>
      </c>
      <c r="J194" s="5" t="str">
        <f aca="false">IF(F194=0,"MISSING","")</f>
        <v/>
      </c>
      <c r="K194" s="5" t="str">
        <f aca="false">IF(G194&lt;=0,"MISSING","")</f>
        <v/>
      </c>
      <c r="L194" s="5" t="str">
        <f aca="false">IF(D194="","MISSING","")</f>
        <v/>
      </c>
      <c r="M194" s="5" t="str">
        <f aca="false">IF(COUNTIF(B$2:B$263,B194)&gt;1,"DUPLICATE","")</f>
        <v/>
      </c>
    </row>
    <row r="195" customFormat="false" ht="15" hidden="false" customHeight="false" outlineLevel="0" collapsed="false">
      <c r="A195" s="5" t="n">
        <v>194</v>
      </c>
      <c r="B195" s="5" t="n">
        <v>35226</v>
      </c>
      <c r="C195" s="5" t="s">
        <v>365</v>
      </c>
      <c r="D195" s="5" t="s">
        <v>542</v>
      </c>
      <c r="E195" s="5" t="s">
        <v>358</v>
      </c>
      <c r="F195" s="10" t="n">
        <v>21.95</v>
      </c>
      <c r="G195" s="11" t="n">
        <v>10</v>
      </c>
      <c r="H195" s="11" t="n">
        <v>1</v>
      </c>
      <c r="I195" s="11" t="n">
        <v>16</v>
      </c>
      <c r="J195" s="5" t="str">
        <f aca="false">IF(F195=0,"MISSING","")</f>
        <v/>
      </c>
      <c r="K195" s="5" t="str">
        <f aca="false">IF(G195&lt;=0,"MISSING","")</f>
        <v/>
      </c>
      <c r="L195" s="5" t="str">
        <f aca="false">IF(D195="","MISSING","")</f>
        <v/>
      </c>
      <c r="M195" s="5" t="str">
        <f aca="false">IF(COUNTIF(B$2:B$263,B195)&gt;1,"DUPLICATE","")</f>
        <v/>
      </c>
    </row>
    <row r="196" customFormat="false" ht="15" hidden="false" customHeight="false" outlineLevel="0" collapsed="false">
      <c r="A196" s="5" t="n">
        <v>195</v>
      </c>
      <c r="B196" s="5" t="n">
        <v>33728</v>
      </c>
      <c r="C196" s="5" t="s">
        <v>366</v>
      </c>
      <c r="D196" s="5" t="s">
        <v>542</v>
      </c>
      <c r="E196" s="5" t="s">
        <v>367</v>
      </c>
      <c r="F196" s="10" t="n">
        <v>40.71</v>
      </c>
      <c r="G196" s="11" t="n">
        <v>1</v>
      </c>
      <c r="H196" s="11" t="n">
        <v>2</v>
      </c>
      <c r="I196" s="11" t="n">
        <v>1</v>
      </c>
      <c r="J196" s="5" t="str">
        <f aca="false">IF(F196=0,"MISSING","")</f>
        <v/>
      </c>
      <c r="K196" s="5" t="str">
        <f aca="false">IF(G196&lt;=0,"MISSING","")</f>
        <v/>
      </c>
      <c r="L196" s="5" t="str">
        <f aca="false">IF(D196="","MISSING","")</f>
        <v/>
      </c>
      <c r="M196" s="5" t="str">
        <f aca="false">IF(COUNTIF(B$2:B$263,B196)&gt;1,"DUPLICATE","")</f>
        <v/>
      </c>
    </row>
    <row r="197" customFormat="false" ht="15" hidden="false" customHeight="false" outlineLevel="0" collapsed="false">
      <c r="A197" s="5" t="n">
        <v>196</v>
      </c>
      <c r="B197" s="5" t="n">
        <v>33729</v>
      </c>
      <c r="C197" s="5" t="s">
        <v>368</v>
      </c>
      <c r="D197" s="5" t="s">
        <v>542</v>
      </c>
      <c r="E197" s="5" t="s">
        <v>367</v>
      </c>
      <c r="F197" s="10" t="n">
        <v>43.4</v>
      </c>
      <c r="G197" s="11" t="n">
        <v>1</v>
      </c>
      <c r="H197" s="11" t="n">
        <v>18</v>
      </c>
      <c r="I197" s="11" t="n">
        <v>16</v>
      </c>
      <c r="J197" s="5" t="str">
        <f aca="false">IF(F197=0,"MISSING","")</f>
        <v/>
      </c>
      <c r="K197" s="5" t="str">
        <f aca="false">IF(G197&lt;=0,"MISSING","")</f>
        <v/>
      </c>
      <c r="L197" s="5" t="str">
        <f aca="false">IF(D197="","MISSING","")</f>
        <v/>
      </c>
      <c r="M197" s="5" t="str">
        <f aca="false">IF(COUNTIF(B$2:B$263,B197)&gt;1,"DUPLICATE","")</f>
        <v/>
      </c>
    </row>
    <row r="198" customFormat="false" ht="15" hidden="false" customHeight="false" outlineLevel="0" collapsed="false">
      <c r="A198" s="5" t="n">
        <v>197</v>
      </c>
      <c r="B198" s="5" t="n">
        <v>66985</v>
      </c>
      <c r="C198" s="5" t="s">
        <v>369</v>
      </c>
      <c r="D198" s="5" t="s">
        <v>542</v>
      </c>
      <c r="E198" s="5" t="s">
        <v>367</v>
      </c>
      <c r="F198" s="10" t="n">
        <v>46.37</v>
      </c>
      <c r="G198" s="11" t="n">
        <v>1</v>
      </c>
      <c r="H198" s="11" t="n">
        <v>4</v>
      </c>
      <c r="I198" s="11" t="n">
        <v>4</v>
      </c>
      <c r="J198" s="5" t="str">
        <f aca="false">IF(F198=0,"MISSING","")</f>
        <v/>
      </c>
      <c r="K198" s="5" t="str">
        <f aca="false">IF(G198&lt;=0,"MISSING","")</f>
        <v/>
      </c>
      <c r="L198" s="5" t="str">
        <f aca="false">IF(D198="","MISSING","")</f>
        <v/>
      </c>
      <c r="M198" s="5" t="str">
        <f aca="false">IF(COUNTIF(B$2:B$263,B198)&gt;1,"DUPLICATE","")</f>
        <v/>
      </c>
    </row>
    <row r="199" customFormat="false" ht="15" hidden="false" customHeight="false" outlineLevel="0" collapsed="false">
      <c r="A199" s="5" t="n">
        <v>198</v>
      </c>
      <c r="B199" s="5" t="n">
        <v>63343</v>
      </c>
      <c r="C199" s="5" t="s">
        <v>370</v>
      </c>
      <c r="D199" s="5" t="s">
        <v>543</v>
      </c>
      <c r="E199" s="5" t="s">
        <v>172</v>
      </c>
      <c r="F199" s="10" t="n">
        <v>27.4</v>
      </c>
      <c r="G199" s="11" t="n">
        <v>1</v>
      </c>
      <c r="H199" s="11" t="n">
        <v>0</v>
      </c>
      <c r="I199" s="11" t="n">
        <v>1</v>
      </c>
      <c r="J199" s="5" t="str">
        <f aca="false">IF(F199=0,"MISSING","")</f>
        <v/>
      </c>
      <c r="K199" s="5" t="str">
        <f aca="false">IF(G199&lt;=0,"MISSING","")</f>
        <v/>
      </c>
      <c r="L199" s="5" t="str">
        <f aca="false">IF(D199="","MISSING","")</f>
        <v/>
      </c>
      <c r="M199" s="5" t="str">
        <f aca="false">IF(COUNTIF(B$2:B$263,B199)&gt;1,"DUPLICATE","")</f>
        <v/>
      </c>
    </row>
    <row r="200" customFormat="false" ht="15" hidden="false" customHeight="false" outlineLevel="0" collapsed="false">
      <c r="A200" s="5" t="n">
        <v>199</v>
      </c>
      <c r="B200" s="5" t="n">
        <v>35113</v>
      </c>
      <c r="C200" s="5" t="s">
        <v>371</v>
      </c>
      <c r="D200" s="5" t="s">
        <v>543</v>
      </c>
      <c r="E200" s="5" t="s">
        <v>372</v>
      </c>
      <c r="F200" s="10" t="n">
        <v>11.64</v>
      </c>
      <c r="G200" s="11" t="n">
        <v>1</v>
      </c>
      <c r="H200" s="11" t="n">
        <v>2</v>
      </c>
      <c r="I200" s="11" t="n">
        <v>0</v>
      </c>
      <c r="J200" s="5" t="str">
        <f aca="false">IF(F200=0,"MISSING","")</f>
        <v/>
      </c>
      <c r="K200" s="5" t="str">
        <f aca="false">IF(G200&lt;=0,"MISSING","")</f>
        <v/>
      </c>
      <c r="L200" s="5" t="str">
        <f aca="false">IF(D200="","MISSING","")</f>
        <v/>
      </c>
      <c r="M200" s="5" t="str">
        <f aca="false">IF(COUNTIF(B$2:B$263,B200)&gt;1,"DUPLICATE","")</f>
        <v/>
      </c>
    </row>
    <row r="201" customFormat="false" ht="15" hidden="false" customHeight="false" outlineLevel="0" collapsed="false">
      <c r="A201" s="5" t="n">
        <v>200</v>
      </c>
      <c r="B201" s="5" t="n">
        <v>26324</v>
      </c>
      <c r="C201" s="5" t="s">
        <v>374</v>
      </c>
      <c r="D201" s="5" t="s">
        <v>543</v>
      </c>
      <c r="E201" s="5" t="s">
        <v>375</v>
      </c>
      <c r="F201" s="10" t="n">
        <v>13.28</v>
      </c>
      <c r="G201" s="11" t="n">
        <v>1</v>
      </c>
      <c r="H201" s="11" t="n">
        <v>1</v>
      </c>
      <c r="I201" s="11" t="n">
        <v>1</v>
      </c>
      <c r="J201" s="5" t="str">
        <f aca="false">IF(F201=0,"MISSING","")</f>
        <v/>
      </c>
      <c r="K201" s="5" t="str">
        <f aca="false">IF(G201&lt;=0,"MISSING","")</f>
        <v/>
      </c>
      <c r="L201" s="5" t="str">
        <f aca="false">IF(D201="","MISSING","")</f>
        <v/>
      </c>
      <c r="M201" s="5" t="str">
        <f aca="false">IF(COUNTIF(B$2:B$263,B201)&gt;1,"DUPLICATE","")</f>
        <v/>
      </c>
    </row>
    <row r="202" customFormat="false" ht="15" hidden="false" customHeight="false" outlineLevel="0" collapsed="false">
      <c r="A202" s="5" t="n">
        <v>201</v>
      </c>
      <c r="B202" s="5" t="n">
        <v>26325</v>
      </c>
      <c r="C202" s="5" t="s">
        <v>377</v>
      </c>
      <c r="D202" s="5" t="s">
        <v>543</v>
      </c>
      <c r="E202" s="5" t="s">
        <v>375</v>
      </c>
      <c r="F202" s="10" t="n">
        <v>24.89</v>
      </c>
      <c r="G202" s="11" t="n">
        <v>1</v>
      </c>
      <c r="H202" s="11" t="n">
        <v>0</v>
      </c>
      <c r="I202" s="11" t="n">
        <v>1</v>
      </c>
      <c r="J202" s="5" t="str">
        <f aca="false">IF(F202=0,"MISSING","")</f>
        <v/>
      </c>
      <c r="K202" s="5" t="str">
        <f aca="false">IF(G202&lt;=0,"MISSING","")</f>
        <v/>
      </c>
      <c r="L202" s="5" t="str">
        <f aca="false">IF(D202="","MISSING","")</f>
        <v/>
      </c>
      <c r="M202" s="5" t="str">
        <f aca="false">IF(COUNTIF(B$2:B$263,B202)&gt;1,"DUPLICATE","")</f>
        <v/>
      </c>
    </row>
    <row r="203" customFormat="false" ht="15" hidden="false" customHeight="false" outlineLevel="0" collapsed="false">
      <c r="A203" s="5" t="n">
        <v>202</v>
      </c>
      <c r="B203" s="5" t="n">
        <v>17159</v>
      </c>
      <c r="C203" s="5" t="s">
        <v>379</v>
      </c>
      <c r="D203" s="5" t="s">
        <v>543</v>
      </c>
      <c r="E203" s="5" t="s">
        <v>52</v>
      </c>
      <c r="F203" s="10" t="n">
        <v>34.13</v>
      </c>
      <c r="G203" s="11" t="n">
        <v>1</v>
      </c>
      <c r="H203" s="11" t="n">
        <v>1</v>
      </c>
      <c r="I203" s="11" t="n">
        <v>0</v>
      </c>
      <c r="J203" s="5" t="str">
        <f aca="false">IF(F203=0,"MISSING","")</f>
        <v/>
      </c>
      <c r="K203" s="5" t="str">
        <f aca="false">IF(G203&lt;=0,"MISSING","")</f>
        <v/>
      </c>
      <c r="L203" s="5" t="str">
        <f aca="false">IF(D203="","MISSING","")</f>
        <v/>
      </c>
      <c r="M203" s="5" t="str">
        <f aca="false">IF(COUNTIF(B$2:B$263,B203)&gt;1,"DUPLICATE","")</f>
        <v/>
      </c>
    </row>
    <row r="204" customFormat="false" ht="15" hidden="false" customHeight="false" outlineLevel="0" collapsed="false">
      <c r="A204" s="5" t="n">
        <v>203</v>
      </c>
      <c r="B204" s="5" t="n">
        <v>17160</v>
      </c>
      <c r="C204" s="5" t="s">
        <v>381</v>
      </c>
      <c r="D204" s="5" t="s">
        <v>543</v>
      </c>
      <c r="E204" s="5" t="s">
        <v>52</v>
      </c>
      <c r="F204" s="10" t="n">
        <v>19.6</v>
      </c>
      <c r="G204" s="11" t="n">
        <v>1</v>
      </c>
      <c r="H204" s="11" t="n">
        <v>18</v>
      </c>
      <c r="I204" s="11" t="n">
        <v>0</v>
      </c>
      <c r="J204" s="5" t="str">
        <f aca="false">IF(F204=0,"MISSING","")</f>
        <v/>
      </c>
      <c r="K204" s="5" t="str">
        <f aca="false">IF(G204&lt;=0,"MISSING","")</f>
        <v/>
      </c>
      <c r="L204" s="5" t="str">
        <f aca="false">IF(D204="","MISSING","")</f>
        <v/>
      </c>
      <c r="M204" s="5" t="str">
        <f aca="false">IF(COUNTIF(B$2:B$263,B204)&gt;1,"DUPLICATE","")</f>
        <v/>
      </c>
    </row>
    <row r="205" customFormat="false" ht="15" hidden="false" customHeight="false" outlineLevel="0" collapsed="false">
      <c r="A205" s="5" t="n">
        <v>204</v>
      </c>
      <c r="B205" s="5" t="n">
        <v>59752</v>
      </c>
      <c r="C205" s="5" t="s">
        <v>382</v>
      </c>
      <c r="D205" s="5" t="s">
        <v>543</v>
      </c>
      <c r="E205" s="5" t="s">
        <v>383</v>
      </c>
      <c r="F205" s="10" t="n">
        <v>20.21</v>
      </c>
      <c r="G205" s="11" t="n">
        <v>1</v>
      </c>
      <c r="H205" s="11" t="n">
        <v>14</v>
      </c>
      <c r="I205" s="11" t="n">
        <v>0</v>
      </c>
      <c r="J205" s="5" t="str">
        <f aca="false">IF(F205=0,"MISSING","")</f>
        <v/>
      </c>
      <c r="K205" s="5" t="str">
        <f aca="false">IF(G205&lt;=0,"MISSING","")</f>
        <v/>
      </c>
      <c r="L205" s="5" t="str">
        <f aca="false">IF(D205="","MISSING","")</f>
        <v/>
      </c>
      <c r="M205" s="5" t="str">
        <f aca="false">IF(COUNTIF(B$2:B$263,B205)&gt;1,"DUPLICATE","")</f>
        <v/>
      </c>
    </row>
    <row r="206" customFormat="false" ht="15" hidden="false" customHeight="false" outlineLevel="0" collapsed="false">
      <c r="A206" s="5" t="n">
        <v>205</v>
      </c>
      <c r="B206" s="5" t="n">
        <v>41216</v>
      </c>
      <c r="C206" s="5" t="s">
        <v>385</v>
      </c>
      <c r="D206" s="5" t="s">
        <v>543</v>
      </c>
      <c r="E206" s="5" t="s">
        <v>375</v>
      </c>
      <c r="F206" s="10" t="n">
        <v>22.51</v>
      </c>
      <c r="G206" s="11" t="n">
        <v>1</v>
      </c>
      <c r="H206" s="11" t="n">
        <v>1</v>
      </c>
      <c r="I206" s="11" t="n">
        <v>1</v>
      </c>
      <c r="J206" s="5" t="str">
        <f aca="false">IF(F206=0,"MISSING","")</f>
        <v/>
      </c>
      <c r="K206" s="5" t="str">
        <f aca="false">IF(G206&lt;=0,"MISSING","")</f>
        <v/>
      </c>
      <c r="L206" s="5" t="str">
        <f aca="false">IF(D206="","MISSING","")</f>
        <v/>
      </c>
      <c r="M206" s="5" t="str">
        <f aca="false">IF(COUNTIF(B$2:B$263,B206)&gt;1,"DUPLICATE","")</f>
        <v/>
      </c>
    </row>
    <row r="207" customFormat="false" ht="15" hidden="false" customHeight="false" outlineLevel="0" collapsed="false">
      <c r="A207" s="5" t="n">
        <v>206</v>
      </c>
      <c r="B207" s="5" t="n">
        <v>41217</v>
      </c>
      <c r="C207" s="5" t="s">
        <v>386</v>
      </c>
      <c r="D207" s="5" t="s">
        <v>543</v>
      </c>
      <c r="E207" s="5" t="s">
        <v>375</v>
      </c>
      <c r="F207" s="10" t="n">
        <v>28.07</v>
      </c>
      <c r="G207" s="11" t="n">
        <v>1</v>
      </c>
      <c r="H207" s="11" t="n">
        <v>4</v>
      </c>
      <c r="I207" s="11" t="n">
        <v>6</v>
      </c>
      <c r="J207" s="5" t="str">
        <f aca="false">IF(F207=0,"MISSING","")</f>
        <v/>
      </c>
      <c r="K207" s="5" t="str">
        <f aca="false">IF(G207&lt;=0,"MISSING","")</f>
        <v/>
      </c>
      <c r="L207" s="5" t="str">
        <f aca="false">IF(D207="","MISSING","")</f>
        <v/>
      </c>
      <c r="M207" s="5" t="str">
        <f aca="false">IF(COUNTIF(B$2:B$263,B207)&gt;1,"DUPLICATE","")</f>
        <v/>
      </c>
    </row>
    <row r="208" customFormat="false" ht="15" hidden="false" customHeight="false" outlineLevel="0" collapsed="false">
      <c r="A208" s="5" t="n">
        <v>207</v>
      </c>
      <c r="B208" s="5" t="n">
        <v>66908</v>
      </c>
      <c r="C208" s="5" t="s">
        <v>387</v>
      </c>
      <c r="D208" s="5" t="s">
        <v>543</v>
      </c>
      <c r="E208" s="5" t="s">
        <v>388</v>
      </c>
      <c r="F208" s="10" t="n">
        <v>13.23</v>
      </c>
      <c r="G208" s="11" t="n">
        <v>10</v>
      </c>
      <c r="H208" s="11" t="n">
        <v>11</v>
      </c>
      <c r="I208" s="11" t="n">
        <v>7</v>
      </c>
      <c r="J208" s="5" t="str">
        <f aca="false">IF(F208=0,"MISSING","")</f>
        <v/>
      </c>
      <c r="K208" s="5" t="str">
        <f aca="false">IF(G208&lt;=0,"MISSING","")</f>
        <v/>
      </c>
      <c r="L208" s="5" t="str">
        <f aca="false">IF(D208="","MISSING","")</f>
        <v/>
      </c>
      <c r="M208" s="5" t="str">
        <f aca="false">IF(COUNTIF(B$2:B$263,B208)&gt;1,"DUPLICATE","")</f>
        <v/>
      </c>
    </row>
    <row r="209" customFormat="false" ht="15" hidden="false" customHeight="false" outlineLevel="0" collapsed="false">
      <c r="A209" s="5" t="n">
        <v>208</v>
      </c>
      <c r="B209" s="5" t="n">
        <v>44099</v>
      </c>
      <c r="C209" s="5" t="s">
        <v>390</v>
      </c>
      <c r="D209" s="5" t="s">
        <v>543</v>
      </c>
      <c r="E209" s="5" t="s">
        <v>169</v>
      </c>
      <c r="F209" s="10" t="n">
        <v>26.37</v>
      </c>
      <c r="G209" s="11" t="n">
        <v>1</v>
      </c>
      <c r="H209" s="11" t="n">
        <v>12</v>
      </c>
      <c r="I209" s="11" t="n">
        <v>4</v>
      </c>
      <c r="J209" s="5" t="str">
        <f aca="false">IF(F209=0,"MISSING","")</f>
        <v/>
      </c>
      <c r="K209" s="5" t="str">
        <f aca="false">IF(G209&lt;=0,"MISSING","")</f>
        <v/>
      </c>
      <c r="L209" s="5" t="str">
        <f aca="false">IF(D209="","MISSING","")</f>
        <v/>
      </c>
      <c r="M209" s="5" t="str">
        <f aca="false">IF(COUNTIF(B$2:B$263,B209)&gt;1,"DUPLICATE","")</f>
        <v/>
      </c>
    </row>
    <row r="210" customFormat="false" ht="15" hidden="false" customHeight="false" outlineLevel="0" collapsed="false">
      <c r="A210" s="5" t="n">
        <v>209</v>
      </c>
      <c r="B210" s="5" t="n">
        <v>41623</v>
      </c>
      <c r="C210" s="5" t="s">
        <v>391</v>
      </c>
      <c r="D210" s="5" t="s">
        <v>543</v>
      </c>
      <c r="E210" s="5" t="s">
        <v>169</v>
      </c>
      <c r="F210" s="10" t="n">
        <v>27.96</v>
      </c>
      <c r="G210" s="11" t="n">
        <v>1</v>
      </c>
      <c r="H210" s="11" t="n">
        <v>3</v>
      </c>
      <c r="I210" s="11" t="n">
        <v>4</v>
      </c>
      <c r="J210" s="5" t="str">
        <f aca="false">IF(F210=0,"MISSING","")</f>
        <v/>
      </c>
      <c r="K210" s="5" t="str">
        <f aca="false">IF(G210&lt;=0,"MISSING","")</f>
        <v/>
      </c>
      <c r="L210" s="5" t="str">
        <f aca="false">IF(D210="","MISSING","")</f>
        <v/>
      </c>
      <c r="M210" s="5" t="str">
        <f aca="false">IF(COUNTIF(B$2:B$263,B210)&gt;1,"DUPLICATE","")</f>
        <v/>
      </c>
    </row>
    <row r="211" customFormat="false" ht="15" hidden="false" customHeight="false" outlineLevel="0" collapsed="false">
      <c r="A211" s="5" t="n">
        <v>210</v>
      </c>
      <c r="B211" s="5" t="n">
        <v>66910</v>
      </c>
      <c r="C211" s="5" t="s">
        <v>392</v>
      </c>
      <c r="D211" s="5" t="s">
        <v>543</v>
      </c>
      <c r="E211" s="5" t="s">
        <v>388</v>
      </c>
      <c r="F211" s="10" t="n">
        <v>27.17</v>
      </c>
      <c r="G211" s="11" t="n">
        <v>10</v>
      </c>
      <c r="H211" s="11" t="n">
        <v>0</v>
      </c>
      <c r="I211" s="11" t="n">
        <v>7</v>
      </c>
      <c r="J211" s="5" t="str">
        <f aca="false">IF(F211=0,"MISSING","")</f>
        <v/>
      </c>
      <c r="K211" s="5" t="str">
        <f aca="false">IF(G211&lt;=0,"MISSING","")</f>
        <v/>
      </c>
      <c r="L211" s="5" t="str">
        <f aca="false">IF(D211="","MISSING","")</f>
        <v/>
      </c>
      <c r="M211" s="5" t="str">
        <f aca="false">IF(COUNTIF(B$2:B$263,B211)&gt;1,"DUPLICATE","")</f>
        <v/>
      </c>
    </row>
    <row r="212" customFormat="false" ht="15" hidden="false" customHeight="false" outlineLevel="0" collapsed="false">
      <c r="A212" s="5" t="n">
        <v>211</v>
      </c>
      <c r="B212" s="5" t="n">
        <v>43703</v>
      </c>
      <c r="C212" s="5" t="s">
        <v>393</v>
      </c>
      <c r="D212" s="5" t="s">
        <v>543</v>
      </c>
      <c r="E212" s="5" t="s">
        <v>169</v>
      </c>
      <c r="F212" s="10" t="n">
        <v>5.57</v>
      </c>
      <c r="G212" s="11" t="n">
        <v>1</v>
      </c>
      <c r="H212" s="11" t="n">
        <v>0</v>
      </c>
      <c r="I212" s="11" t="n">
        <v>7</v>
      </c>
      <c r="J212" s="5" t="str">
        <f aca="false">IF(F212=0,"MISSING","")</f>
        <v/>
      </c>
      <c r="K212" s="5" t="str">
        <f aca="false">IF(G212&lt;=0,"MISSING","")</f>
        <v/>
      </c>
      <c r="L212" s="5" t="str">
        <f aca="false">IF(D212="","MISSING","")</f>
        <v/>
      </c>
      <c r="M212" s="5" t="str">
        <f aca="false">IF(COUNTIF(B$2:B$263,B212)&gt;1,"DUPLICATE","")</f>
        <v/>
      </c>
    </row>
    <row r="213" customFormat="false" ht="15" hidden="false" customHeight="false" outlineLevel="0" collapsed="false">
      <c r="A213" s="5" t="n">
        <v>212</v>
      </c>
      <c r="B213" s="5" t="n">
        <v>66909</v>
      </c>
      <c r="C213" s="5" t="s">
        <v>394</v>
      </c>
      <c r="D213" s="5" t="s">
        <v>543</v>
      </c>
      <c r="E213" s="5" t="s">
        <v>388</v>
      </c>
      <c r="F213" s="10" t="n">
        <v>21.06</v>
      </c>
      <c r="G213" s="11" t="n">
        <v>10</v>
      </c>
      <c r="H213" s="11" t="n">
        <v>9</v>
      </c>
      <c r="I213" s="11" t="n">
        <v>15</v>
      </c>
      <c r="J213" s="5" t="str">
        <f aca="false">IF(F213=0,"MISSING","")</f>
        <v/>
      </c>
      <c r="K213" s="5" t="str">
        <f aca="false">IF(G213&lt;=0,"MISSING","")</f>
        <v/>
      </c>
      <c r="L213" s="5" t="str">
        <f aca="false">IF(D213="","MISSING","")</f>
        <v/>
      </c>
      <c r="M213" s="5" t="str">
        <f aca="false">IF(COUNTIF(B$2:B$263,B213)&gt;1,"DUPLICATE","")</f>
        <v/>
      </c>
    </row>
    <row r="214" customFormat="false" ht="15" hidden="false" customHeight="false" outlineLevel="0" collapsed="false">
      <c r="A214" s="5" t="n">
        <v>213</v>
      </c>
      <c r="B214" s="5" t="n">
        <v>12562</v>
      </c>
      <c r="C214" s="5" t="s">
        <v>395</v>
      </c>
      <c r="D214" s="5" t="s">
        <v>543</v>
      </c>
      <c r="E214" s="5" t="s">
        <v>367</v>
      </c>
      <c r="F214" s="10" t="n">
        <v>12.9</v>
      </c>
      <c r="G214" s="11" t="n">
        <v>1</v>
      </c>
      <c r="H214" s="11" t="n">
        <v>3</v>
      </c>
      <c r="I214" s="11" t="n">
        <v>1</v>
      </c>
      <c r="J214" s="5" t="str">
        <f aca="false">IF(F214=0,"MISSING","")</f>
        <v/>
      </c>
      <c r="K214" s="5" t="str">
        <f aca="false">IF(G214&lt;=0,"MISSING","")</f>
        <v/>
      </c>
      <c r="L214" s="5" t="str">
        <f aca="false">IF(D214="","MISSING","")</f>
        <v/>
      </c>
      <c r="M214" s="5" t="str">
        <f aca="false">IF(COUNTIF(B$2:B$263,B214)&gt;1,"DUPLICATE","")</f>
        <v/>
      </c>
    </row>
    <row r="215" customFormat="false" ht="15" hidden="false" customHeight="false" outlineLevel="0" collapsed="false">
      <c r="A215" s="5" t="n">
        <v>214</v>
      </c>
      <c r="B215" s="5" t="n">
        <v>66915</v>
      </c>
      <c r="C215" s="5" t="s">
        <v>396</v>
      </c>
      <c r="D215" s="5" t="s">
        <v>543</v>
      </c>
      <c r="E215" s="5" t="s">
        <v>104</v>
      </c>
      <c r="F215" s="10" t="n">
        <v>33.04</v>
      </c>
      <c r="G215" s="11" t="n">
        <v>1</v>
      </c>
      <c r="H215" s="11" t="n">
        <v>2</v>
      </c>
      <c r="I215" s="11" t="n">
        <v>6</v>
      </c>
      <c r="J215" s="5" t="str">
        <f aca="false">IF(F215=0,"MISSING","")</f>
        <v/>
      </c>
      <c r="K215" s="5" t="str">
        <f aca="false">IF(G215&lt;=0,"MISSING","")</f>
        <v/>
      </c>
      <c r="L215" s="5" t="str">
        <f aca="false">IF(D215="","MISSING","")</f>
        <v/>
      </c>
      <c r="M215" s="5" t="str">
        <f aca="false">IF(COUNTIF(B$2:B$263,B215)&gt;1,"DUPLICATE","")</f>
        <v/>
      </c>
    </row>
    <row r="216" customFormat="false" ht="15" hidden="false" customHeight="false" outlineLevel="0" collapsed="false">
      <c r="A216" s="5" t="n">
        <v>215</v>
      </c>
      <c r="B216" s="5" t="n">
        <v>33725</v>
      </c>
      <c r="C216" s="5" t="s">
        <v>397</v>
      </c>
      <c r="D216" s="5" t="s">
        <v>543</v>
      </c>
      <c r="E216" s="5" t="s">
        <v>367</v>
      </c>
      <c r="F216" s="10" t="n">
        <v>30.73</v>
      </c>
      <c r="G216" s="11" t="n">
        <v>1</v>
      </c>
      <c r="H216" s="11" t="n">
        <v>5</v>
      </c>
      <c r="I216" s="11" t="n">
        <v>1</v>
      </c>
      <c r="J216" s="5" t="str">
        <f aca="false">IF(F216=0,"MISSING","")</f>
        <v/>
      </c>
      <c r="K216" s="5" t="str">
        <f aca="false">IF(G216&lt;=0,"MISSING","")</f>
        <v/>
      </c>
      <c r="L216" s="5" t="str">
        <f aca="false">IF(D216="","MISSING","")</f>
        <v/>
      </c>
      <c r="M216" s="5" t="str">
        <f aca="false">IF(COUNTIF(B$2:B$263,B216)&gt;1,"DUPLICATE","")</f>
        <v/>
      </c>
    </row>
    <row r="217" customFormat="false" ht="15" hidden="false" customHeight="false" outlineLevel="0" collapsed="false">
      <c r="A217" s="5" t="n">
        <v>216</v>
      </c>
      <c r="B217" s="5" t="n">
        <v>47498</v>
      </c>
      <c r="C217" s="5" t="s">
        <v>399</v>
      </c>
      <c r="D217" s="5" t="s">
        <v>543</v>
      </c>
      <c r="E217" s="5" t="s">
        <v>400</v>
      </c>
      <c r="F217" s="10" t="n">
        <v>29.06</v>
      </c>
      <c r="G217" s="11" t="n">
        <v>50</v>
      </c>
      <c r="H217" s="11" t="n">
        <v>11</v>
      </c>
      <c r="I217" s="11" t="n">
        <v>0</v>
      </c>
      <c r="J217" s="5" t="str">
        <f aca="false">IF(F217=0,"MISSING","")</f>
        <v/>
      </c>
      <c r="K217" s="5" t="str">
        <f aca="false">IF(G217&lt;=0,"MISSING","")</f>
        <v/>
      </c>
      <c r="L217" s="5" t="str">
        <f aca="false">IF(D217="","MISSING","")</f>
        <v/>
      </c>
      <c r="M217" s="5" t="str">
        <f aca="false">IF(COUNTIF(B$2:B$263,B217)&gt;1,"DUPLICATE","")</f>
        <v/>
      </c>
    </row>
    <row r="218" customFormat="false" ht="15" hidden="false" customHeight="false" outlineLevel="0" collapsed="false">
      <c r="A218" s="5" t="n">
        <v>217</v>
      </c>
      <c r="B218" s="5" t="n">
        <v>12609</v>
      </c>
      <c r="C218" s="5" t="s">
        <v>402</v>
      </c>
      <c r="D218" s="5" t="s">
        <v>543</v>
      </c>
      <c r="E218" s="5" t="s">
        <v>403</v>
      </c>
      <c r="F218" s="10" t="n">
        <v>9.86</v>
      </c>
      <c r="G218" s="11" t="n">
        <v>1</v>
      </c>
      <c r="H218" s="11" t="n">
        <v>0</v>
      </c>
      <c r="I218" s="11" t="n">
        <v>0</v>
      </c>
      <c r="J218" s="5" t="str">
        <f aca="false">IF(F218=0,"MISSING","")</f>
        <v/>
      </c>
      <c r="K218" s="5" t="str">
        <f aca="false">IF(G218&lt;=0,"MISSING","")</f>
        <v/>
      </c>
      <c r="L218" s="5" t="str">
        <f aca="false">IF(D218="","MISSING","")</f>
        <v/>
      </c>
      <c r="M218" s="5" t="str">
        <f aca="false">IF(COUNTIF(B$2:B$263,B218)&gt;1,"DUPLICATE","")</f>
        <v/>
      </c>
    </row>
    <row r="219" customFormat="false" ht="15" hidden="false" customHeight="false" outlineLevel="0" collapsed="false">
      <c r="A219" s="5" t="n">
        <v>218</v>
      </c>
      <c r="B219" s="5" t="n">
        <v>12617</v>
      </c>
      <c r="C219" s="5" t="s">
        <v>404</v>
      </c>
      <c r="D219" s="5" t="s">
        <v>543</v>
      </c>
      <c r="E219" s="5" t="s">
        <v>405</v>
      </c>
      <c r="F219" s="10" t="n">
        <v>12.28</v>
      </c>
      <c r="G219" s="11" t="n">
        <v>1</v>
      </c>
      <c r="H219" s="11" t="n">
        <v>0</v>
      </c>
      <c r="I219" s="11" t="n">
        <v>0</v>
      </c>
      <c r="J219" s="5" t="str">
        <f aca="false">IF(F219=0,"MISSING","")</f>
        <v/>
      </c>
      <c r="K219" s="5" t="str">
        <f aca="false">IF(G219&lt;=0,"MISSING","")</f>
        <v/>
      </c>
      <c r="L219" s="5" t="str">
        <f aca="false">IF(D219="","MISSING","")</f>
        <v/>
      </c>
      <c r="M219" s="5" t="str">
        <f aca="false">IF(COUNTIF(B$2:B$263,B219)&gt;1,"DUPLICATE","")</f>
        <v/>
      </c>
    </row>
    <row r="220" customFormat="false" ht="15" hidden="false" customHeight="false" outlineLevel="0" collapsed="false">
      <c r="A220" s="5" t="n">
        <v>219</v>
      </c>
      <c r="B220" s="5" t="n">
        <v>12633</v>
      </c>
      <c r="C220" s="5" t="s">
        <v>406</v>
      </c>
      <c r="D220" s="5" t="s">
        <v>543</v>
      </c>
      <c r="E220" s="5" t="s">
        <v>405</v>
      </c>
      <c r="F220" s="10" t="n">
        <v>11.84</v>
      </c>
      <c r="G220" s="11" t="n">
        <v>1</v>
      </c>
      <c r="H220" s="11" t="n">
        <v>14</v>
      </c>
      <c r="I220" s="11" t="n">
        <v>1</v>
      </c>
      <c r="J220" s="5" t="str">
        <f aca="false">IF(F220=0,"MISSING","")</f>
        <v/>
      </c>
      <c r="K220" s="5" t="str">
        <f aca="false">IF(G220&lt;=0,"MISSING","")</f>
        <v/>
      </c>
      <c r="L220" s="5" t="str">
        <f aca="false">IF(D220="","MISSING","")</f>
        <v/>
      </c>
      <c r="M220" s="5" t="str">
        <f aca="false">IF(COUNTIF(B$2:B$263,B220)&gt;1,"DUPLICATE","")</f>
        <v/>
      </c>
    </row>
    <row r="221" customFormat="false" ht="15" hidden="false" customHeight="false" outlineLevel="0" collapsed="false">
      <c r="A221" s="5" t="n">
        <v>220</v>
      </c>
      <c r="B221" s="5" t="n">
        <v>12585</v>
      </c>
      <c r="C221" s="5" t="s">
        <v>407</v>
      </c>
      <c r="D221" s="5" t="s">
        <v>543</v>
      </c>
      <c r="E221" s="5" t="s">
        <v>403</v>
      </c>
      <c r="F221" s="10" t="n">
        <v>9.18</v>
      </c>
      <c r="G221" s="11" t="n">
        <v>1</v>
      </c>
      <c r="H221" s="11" t="n">
        <v>1</v>
      </c>
      <c r="I221" s="11" t="n">
        <v>1</v>
      </c>
      <c r="J221" s="5" t="str">
        <f aca="false">IF(F221=0,"MISSING","")</f>
        <v/>
      </c>
      <c r="K221" s="5" t="str">
        <f aca="false">IF(G221&lt;=0,"MISSING","")</f>
        <v/>
      </c>
      <c r="L221" s="5" t="str">
        <f aca="false">IF(D221="","MISSING","")</f>
        <v/>
      </c>
      <c r="M221" s="5" t="str">
        <f aca="false">IF(COUNTIF(B$2:B$263,B221)&gt;1,"DUPLICATE","")</f>
        <v/>
      </c>
    </row>
    <row r="222" customFormat="false" ht="15" hidden="false" customHeight="false" outlineLevel="0" collapsed="false">
      <c r="A222" s="5" t="n">
        <v>221</v>
      </c>
      <c r="B222" s="5" t="n">
        <v>22573</v>
      </c>
      <c r="C222" s="5" t="s">
        <v>408</v>
      </c>
      <c r="D222" s="5" t="s">
        <v>543</v>
      </c>
      <c r="E222" s="5" t="s">
        <v>403</v>
      </c>
      <c r="F222" s="10" t="n">
        <v>7.64</v>
      </c>
      <c r="G222" s="11" t="n">
        <v>1</v>
      </c>
      <c r="H222" s="11" t="n">
        <v>10</v>
      </c>
      <c r="I222" s="11" t="n">
        <v>1</v>
      </c>
      <c r="J222" s="5" t="str">
        <f aca="false">IF(F222=0,"MISSING","")</f>
        <v/>
      </c>
      <c r="K222" s="5" t="str">
        <f aca="false">IF(G222&lt;=0,"MISSING","")</f>
        <v/>
      </c>
      <c r="L222" s="5" t="str">
        <f aca="false">IF(D222="","MISSING","")</f>
        <v/>
      </c>
      <c r="M222" s="5" t="str">
        <f aca="false">IF(COUNTIF(B$2:B$263,B222)&gt;1,"DUPLICATE","")</f>
        <v/>
      </c>
    </row>
    <row r="223" customFormat="false" ht="15" hidden="false" customHeight="false" outlineLevel="0" collapsed="false">
      <c r="A223" s="5" t="n">
        <v>222</v>
      </c>
      <c r="B223" s="5" t="n">
        <v>28466</v>
      </c>
      <c r="C223" s="5" t="s">
        <v>409</v>
      </c>
      <c r="D223" s="5" t="s">
        <v>543</v>
      </c>
      <c r="E223" s="5" t="s">
        <v>375</v>
      </c>
      <c r="F223" s="10" t="n">
        <v>13.49</v>
      </c>
      <c r="G223" s="11" t="n">
        <v>1</v>
      </c>
      <c r="H223" s="11" t="n">
        <v>0</v>
      </c>
      <c r="I223" s="11" t="n">
        <v>1</v>
      </c>
      <c r="J223" s="5" t="str">
        <f aca="false">IF(F223=0,"MISSING","")</f>
        <v/>
      </c>
      <c r="K223" s="5" t="str">
        <f aca="false">IF(G223&lt;=0,"MISSING","")</f>
        <v/>
      </c>
      <c r="L223" s="5" t="str">
        <f aca="false">IF(D223="","MISSING","")</f>
        <v/>
      </c>
      <c r="M223" s="5" t="str">
        <f aca="false">IF(COUNTIF(B$2:B$263,B223)&gt;1,"DUPLICATE","")</f>
        <v/>
      </c>
    </row>
    <row r="224" customFormat="false" ht="15" hidden="false" customHeight="false" outlineLevel="0" collapsed="false">
      <c r="A224" s="5" t="n">
        <v>223</v>
      </c>
      <c r="B224" s="5" t="n">
        <v>31649</v>
      </c>
      <c r="C224" s="5" t="s">
        <v>411</v>
      </c>
      <c r="D224" s="5" t="s">
        <v>543</v>
      </c>
      <c r="E224" s="5" t="s">
        <v>412</v>
      </c>
      <c r="F224" s="10" t="n">
        <v>9.12</v>
      </c>
      <c r="G224" s="11" t="n">
        <v>12</v>
      </c>
      <c r="H224" s="11" t="n">
        <v>1</v>
      </c>
      <c r="I224" s="11" t="n">
        <v>5</v>
      </c>
      <c r="J224" s="5" t="str">
        <f aca="false">IF(F224=0,"MISSING","")</f>
        <v/>
      </c>
      <c r="K224" s="5" t="str">
        <f aca="false">IF(G224&lt;=0,"MISSING","")</f>
        <v/>
      </c>
      <c r="L224" s="5" t="str">
        <f aca="false">IF(D224="","MISSING","")</f>
        <v/>
      </c>
      <c r="M224" s="5" t="str">
        <f aca="false">IF(COUNTIF(B$2:B$263,B224)&gt;1,"DUPLICATE","")</f>
        <v/>
      </c>
    </row>
    <row r="225" customFormat="false" ht="15" hidden="false" customHeight="false" outlineLevel="0" collapsed="false">
      <c r="A225" s="5" t="n">
        <v>224</v>
      </c>
      <c r="B225" s="5" t="n">
        <v>66712</v>
      </c>
      <c r="C225" s="5" t="s">
        <v>414</v>
      </c>
      <c r="D225" s="5" t="s">
        <v>548</v>
      </c>
      <c r="E225" s="5" t="s">
        <v>415</v>
      </c>
      <c r="F225" s="10" t="n">
        <v>18.63</v>
      </c>
      <c r="G225" s="11" t="n">
        <v>1</v>
      </c>
      <c r="H225" s="11" t="n">
        <v>1</v>
      </c>
      <c r="I225" s="11" t="n">
        <v>1</v>
      </c>
      <c r="J225" s="5" t="str">
        <f aca="false">IF(F225=0,"MISSING","")</f>
        <v/>
      </c>
      <c r="K225" s="5" t="str">
        <f aca="false">IF(G225&lt;=0,"MISSING","")</f>
        <v/>
      </c>
      <c r="L225" s="5" t="str">
        <f aca="false">IF(D225="","MISSING","")</f>
        <v/>
      </c>
      <c r="M225" s="5" t="str">
        <f aca="false">IF(COUNTIF(B$2:B$263,B225)&gt;1,"DUPLICATE","")</f>
        <v/>
      </c>
    </row>
    <row r="226" customFormat="false" ht="15" hidden="false" customHeight="false" outlineLevel="0" collapsed="false">
      <c r="A226" s="5" t="n">
        <v>225</v>
      </c>
      <c r="B226" s="5" t="n">
        <v>66713</v>
      </c>
      <c r="C226" s="5" t="s">
        <v>416</v>
      </c>
      <c r="D226" s="5" t="s">
        <v>548</v>
      </c>
      <c r="E226" s="5" t="s">
        <v>415</v>
      </c>
      <c r="F226" s="10" t="n">
        <v>12.28</v>
      </c>
      <c r="G226" s="11" t="n">
        <v>1</v>
      </c>
      <c r="H226" s="11" t="n">
        <v>0</v>
      </c>
      <c r="I226" s="11" t="n">
        <v>0</v>
      </c>
      <c r="J226" s="5" t="str">
        <f aca="false">IF(F226=0,"MISSING","")</f>
        <v/>
      </c>
      <c r="K226" s="5" t="str">
        <f aca="false">IF(G226&lt;=0,"MISSING","")</f>
        <v/>
      </c>
      <c r="L226" s="5" t="str">
        <f aca="false">IF(D226="","MISSING","")</f>
        <v/>
      </c>
      <c r="M226" s="5" t="str">
        <f aca="false">IF(COUNTIF(B$2:B$263,B226)&gt;1,"DUPLICATE","")</f>
        <v/>
      </c>
    </row>
    <row r="227" customFormat="false" ht="15" hidden="false" customHeight="false" outlineLevel="0" collapsed="false">
      <c r="A227" s="5" t="n">
        <v>226</v>
      </c>
      <c r="B227" s="5" t="n">
        <v>49215</v>
      </c>
      <c r="C227" s="5" t="s">
        <v>417</v>
      </c>
      <c r="D227" s="5" t="s">
        <v>548</v>
      </c>
      <c r="E227" s="5" t="s">
        <v>412</v>
      </c>
      <c r="F227" s="10" t="n">
        <v>18.84</v>
      </c>
      <c r="G227" s="11" t="n">
        <v>1</v>
      </c>
      <c r="H227" s="11" t="n">
        <v>1</v>
      </c>
      <c r="I227" s="11" t="n">
        <v>1</v>
      </c>
      <c r="J227" s="5" t="str">
        <f aca="false">IF(F227=0,"MISSING","")</f>
        <v/>
      </c>
      <c r="K227" s="5" t="str">
        <f aca="false">IF(G227&lt;=0,"MISSING","")</f>
        <v/>
      </c>
      <c r="L227" s="5" t="str">
        <f aca="false">IF(D227="","MISSING","")</f>
        <v/>
      </c>
      <c r="M227" s="5" t="str">
        <f aca="false">IF(COUNTIF(B$2:B$263,B227)&gt;1,"DUPLICATE","")</f>
        <v/>
      </c>
    </row>
    <row r="228" customFormat="false" ht="15" hidden="false" customHeight="false" outlineLevel="0" collapsed="false">
      <c r="A228" s="5" t="n">
        <v>227</v>
      </c>
      <c r="B228" s="5" t="n">
        <v>62330</v>
      </c>
      <c r="C228" s="5" t="s">
        <v>419</v>
      </c>
      <c r="D228" s="5" t="s">
        <v>548</v>
      </c>
      <c r="E228" s="5" t="s">
        <v>420</v>
      </c>
      <c r="F228" s="10" t="n">
        <v>23.89</v>
      </c>
      <c r="G228" s="11" t="n">
        <v>24</v>
      </c>
      <c r="H228" s="11" t="n">
        <v>1</v>
      </c>
      <c r="I228" s="11" t="n">
        <v>1</v>
      </c>
      <c r="J228" s="5" t="str">
        <f aca="false">IF(F228=0,"MISSING","")</f>
        <v/>
      </c>
      <c r="K228" s="5" t="str">
        <f aca="false">IF(G228&lt;=0,"MISSING","")</f>
        <v/>
      </c>
      <c r="L228" s="5" t="str">
        <f aca="false">IF(D228="","MISSING","")</f>
        <v/>
      </c>
      <c r="M228" s="5" t="str">
        <f aca="false">IF(COUNTIF(B$2:B$263,B228)&gt;1,"DUPLICATE","")</f>
        <v/>
      </c>
    </row>
    <row r="229" customFormat="false" ht="15" hidden="false" customHeight="false" outlineLevel="0" collapsed="false">
      <c r="A229" s="5" t="n">
        <v>228</v>
      </c>
      <c r="B229" s="5" t="n">
        <v>63324</v>
      </c>
      <c r="C229" s="5" t="s">
        <v>422</v>
      </c>
      <c r="D229" s="5" t="s">
        <v>548</v>
      </c>
      <c r="E229" s="5" t="s">
        <v>423</v>
      </c>
      <c r="F229" s="10" t="n">
        <v>7.27</v>
      </c>
      <c r="G229" s="11" t="n">
        <v>1</v>
      </c>
      <c r="H229" s="11" t="n">
        <v>1</v>
      </c>
      <c r="I229" s="11" t="n">
        <v>1</v>
      </c>
      <c r="J229" s="5" t="str">
        <f aca="false">IF(F229=0,"MISSING","")</f>
        <v/>
      </c>
      <c r="K229" s="5" t="str">
        <f aca="false">IF(G229&lt;=0,"MISSING","")</f>
        <v/>
      </c>
      <c r="L229" s="5" t="str">
        <f aca="false">IF(D229="","MISSING","")</f>
        <v/>
      </c>
      <c r="M229" s="5" t="str">
        <f aca="false">IF(COUNTIF(B$2:B$263,B229)&gt;1,"DUPLICATE","")</f>
        <v/>
      </c>
    </row>
    <row r="230" customFormat="false" ht="15" hidden="false" customHeight="false" outlineLevel="0" collapsed="false">
      <c r="A230" s="5" t="n">
        <v>229</v>
      </c>
      <c r="B230" s="5" t="n">
        <v>63341</v>
      </c>
      <c r="C230" s="5" t="s">
        <v>424</v>
      </c>
      <c r="D230" s="5" t="s">
        <v>548</v>
      </c>
      <c r="E230" s="5" t="s">
        <v>388</v>
      </c>
      <c r="F230" s="10" t="n">
        <v>4.11</v>
      </c>
      <c r="G230" s="11" t="n">
        <v>1</v>
      </c>
      <c r="H230" s="11" t="n">
        <v>4</v>
      </c>
      <c r="I230" s="11" t="n">
        <v>4</v>
      </c>
      <c r="J230" s="5" t="str">
        <f aca="false">IF(F230=0,"MISSING","")</f>
        <v/>
      </c>
      <c r="K230" s="5" t="str">
        <f aca="false">IF(G230&lt;=0,"MISSING","")</f>
        <v/>
      </c>
      <c r="L230" s="5" t="str">
        <f aca="false">IF(D230="","MISSING","")</f>
        <v/>
      </c>
      <c r="M230" s="5" t="str">
        <f aca="false">IF(COUNTIF(B$2:B$263,B230)&gt;1,"DUPLICATE","")</f>
        <v/>
      </c>
    </row>
    <row r="231" customFormat="false" ht="15" hidden="false" customHeight="false" outlineLevel="0" collapsed="false">
      <c r="A231" s="5" t="n">
        <v>230</v>
      </c>
      <c r="B231" s="5" t="n">
        <v>62749</v>
      </c>
      <c r="C231" s="5" t="s">
        <v>426</v>
      </c>
      <c r="D231" s="5" t="s">
        <v>548</v>
      </c>
      <c r="E231" s="5" t="s">
        <v>427</v>
      </c>
      <c r="F231" s="10" t="n">
        <v>6.38</v>
      </c>
      <c r="G231" s="11" t="n">
        <v>50</v>
      </c>
      <c r="H231" s="11" t="n">
        <v>3</v>
      </c>
      <c r="I231" s="11" t="n">
        <v>1</v>
      </c>
      <c r="J231" s="5" t="str">
        <f aca="false">IF(F231=0,"MISSING","")</f>
        <v/>
      </c>
      <c r="K231" s="5" t="str">
        <f aca="false">IF(G231&lt;=0,"MISSING","")</f>
        <v/>
      </c>
      <c r="L231" s="5" t="str">
        <f aca="false">IF(D231="","MISSING","")</f>
        <v/>
      </c>
      <c r="M231" s="5" t="str">
        <f aca="false">IF(COUNTIF(B$2:B$263,B231)&gt;1,"DUPLICATE","")</f>
        <v/>
      </c>
    </row>
    <row r="232" customFormat="false" ht="15" hidden="false" customHeight="false" outlineLevel="0" collapsed="false">
      <c r="A232" s="5" t="n">
        <v>231</v>
      </c>
      <c r="B232" s="5" t="n">
        <v>62819</v>
      </c>
      <c r="C232" s="5" t="s">
        <v>428</v>
      </c>
      <c r="D232" s="5" t="s">
        <v>548</v>
      </c>
      <c r="E232" s="5" t="s">
        <v>375</v>
      </c>
      <c r="F232" s="10" t="n">
        <v>6.54</v>
      </c>
      <c r="G232" s="11" t="n">
        <v>1</v>
      </c>
      <c r="H232" s="11" t="n">
        <v>0</v>
      </c>
      <c r="I232" s="11" t="n">
        <v>0</v>
      </c>
      <c r="J232" s="5" t="str">
        <f aca="false">IF(F232=0,"MISSING","")</f>
        <v/>
      </c>
      <c r="K232" s="5" t="str">
        <f aca="false">IF(G232&lt;=0,"MISSING","")</f>
        <v/>
      </c>
      <c r="L232" s="5" t="str">
        <f aca="false">IF(D232="","MISSING","")</f>
        <v/>
      </c>
      <c r="M232" s="5" t="str">
        <f aca="false">IF(COUNTIF(B$2:B$263,B232)&gt;1,"DUPLICATE","")</f>
        <v/>
      </c>
    </row>
    <row r="233" customFormat="false" ht="15" hidden="false" customHeight="false" outlineLevel="0" collapsed="false">
      <c r="A233" s="5" t="n">
        <v>232</v>
      </c>
      <c r="B233" s="5" t="n">
        <v>62844</v>
      </c>
      <c r="C233" s="5" t="s">
        <v>429</v>
      </c>
      <c r="D233" s="5" t="s">
        <v>548</v>
      </c>
      <c r="E233" s="5" t="s">
        <v>375</v>
      </c>
      <c r="F233" s="10" t="n">
        <v>12.21</v>
      </c>
      <c r="G233" s="11" t="n">
        <v>1</v>
      </c>
      <c r="H233" s="11" t="n">
        <v>1</v>
      </c>
      <c r="I233" s="11" t="n">
        <v>3</v>
      </c>
      <c r="J233" s="5" t="str">
        <f aca="false">IF(F233=0,"MISSING","")</f>
        <v/>
      </c>
      <c r="K233" s="5" t="str">
        <f aca="false">IF(G233&lt;=0,"MISSING","")</f>
        <v/>
      </c>
      <c r="L233" s="5" t="str">
        <f aca="false">IF(D233="","MISSING","")</f>
        <v/>
      </c>
      <c r="M233" s="5" t="str">
        <f aca="false">IF(COUNTIF(B$2:B$263,B233)&gt;1,"DUPLICATE","")</f>
        <v/>
      </c>
    </row>
    <row r="234" customFormat="false" ht="15" hidden="false" customHeight="false" outlineLevel="0" collapsed="false">
      <c r="A234" s="5" t="n">
        <v>233</v>
      </c>
      <c r="B234" s="5" t="n">
        <v>62816</v>
      </c>
      <c r="C234" s="5" t="s">
        <v>430</v>
      </c>
      <c r="D234" s="5" t="s">
        <v>548</v>
      </c>
      <c r="E234" s="5" t="s">
        <v>375</v>
      </c>
      <c r="F234" s="10" t="n">
        <v>12.55</v>
      </c>
      <c r="G234" s="11" t="n">
        <v>1</v>
      </c>
      <c r="H234" s="11" t="n">
        <v>1</v>
      </c>
      <c r="I234" s="11" t="n">
        <v>1</v>
      </c>
      <c r="J234" s="5" t="str">
        <f aca="false">IF(F234=0,"MISSING","")</f>
        <v/>
      </c>
      <c r="K234" s="5" t="str">
        <f aca="false">IF(G234&lt;=0,"MISSING","")</f>
        <v/>
      </c>
      <c r="L234" s="5" t="str">
        <f aca="false">IF(D234="","MISSING","")</f>
        <v/>
      </c>
      <c r="M234" s="5" t="str">
        <f aca="false">IF(COUNTIF(B$2:B$263,B234)&gt;1,"DUPLICATE","")</f>
        <v/>
      </c>
    </row>
    <row r="235" customFormat="false" ht="15" hidden="false" customHeight="false" outlineLevel="0" collapsed="false">
      <c r="A235" s="5" t="n">
        <v>234</v>
      </c>
      <c r="B235" s="5" t="n">
        <v>62815</v>
      </c>
      <c r="C235" s="5" t="s">
        <v>432</v>
      </c>
      <c r="D235" s="5" t="s">
        <v>548</v>
      </c>
      <c r="E235" s="5" t="s">
        <v>375</v>
      </c>
      <c r="F235" s="10" t="n">
        <v>10.73</v>
      </c>
      <c r="G235" s="11" t="n">
        <v>1</v>
      </c>
      <c r="H235" s="11" t="n">
        <v>7</v>
      </c>
      <c r="I235" s="11" t="n">
        <v>0</v>
      </c>
      <c r="J235" s="5" t="str">
        <f aca="false">IF(F235=0,"MISSING","")</f>
        <v/>
      </c>
      <c r="K235" s="5" t="str">
        <f aca="false">IF(G235&lt;=0,"MISSING","")</f>
        <v/>
      </c>
      <c r="L235" s="5" t="str">
        <f aca="false">IF(D235="","MISSING","")</f>
        <v/>
      </c>
      <c r="M235" s="5" t="str">
        <f aca="false">IF(COUNTIF(B$2:B$263,B235)&gt;1,"DUPLICATE","")</f>
        <v/>
      </c>
    </row>
    <row r="236" customFormat="false" ht="15" hidden="false" customHeight="false" outlineLevel="0" collapsed="false">
      <c r="A236" s="5" t="n">
        <v>235</v>
      </c>
      <c r="B236" s="5" t="n">
        <v>38234</v>
      </c>
      <c r="C236" s="5" t="s">
        <v>433</v>
      </c>
      <c r="D236" s="5" t="s">
        <v>548</v>
      </c>
      <c r="E236" s="5" t="s">
        <v>434</v>
      </c>
      <c r="F236" s="10" t="n">
        <v>12.29</v>
      </c>
      <c r="G236" s="11" t="n">
        <v>1</v>
      </c>
      <c r="H236" s="11" t="n">
        <v>0</v>
      </c>
      <c r="I236" s="11" t="n">
        <v>0</v>
      </c>
      <c r="J236" s="5" t="str">
        <f aca="false">IF(F236=0,"MISSING","")</f>
        <v/>
      </c>
      <c r="K236" s="5" t="str">
        <f aca="false">IF(G236&lt;=0,"MISSING","")</f>
        <v/>
      </c>
      <c r="L236" s="5" t="str">
        <f aca="false">IF(D236="","MISSING","")</f>
        <v/>
      </c>
      <c r="M236" s="5" t="str">
        <f aca="false">IF(COUNTIF(B$2:B$263,B236)&gt;1,"DUPLICATE","")</f>
        <v/>
      </c>
    </row>
    <row r="237" customFormat="false" ht="15" hidden="false" customHeight="false" outlineLevel="0" collapsed="false">
      <c r="A237" s="5" t="n">
        <v>236</v>
      </c>
      <c r="B237" s="5" t="n">
        <v>34246</v>
      </c>
      <c r="C237" s="5" t="s">
        <v>436</v>
      </c>
      <c r="D237" s="5" t="s">
        <v>548</v>
      </c>
      <c r="E237" s="5" t="s">
        <v>434</v>
      </c>
      <c r="F237" s="10" t="n">
        <v>8.41</v>
      </c>
      <c r="G237" s="11" t="n">
        <v>1</v>
      </c>
      <c r="H237" s="11" t="n">
        <v>3</v>
      </c>
      <c r="I237" s="11" t="n">
        <v>1</v>
      </c>
      <c r="J237" s="5" t="str">
        <f aca="false">IF(F237=0,"MISSING","")</f>
        <v/>
      </c>
      <c r="K237" s="5" t="str">
        <f aca="false">IF(G237&lt;=0,"MISSING","")</f>
        <v/>
      </c>
      <c r="L237" s="5" t="str">
        <f aca="false">IF(D237="","MISSING","")</f>
        <v/>
      </c>
      <c r="M237" s="5" t="str">
        <f aca="false">IF(COUNTIF(B$2:B$263,B237)&gt;1,"DUPLICATE","")</f>
        <v/>
      </c>
    </row>
    <row r="238" customFormat="false" ht="15" hidden="false" customHeight="false" outlineLevel="0" collapsed="false">
      <c r="A238" s="5" t="n">
        <v>237</v>
      </c>
      <c r="B238" s="5" t="n">
        <v>62734</v>
      </c>
      <c r="C238" s="5" t="s">
        <v>437</v>
      </c>
      <c r="D238" s="5" t="s">
        <v>548</v>
      </c>
      <c r="E238" s="5" t="s">
        <v>388</v>
      </c>
      <c r="F238" s="10" t="n">
        <v>7.94</v>
      </c>
      <c r="G238" s="11" t="n">
        <v>1</v>
      </c>
      <c r="H238" s="11" t="n">
        <v>0</v>
      </c>
      <c r="I238" s="11" t="n">
        <v>0</v>
      </c>
      <c r="J238" s="5" t="str">
        <f aca="false">IF(F238=0,"MISSING","")</f>
        <v/>
      </c>
      <c r="K238" s="5" t="str">
        <f aca="false">IF(G238&lt;=0,"MISSING","")</f>
        <v/>
      </c>
      <c r="L238" s="5" t="str">
        <f aca="false">IF(D238="","MISSING","")</f>
        <v/>
      </c>
      <c r="M238" s="5" t="str">
        <f aca="false">IF(COUNTIF(B$2:B$263,B238)&gt;1,"DUPLICATE","")</f>
        <v/>
      </c>
    </row>
    <row r="239" customFormat="false" ht="15" hidden="false" customHeight="false" outlineLevel="0" collapsed="false">
      <c r="A239" s="5" t="n">
        <v>238</v>
      </c>
      <c r="B239" s="5" t="n">
        <v>64410</v>
      </c>
      <c r="C239" s="5" t="s">
        <v>438</v>
      </c>
      <c r="D239" s="5" t="s">
        <v>548</v>
      </c>
      <c r="E239" s="5" t="s">
        <v>439</v>
      </c>
      <c r="F239" s="10" t="n">
        <v>13.39</v>
      </c>
      <c r="G239" s="11" t="n">
        <v>1</v>
      </c>
      <c r="H239" s="11" t="n">
        <v>2</v>
      </c>
      <c r="I239" s="11" t="n">
        <v>1</v>
      </c>
      <c r="J239" s="5" t="str">
        <f aca="false">IF(F239=0,"MISSING","")</f>
        <v/>
      </c>
      <c r="K239" s="5" t="str">
        <f aca="false">IF(G239&lt;=0,"MISSING","")</f>
        <v/>
      </c>
      <c r="L239" s="5" t="str">
        <f aca="false">IF(D239="","MISSING","")</f>
        <v/>
      </c>
      <c r="M239" s="5" t="str">
        <f aca="false">IF(COUNTIF(B$2:B$263,B239)&gt;1,"DUPLICATE","")</f>
        <v/>
      </c>
    </row>
    <row r="240" customFormat="false" ht="15" hidden="false" customHeight="false" outlineLevel="0" collapsed="false">
      <c r="A240" s="5" t="n">
        <v>239</v>
      </c>
      <c r="B240" s="5" t="n">
        <v>26781</v>
      </c>
      <c r="C240" s="5" t="s">
        <v>441</v>
      </c>
      <c r="D240" s="5" t="s">
        <v>548</v>
      </c>
      <c r="E240" s="5" t="s">
        <v>442</v>
      </c>
      <c r="F240" s="10" t="n">
        <v>11.22</v>
      </c>
      <c r="G240" s="11" t="n">
        <v>1</v>
      </c>
      <c r="H240" s="11" t="n">
        <v>0</v>
      </c>
      <c r="I240" s="11" t="n">
        <v>3</v>
      </c>
      <c r="J240" s="5" t="str">
        <f aca="false">IF(F240=0,"MISSING","")</f>
        <v/>
      </c>
      <c r="K240" s="5" t="str">
        <f aca="false">IF(G240&lt;=0,"MISSING","")</f>
        <v/>
      </c>
      <c r="L240" s="5" t="str">
        <f aca="false">IF(D240="","MISSING","")</f>
        <v/>
      </c>
      <c r="M240" s="5" t="str">
        <f aca="false">IF(COUNTIF(B$2:B$263,B240)&gt;1,"DUPLICATE","")</f>
        <v/>
      </c>
    </row>
    <row r="241" customFormat="false" ht="15" hidden="false" customHeight="false" outlineLevel="0" collapsed="false">
      <c r="A241" s="5" t="n">
        <v>240</v>
      </c>
      <c r="B241" s="5" t="n">
        <v>49219</v>
      </c>
      <c r="C241" s="5" t="s">
        <v>444</v>
      </c>
      <c r="D241" s="5" t="s">
        <v>548</v>
      </c>
      <c r="E241" s="5" t="s">
        <v>445</v>
      </c>
      <c r="F241" s="10" t="n">
        <v>36.46</v>
      </c>
      <c r="G241" s="11" t="n">
        <v>48</v>
      </c>
      <c r="H241" s="11" t="n">
        <v>1</v>
      </c>
      <c r="I241" s="11" t="n">
        <v>1</v>
      </c>
      <c r="J241" s="5" t="str">
        <f aca="false">IF(F241=0,"MISSING","")</f>
        <v/>
      </c>
      <c r="K241" s="5" t="str">
        <f aca="false">IF(G241&lt;=0,"MISSING","")</f>
        <v/>
      </c>
      <c r="L241" s="5" t="str">
        <f aca="false">IF(D241="","MISSING","")</f>
        <v/>
      </c>
      <c r="M241" s="5" t="str">
        <f aca="false">IF(COUNTIF(B$2:B$263,B241)&gt;1,"DUPLICATE","")</f>
        <v/>
      </c>
    </row>
    <row r="242" customFormat="false" ht="15" hidden="false" customHeight="false" outlineLevel="0" collapsed="false">
      <c r="A242" s="5" t="n">
        <v>241</v>
      </c>
      <c r="B242" s="5" t="n">
        <v>28376</v>
      </c>
      <c r="C242" s="5" t="s">
        <v>447</v>
      </c>
      <c r="D242" s="5" t="s">
        <v>548</v>
      </c>
      <c r="E242" s="5" t="s">
        <v>448</v>
      </c>
      <c r="F242" s="10" t="n">
        <v>10.62</v>
      </c>
      <c r="G242" s="11" t="n">
        <v>1</v>
      </c>
      <c r="H242" s="11" t="n">
        <v>1</v>
      </c>
      <c r="I242" s="11" t="n">
        <v>0</v>
      </c>
      <c r="J242" s="5" t="str">
        <f aca="false">IF(F242=0,"MISSING","")</f>
        <v/>
      </c>
      <c r="K242" s="5" t="str">
        <f aca="false">IF(G242&lt;=0,"MISSING","")</f>
        <v/>
      </c>
      <c r="L242" s="5" t="str">
        <f aca="false">IF(D242="","MISSING","")</f>
        <v/>
      </c>
      <c r="M242" s="5" t="str">
        <f aca="false">IF(COUNTIF(B$2:B$263,B242)&gt;1,"DUPLICATE","")</f>
        <v/>
      </c>
    </row>
    <row r="243" customFormat="false" ht="15" hidden="false" customHeight="false" outlineLevel="0" collapsed="false">
      <c r="A243" s="5" t="n">
        <v>242</v>
      </c>
      <c r="B243" s="5" t="n">
        <v>28671</v>
      </c>
      <c r="C243" s="5" t="s">
        <v>449</v>
      </c>
      <c r="D243" s="5" t="s">
        <v>548</v>
      </c>
      <c r="E243" s="5" t="s">
        <v>450</v>
      </c>
      <c r="F243" s="10" t="n">
        <v>10.5</v>
      </c>
      <c r="G243" s="11" t="n">
        <v>1</v>
      </c>
      <c r="H243" s="11" t="n">
        <v>1</v>
      </c>
      <c r="I243" s="11" t="n">
        <v>2</v>
      </c>
      <c r="J243" s="5" t="str">
        <f aca="false">IF(F243=0,"MISSING","")</f>
        <v/>
      </c>
      <c r="K243" s="5" t="str">
        <f aca="false">IF(G243&lt;=0,"MISSING","")</f>
        <v/>
      </c>
      <c r="L243" s="5" t="str">
        <f aca="false">IF(D243="","MISSING","")</f>
        <v/>
      </c>
      <c r="M243" s="5" t="str">
        <f aca="false">IF(COUNTIF(B$2:B$263,B243)&gt;1,"DUPLICATE","")</f>
        <v/>
      </c>
    </row>
    <row r="244" customFormat="false" ht="15" hidden="false" customHeight="false" outlineLevel="0" collapsed="false">
      <c r="A244" s="5" t="n">
        <v>243</v>
      </c>
      <c r="B244" s="5" t="n">
        <v>27499</v>
      </c>
      <c r="C244" s="5" t="s">
        <v>452</v>
      </c>
      <c r="D244" s="5" t="s">
        <v>541</v>
      </c>
      <c r="E244" s="5" t="s">
        <v>453</v>
      </c>
      <c r="F244" s="10" t="n">
        <v>40.44</v>
      </c>
      <c r="G244" s="11" t="n">
        <v>6</v>
      </c>
      <c r="H244" s="11" t="n">
        <v>1</v>
      </c>
      <c r="I244" s="11" t="n">
        <v>1</v>
      </c>
      <c r="J244" s="5" t="str">
        <f aca="false">IF(F244=0,"MISSING","")</f>
        <v/>
      </c>
      <c r="K244" s="5" t="str">
        <f aca="false">IF(G244&lt;=0,"MISSING","")</f>
        <v/>
      </c>
      <c r="L244" s="5" t="str">
        <f aca="false">IF(D244="","MISSING","")</f>
        <v/>
      </c>
      <c r="M244" s="5" t="str">
        <f aca="false">IF(COUNTIF(B$2:B$263,B244)&gt;1,"DUPLICATE","")</f>
        <v/>
      </c>
    </row>
    <row r="245" customFormat="false" ht="15" hidden="false" customHeight="false" outlineLevel="0" collapsed="false">
      <c r="A245" s="5" t="n">
        <v>244</v>
      </c>
      <c r="B245" s="5" t="n">
        <v>28528</v>
      </c>
      <c r="C245" s="5" t="s">
        <v>455</v>
      </c>
      <c r="D245" s="5" t="s">
        <v>541</v>
      </c>
      <c r="E245" s="5" t="s">
        <v>453</v>
      </c>
      <c r="F245" s="10" t="n">
        <v>52.06</v>
      </c>
      <c r="G245" s="11" t="n">
        <v>12</v>
      </c>
      <c r="H245" s="11" t="n">
        <v>1</v>
      </c>
      <c r="I245" s="11" t="n">
        <v>1</v>
      </c>
      <c r="J245" s="5" t="str">
        <f aca="false">IF(F245=0,"MISSING","")</f>
        <v/>
      </c>
      <c r="K245" s="5" t="str">
        <f aca="false">IF(G245&lt;=0,"MISSING","")</f>
        <v/>
      </c>
      <c r="L245" s="5" t="str">
        <f aca="false">IF(D245="","MISSING","")</f>
        <v/>
      </c>
      <c r="M245" s="5" t="str">
        <f aca="false">IF(COUNTIF(B$2:B$263,B245)&gt;1,"DUPLICATE","")</f>
        <v/>
      </c>
    </row>
    <row r="246" customFormat="false" ht="15" hidden="false" customHeight="false" outlineLevel="0" collapsed="false">
      <c r="A246" s="5" t="n">
        <v>245</v>
      </c>
      <c r="B246" s="5" t="n">
        <v>27497</v>
      </c>
      <c r="C246" s="5" t="s">
        <v>457</v>
      </c>
      <c r="D246" s="5" t="s">
        <v>541</v>
      </c>
      <c r="E246" s="5" t="s">
        <v>453</v>
      </c>
      <c r="F246" s="10" t="n">
        <v>21.31</v>
      </c>
      <c r="G246" s="11" t="n">
        <v>2</v>
      </c>
      <c r="H246" s="11" t="n">
        <v>1</v>
      </c>
      <c r="I246" s="11" t="n">
        <v>1</v>
      </c>
      <c r="J246" s="5" t="str">
        <f aca="false">IF(F246=0,"MISSING","")</f>
        <v/>
      </c>
      <c r="K246" s="5" t="str">
        <f aca="false">IF(G246&lt;=0,"MISSING","")</f>
        <v/>
      </c>
      <c r="L246" s="5" t="str">
        <f aca="false">IF(D246="","MISSING","")</f>
        <v/>
      </c>
      <c r="M246" s="5" t="str">
        <f aca="false">IF(COUNTIF(B$2:B$263,B246)&gt;1,"DUPLICATE","")</f>
        <v/>
      </c>
    </row>
    <row r="247" customFormat="false" ht="15" hidden="false" customHeight="false" outlineLevel="0" collapsed="false">
      <c r="A247" s="5" t="n">
        <v>246</v>
      </c>
      <c r="B247" s="5" t="n">
        <v>27496</v>
      </c>
      <c r="C247" s="5" t="s">
        <v>459</v>
      </c>
      <c r="D247" s="5" t="s">
        <v>541</v>
      </c>
      <c r="E247" s="5" t="s">
        <v>453</v>
      </c>
      <c r="F247" s="10" t="n">
        <v>46.63</v>
      </c>
      <c r="G247" s="11" t="n">
        <v>2</v>
      </c>
      <c r="H247" s="11" t="n">
        <v>1</v>
      </c>
      <c r="I247" s="11" t="n">
        <v>0</v>
      </c>
      <c r="J247" s="5" t="str">
        <f aca="false">IF(F247=0,"MISSING","")</f>
        <v/>
      </c>
      <c r="K247" s="5" t="str">
        <f aca="false">IF(G247&lt;=0,"MISSING","")</f>
        <v/>
      </c>
      <c r="L247" s="5" t="str">
        <f aca="false">IF(D247="","MISSING","")</f>
        <v/>
      </c>
      <c r="M247" s="5" t="str">
        <f aca="false">IF(COUNTIF(B$2:B$263,B247)&gt;1,"DUPLICATE","")</f>
        <v/>
      </c>
    </row>
    <row r="248" customFormat="false" ht="15" hidden="false" customHeight="false" outlineLevel="0" collapsed="false">
      <c r="A248" s="5" t="n">
        <v>247</v>
      </c>
      <c r="B248" s="5" t="n">
        <v>27498</v>
      </c>
      <c r="C248" s="5" t="s">
        <v>460</v>
      </c>
      <c r="D248" s="5" t="s">
        <v>541</v>
      </c>
      <c r="E248" s="5" t="s">
        <v>453</v>
      </c>
      <c r="F248" s="10" t="n">
        <v>39.77</v>
      </c>
      <c r="G248" s="11" t="n">
        <v>2</v>
      </c>
      <c r="H248" s="11" t="n">
        <v>0</v>
      </c>
      <c r="I248" s="11" t="n">
        <v>0</v>
      </c>
      <c r="J248" s="5" t="str">
        <f aca="false">IF(F248=0,"MISSING","")</f>
        <v/>
      </c>
      <c r="K248" s="5" t="str">
        <f aca="false">IF(G248&lt;=0,"MISSING","")</f>
        <v/>
      </c>
      <c r="L248" s="5" t="str">
        <f aca="false">IF(D248="","MISSING","")</f>
        <v/>
      </c>
      <c r="M248" s="5" t="str">
        <f aca="false">IF(COUNTIF(B$2:B$263,B248)&gt;1,"DUPLICATE","")</f>
        <v/>
      </c>
    </row>
    <row r="249" customFormat="false" ht="15" hidden="false" customHeight="false" outlineLevel="0" collapsed="false">
      <c r="A249" s="5" t="n">
        <v>248</v>
      </c>
      <c r="B249" s="5" t="n">
        <v>28527</v>
      </c>
      <c r="C249" s="5" t="s">
        <v>461</v>
      </c>
      <c r="D249" s="5" t="s">
        <v>541</v>
      </c>
      <c r="E249" s="5" t="s">
        <v>453</v>
      </c>
      <c r="F249" s="10" t="n">
        <v>28.13</v>
      </c>
      <c r="G249" s="11" t="n">
        <v>6</v>
      </c>
      <c r="H249" s="11" t="n">
        <v>1</v>
      </c>
      <c r="I249" s="11" t="n">
        <v>1</v>
      </c>
      <c r="J249" s="5" t="str">
        <f aca="false">IF(F249=0,"MISSING","")</f>
        <v/>
      </c>
      <c r="K249" s="5" t="str">
        <f aca="false">IF(G249&lt;=0,"MISSING","")</f>
        <v/>
      </c>
      <c r="L249" s="5" t="str">
        <f aca="false">IF(D249="","MISSING","")</f>
        <v/>
      </c>
      <c r="M249" s="5" t="str">
        <f aca="false">IF(COUNTIF(B$2:B$263,B249)&gt;1,"DUPLICATE","")</f>
        <v/>
      </c>
    </row>
    <row r="250" customFormat="false" ht="15" hidden="false" customHeight="false" outlineLevel="0" collapsed="false">
      <c r="A250" s="5" t="n">
        <v>249</v>
      </c>
      <c r="B250" s="5" t="n">
        <v>28524</v>
      </c>
      <c r="C250" s="5" t="s">
        <v>463</v>
      </c>
      <c r="D250" s="5" t="s">
        <v>541</v>
      </c>
      <c r="E250" s="5" t="s">
        <v>453</v>
      </c>
      <c r="F250" s="10" t="n">
        <v>53.83</v>
      </c>
      <c r="G250" s="11" t="n">
        <v>6</v>
      </c>
      <c r="H250" s="11" t="n">
        <v>0</v>
      </c>
      <c r="I250" s="11" t="n">
        <v>0</v>
      </c>
      <c r="J250" s="5" t="str">
        <f aca="false">IF(F250=0,"MISSING","")</f>
        <v/>
      </c>
      <c r="K250" s="5" t="str">
        <f aca="false">IF(G250&lt;=0,"MISSING","")</f>
        <v/>
      </c>
      <c r="L250" s="5" t="str">
        <f aca="false">IF(D250="","MISSING","")</f>
        <v/>
      </c>
      <c r="M250" s="5" t="str">
        <f aca="false">IF(COUNTIF(B$2:B$263,B250)&gt;1,"DUPLICATE","")</f>
        <v/>
      </c>
    </row>
    <row r="251" customFormat="false" ht="15" hidden="false" customHeight="false" outlineLevel="0" collapsed="false">
      <c r="A251" s="5" t="n">
        <v>250</v>
      </c>
      <c r="B251" s="5" t="n">
        <v>28531</v>
      </c>
      <c r="C251" s="5" t="s">
        <v>464</v>
      </c>
      <c r="D251" s="5" t="s">
        <v>541</v>
      </c>
      <c r="E251" s="5" t="s">
        <v>453</v>
      </c>
      <c r="F251" s="10" t="n">
        <v>16.15</v>
      </c>
      <c r="G251" s="11" t="n">
        <v>1</v>
      </c>
      <c r="H251" s="11" t="n">
        <v>1</v>
      </c>
      <c r="I251" s="11" t="n">
        <v>1</v>
      </c>
      <c r="J251" s="5" t="str">
        <f aca="false">IF(F251=0,"MISSING","")</f>
        <v/>
      </c>
      <c r="K251" s="5" t="str">
        <f aca="false">IF(G251&lt;=0,"MISSING","")</f>
        <v/>
      </c>
      <c r="L251" s="5" t="str">
        <f aca="false">IF(D251="","MISSING","")</f>
        <v/>
      </c>
      <c r="M251" s="5" t="str">
        <f aca="false">IF(COUNTIF(B$2:B$263,B251)&gt;1,"DUPLICATE","")</f>
        <v/>
      </c>
    </row>
    <row r="252" customFormat="false" ht="15" hidden="false" customHeight="false" outlineLevel="0" collapsed="false">
      <c r="A252" s="5" t="n">
        <v>251</v>
      </c>
      <c r="B252" s="5" t="n">
        <v>27495</v>
      </c>
      <c r="C252" s="5" t="s">
        <v>465</v>
      </c>
      <c r="D252" s="5" t="s">
        <v>541</v>
      </c>
      <c r="E252" s="5" t="s">
        <v>453</v>
      </c>
      <c r="F252" s="10" t="n">
        <v>16.28</v>
      </c>
      <c r="G252" s="11" t="n">
        <v>1</v>
      </c>
      <c r="H252" s="11" t="n">
        <v>0</v>
      </c>
      <c r="I252" s="11" t="n">
        <v>0</v>
      </c>
      <c r="J252" s="5" t="str">
        <f aca="false">IF(F252=0,"MISSING","")</f>
        <v/>
      </c>
      <c r="K252" s="5" t="str">
        <f aca="false">IF(G252&lt;=0,"MISSING","")</f>
        <v/>
      </c>
      <c r="L252" s="5" t="str">
        <f aca="false">IF(D252="","MISSING","")</f>
        <v/>
      </c>
      <c r="M252" s="5" t="str">
        <f aca="false">IF(COUNTIF(B$2:B$263,B252)&gt;1,"DUPLICATE","")</f>
        <v/>
      </c>
    </row>
    <row r="253" customFormat="false" ht="15" hidden="false" customHeight="false" outlineLevel="0" collapsed="false">
      <c r="A253" s="5" t="n">
        <v>252</v>
      </c>
      <c r="B253" s="5" t="n">
        <v>27002</v>
      </c>
      <c r="C253" s="5" t="s">
        <v>466</v>
      </c>
      <c r="D253" s="5" t="s">
        <v>541</v>
      </c>
      <c r="E253" s="5" t="s">
        <v>467</v>
      </c>
      <c r="F253" s="10" t="n">
        <v>5.17</v>
      </c>
      <c r="G253" s="11" t="n">
        <v>1</v>
      </c>
      <c r="H253" s="11" t="n">
        <v>1</v>
      </c>
      <c r="I253" s="11" t="n">
        <v>1</v>
      </c>
      <c r="J253" s="5" t="str">
        <f aca="false">IF(F253=0,"MISSING","")</f>
        <v/>
      </c>
      <c r="K253" s="5" t="str">
        <f aca="false">IF(G253&lt;=0,"MISSING","")</f>
        <v/>
      </c>
      <c r="L253" s="5" t="str">
        <f aca="false">IF(D253="","MISSING","")</f>
        <v/>
      </c>
      <c r="M253" s="5" t="str">
        <f aca="false">IF(COUNTIF(B$2:B$263,B253)&gt;1,"DUPLICATE","")</f>
        <v/>
      </c>
    </row>
    <row r="254" customFormat="false" ht="15" hidden="false" customHeight="false" outlineLevel="0" collapsed="false">
      <c r="A254" s="5" t="n">
        <v>253</v>
      </c>
      <c r="B254" s="5" t="n">
        <v>27003</v>
      </c>
      <c r="C254" s="5" t="s">
        <v>468</v>
      </c>
      <c r="D254" s="5" t="s">
        <v>541</v>
      </c>
      <c r="E254" s="5" t="s">
        <v>467</v>
      </c>
      <c r="F254" s="10" t="n">
        <v>4.36</v>
      </c>
      <c r="G254" s="11" t="n">
        <v>1</v>
      </c>
      <c r="H254" s="11" t="n">
        <v>1</v>
      </c>
      <c r="I254" s="11" t="n">
        <v>1</v>
      </c>
      <c r="J254" s="5" t="str">
        <f aca="false">IF(F254=0,"MISSING","")</f>
        <v/>
      </c>
      <c r="K254" s="5" t="str">
        <f aca="false">IF(G254&lt;=0,"MISSING","")</f>
        <v/>
      </c>
      <c r="L254" s="5" t="str">
        <f aca="false">IF(D254="","MISSING","")</f>
        <v/>
      </c>
      <c r="M254" s="5" t="str">
        <f aca="false">IF(COUNTIF(B$2:B$263,B254)&gt;1,"DUPLICATE","")</f>
        <v/>
      </c>
    </row>
    <row r="255" customFormat="false" ht="15" hidden="false" customHeight="false" outlineLevel="0" collapsed="false">
      <c r="A255" s="5" t="n">
        <v>254</v>
      </c>
      <c r="B255" s="5" t="n">
        <v>28530</v>
      </c>
      <c r="C255" s="5" t="s">
        <v>469</v>
      </c>
      <c r="D255" s="5" t="s">
        <v>541</v>
      </c>
      <c r="E255" s="5" t="s">
        <v>453</v>
      </c>
      <c r="F255" s="10" t="n">
        <v>5.94</v>
      </c>
      <c r="G255" s="11" t="n">
        <v>1</v>
      </c>
      <c r="H255" s="11" t="n">
        <v>2</v>
      </c>
      <c r="I255" s="11" t="n">
        <v>1</v>
      </c>
      <c r="J255" s="5" t="str">
        <f aca="false">IF(F255=0,"MISSING","")</f>
        <v/>
      </c>
      <c r="K255" s="5" t="str">
        <f aca="false">IF(G255&lt;=0,"MISSING","")</f>
        <v/>
      </c>
      <c r="L255" s="5" t="str">
        <f aca="false">IF(D255="","MISSING","")</f>
        <v/>
      </c>
      <c r="M255" s="5" t="str">
        <f aca="false">IF(COUNTIF(B$2:B$263,B255)&gt;1,"DUPLICATE","")</f>
        <v/>
      </c>
    </row>
    <row r="256" customFormat="false" ht="15" hidden="false" customHeight="false" outlineLevel="0" collapsed="false">
      <c r="A256" s="5" t="n">
        <v>255</v>
      </c>
      <c r="B256" s="5" t="n">
        <v>28529</v>
      </c>
      <c r="C256" s="5" t="s">
        <v>471</v>
      </c>
      <c r="D256" s="5" t="s">
        <v>541</v>
      </c>
      <c r="E256" s="5" t="s">
        <v>453</v>
      </c>
      <c r="F256" s="10" t="n">
        <v>5.7</v>
      </c>
      <c r="G256" s="11" t="n">
        <v>1</v>
      </c>
      <c r="H256" s="11" t="n">
        <v>3</v>
      </c>
      <c r="I256" s="11" t="n">
        <v>0</v>
      </c>
      <c r="J256" s="5" t="str">
        <f aca="false">IF(F256=0,"MISSING","")</f>
        <v/>
      </c>
      <c r="K256" s="5" t="str">
        <f aca="false">IF(G256&lt;=0,"MISSING","")</f>
        <v/>
      </c>
      <c r="L256" s="5" t="str">
        <f aca="false">IF(D256="","MISSING","")</f>
        <v/>
      </c>
      <c r="M256" s="5" t="str">
        <f aca="false">IF(COUNTIF(B$2:B$263,B256)&gt;1,"DUPLICATE","")</f>
        <v/>
      </c>
    </row>
    <row r="257" customFormat="false" ht="15" hidden="false" customHeight="false" outlineLevel="0" collapsed="false">
      <c r="A257" s="5" t="n">
        <v>256</v>
      </c>
      <c r="B257" s="5" t="n">
        <v>29153</v>
      </c>
      <c r="C257" s="5" t="s">
        <v>472</v>
      </c>
      <c r="D257" s="5" t="s">
        <v>549</v>
      </c>
      <c r="E257" s="5" t="s">
        <v>473</v>
      </c>
      <c r="F257" s="10" t="n">
        <v>24.81</v>
      </c>
      <c r="G257" s="11" t="n">
        <v>12</v>
      </c>
      <c r="H257" s="11" t="n">
        <v>7</v>
      </c>
      <c r="I257" s="11" t="n">
        <v>3</v>
      </c>
      <c r="J257" s="5" t="str">
        <f aca="false">IF(F257=0,"MISSING","")</f>
        <v/>
      </c>
      <c r="K257" s="5" t="str">
        <f aca="false">IF(G257&lt;=0,"MISSING","")</f>
        <v/>
      </c>
      <c r="L257" s="5" t="str">
        <f aca="false">IF(D257="","MISSING","")</f>
        <v/>
      </c>
      <c r="M257" s="5" t="str">
        <f aca="false">IF(COUNTIF(B$2:B$263,B257)&gt;1,"DUPLICATE","")</f>
        <v/>
      </c>
    </row>
    <row r="258" customFormat="false" ht="15" hidden="false" customHeight="false" outlineLevel="0" collapsed="false">
      <c r="A258" s="5" t="n">
        <v>257</v>
      </c>
      <c r="B258" s="5" t="n">
        <v>29154</v>
      </c>
      <c r="C258" s="5" t="s">
        <v>475</v>
      </c>
      <c r="D258" s="5" t="s">
        <v>549</v>
      </c>
      <c r="E258" s="5" t="s">
        <v>476</v>
      </c>
      <c r="F258" s="10" t="n">
        <v>36.82</v>
      </c>
      <c r="G258" s="11" t="n">
        <v>12</v>
      </c>
      <c r="H258" s="11" t="n">
        <v>21</v>
      </c>
      <c r="I258" s="11" t="n">
        <v>3</v>
      </c>
      <c r="J258" s="5" t="str">
        <f aca="false">IF(F258=0,"MISSING","")</f>
        <v/>
      </c>
      <c r="K258" s="5" t="str">
        <f aca="false">IF(G258&lt;=0,"MISSING","")</f>
        <v/>
      </c>
      <c r="L258" s="5" t="str">
        <f aca="false">IF(D258="","MISSING","")</f>
        <v/>
      </c>
      <c r="M258" s="5" t="str">
        <f aca="false">IF(COUNTIF(B$2:B$263,B258)&gt;1,"DUPLICATE","")</f>
        <v/>
      </c>
    </row>
    <row r="259" customFormat="false" ht="15" hidden="false" customHeight="false" outlineLevel="0" collapsed="false">
      <c r="A259" s="5" t="n">
        <v>258</v>
      </c>
      <c r="B259" s="5" t="n">
        <v>14130</v>
      </c>
      <c r="C259" s="5" t="s">
        <v>477</v>
      </c>
      <c r="D259" s="5" t="s">
        <v>549</v>
      </c>
      <c r="E259" s="5" t="s">
        <v>478</v>
      </c>
      <c r="F259" s="10" t="n">
        <v>32.26</v>
      </c>
      <c r="G259" s="11" t="n">
        <v>12</v>
      </c>
      <c r="H259" s="11" t="n">
        <v>3</v>
      </c>
      <c r="I259" s="11" t="n">
        <v>3</v>
      </c>
      <c r="J259" s="5" t="str">
        <f aca="false">IF(F259=0,"MISSING","")</f>
        <v/>
      </c>
      <c r="K259" s="5" t="str">
        <f aca="false">IF(G259&lt;=0,"MISSING","")</f>
        <v/>
      </c>
      <c r="L259" s="5" t="str">
        <f aca="false">IF(D259="","MISSING","")</f>
        <v/>
      </c>
      <c r="M259" s="5" t="str">
        <f aca="false">IF(COUNTIF(B$2:B$263,B259)&gt;1,"DUPLICATE","")</f>
        <v/>
      </c>
    </row>
    <row r="260" customFormat="false" ht="15" hidden="false" customHeight="false" outlineLevel="0" collapsed="false">
      <c r="A260" s="5" t="n">
        <v>259</v>
      </c>
      <c r="B260" s="5" t="n">
        <v>14131</v>
      </c>
      <c r="C260" s="5" t="s">
        <v>480</v>
      </c>
      <c r="D260" s="5" t="s">
        <v>549</v>
      </c>
      <c r="E260" s="5" t="s">
        <v>478</v>
      </c>
      <c r="F260" s="10" t="n">
        <v>20.13</v>
      </c>
      <c r="G260" s="11" t="n">
        <v>12</v>
      </c>
      <c r="H260" s="11" t="n">
        <v>6</v>
      </c>
      <c r="I260" s="11" t="n">
        <v>0</v>
      </c>
      <c r="J260" s="5" t="str">
        <f aca="false">IF(F260=0,"MISSING","")</f>
        <v/>
      </c>
      <c r="K260" s="5" t="str">
        <f aca="false">IF(G260&lt;=0,"MISSING","")</f>
        <v/>
      </c>
      <c r="L260" s="5" t="str">
        <f aca="false">IF(D260="","MISSING","")</f>
        <v/>
      </c>
      <c r="M260" s="5" t="str">
        <f aca="false">IF(COUNTIF(B$2:B$263,B260)&gt;1,"DUPLICATE","")</f>
        <v/>
      </c>
    </row>
    <row r="261" customFormat="false" ht="15" hidden="false" customHeight="false" outlineLevel="0" collapsed="false">
      <c r="A261" s="5" t="n">
        <v>260</v>
      </c>
      <c r="B261" s="5" t="n">
        <v>52342</v>
      </c>
      <c r="C261" s="5" t="s">
        <v>481</v>
      </c>
      <c r="D261" s="5" t="s">
        <v>549</v>
      </c>
      <c r="E261" s="5" t="s">
        <v>478</v>
      </c>
      <c r="F261" s="10" t="n">
        <v>28.25</v>
      </c>
      <c r="G261" s="11" t="n">
        <v>12</v>
      </c>
      <c r="H261" s="11" t="n">
        <v>3</v>
      </c>
      <c r="I261" s="11" t="n">
        <v>1</v>
      </c>
      <c r="J261" s="5" t="str">
        <f aca="false">IF(F261=0,"MISSING","")</f>
        <v/>
      </c>
      <c r="K261" s="5" t="str">
        <f aca="false">IF(G261&lt;=0,"MISSING","")</f>
        <v/>
      </c>
      <c r="L261" s="5" t="str">
        <f aca="false">IF(D261="","MISSING","")</f>
        <v/>
      </c>
      <c r="M261" s="5" t="str">
        <f aca="false">IF(COUNTIF(B$2:B$263,B261)&gt;1,"DUPLICATE","")</f>
        <v/>
      </c>
    </row>
    <row r="262" customFormat="false" ht="15" hidden="false" customHeight="false" outlineLevel="0" collapsed="false">
      <c r="A262" s="5" t="n">
        <v>261</v>
      </c>
      <c r="B262" s="5" t="n">
        <v>52349</v>
      </c>
      <c r="C262" s="5" t="s">
        <v>483</v>
      </c>
      <c r="D262" s="5" t="s">
        <v>549</v>
      </c>
      <c r="E262" s="5" t="s">
        <v>478</v>
      </c>
      <c r="F262" s="10" t="n">
        <v>18.25</v>
      </c>
      <c r="G262" s="11" t="n">
        <v>12</v>
      </c>
      <c r="H262" s="11" t="n">
        <v>1</v>
      </c>
      <c r="I262" s="11" t="n">
        <v>5</v>
      </c>
      <c r="J262" s="5" t="str">
        <f aca="false">IF(F262=0,"MISSING","")</f>
        <v/>
      </c>
      <c r="K262" s="5" t="str">
        <f aca="false">IF(G262&lt;=0,"MISSING","")</f>
        <v/>
      </c>
      <c r="L262" s="5" t="str">
        <f aca="false">IF(D262="","MISSING","")</f>
        <v/>
      </c>
      <c r="M262" s="5" t="str">
        <f aca="false">IF(COUNTIF(B$2:B$263,B262)&gt;1,"DUPLICATE","")</f>
        <v/>
      </c>
    </row>
    <row r="263" customFormat="false" ht="15" hidden="false" customHeight="false" outlineLevel="0" collapsed="false">
      <c r="A263" s="5" t="n">
        <v>262</v>
      </c>
      <c r="B263" s="5" t="n">
        <v>61804</v>
      </c>
      <c r="C263" s="5" t="s">
        <v>484</v>
      </c>
      <c r="D263" s="5" t="s">
        <v>550</v>
      </c>
      <c r="E263" s="5" t="s">
        <v>485</v>
      </c>
      <c r="F263" s="10" t="n">
        <v>16.46</v>
      </c>
      <c r="G263" s="11" t="n">
        <v>1</v>
      </c>
      <c r="H263" s="11" t="n">
        <v>1</v>
      </c>
      <c r="I263" s="11" t="n">
        <v>1</v>
      </c>
      <c r="J263" s="5" t="str">
        <f aca="false">IF(F263=0,"MISSING","")</f>
        <v/>
      </c>
      <c r="K263" s="5" t="str">
        <f aca="false">IF(G263&lt;=0,"MISSING","")</f>
        <v/>
      </c>
      <c r="L263" s="5" t="str">
        <f aca="false">IF(D263="","MISSING","")</f>
        <v/>
      </c>
      <c r="M263" s="5" t="str">
        <f aca="false">IF(COUNTIF(B$2:B$263,B263)&gt;1,"DUPLICATE","")</f>
        <v/>
      </c>
    </row>
  </sheetData>
  <conditionalFormatting sqref="J2:M263">
    <cfRule type="cellIs" priority="2" operator="equal" aboveAverage="0" equalAverage="0" bottom="0" percent="0" rank="0" text="" dxfId="0">
      <formula>"MISSING"</formula>
    </cfRule>
    <cfRule type="cellIs" priority="3" operator="equal" aboveAverage="0" equalAverage="0" bottom="0" percent="0" rank="0" text="" dxfId="1">
      <formula>"DUPLICATE"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12" min="4" style="0" width="14"/>
  </cols>
  <sheetData>
    <row r="1" customFormat="false" ht="39.5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491</v>
      </c>
      <c r="E1" s="4" t="s">
        <v>562</v>
      </c>
      <c r="F1" s="4" t="s">
        <v>563</v>
      </c>
      <c r="G1" s="4" t="s">
        <v>564</v>
      </c>
      <c r="H1" s="4" t="s">
        <v>565</v>
      </c>
      <c r="I1" s="4" t="s">
        <v>566</v>
      </c>
      <c r="J1" s="4" t="s">
        <v>567</v>
      </c>
      <c r="K1" s="4" t="s">
        <v>568</v>
      </c>
      <c r="L1" s="4" t="s">
        <v>569</v>
      </c>
    </row>
    <row r="2" customFormat="false" ht="46.25" hidden="false" customHeight="false" outlineLevel="0" collapsed="false">
      <c r="A2" s="5" t="n">
        <f aca="false">ITEM_MASTER_CLEAN!A2</f>
        <v>1</v>
      </c>
      <c r="B2" s="5" t="n">
        <f aca="false">ITEM_MASTER_CLEAN!B2</f>
        <v>62966</v>
      </c>
      <c r="C2" s="5" t="str">
        <f aca="false">ITEM_MASTER_CLEAN!C2</f>
        <v>9 CAKE WHITE LAYER 8" 24X354G</v>
      </c>
      <c r="D2" s="5" t="str">
        <f aca="false">ITEM_MASTER_CLEAN!D2</f>
        <v>GATEAUX &amp; TARTES CREME GLACEE</v>
      </c>
      <c r="E2" s="11" t="n">
        <v>1</v>
      </c>
      <c r="F2" s="11" t="n">
        <v>3</v>
      </c>
      <c r="G2" s="5" t="str">
        <f aca="false">IFERROR(VLOOKUP(D2,SETTINGS!A20:B41,2,FALSE()),"Medium")</f>
        <v>Medium</v>
      </c>
      <c r="H2" s="5" t="n">
        <f aca="false">IFERROR(VLOOKUP(G2,SETTINGS!A14:C16,3,FALSE()),5)</f>
        <v>8</v>
      </c>
      <c r="I2" s="5" t="n">
        <f aca="false">IF(E2&gt;0,E2,H2)</f>
        <v>1</v>
      </c>
      <c r="J2" s="5" t="n">
        <f aca="false">IF(F2&gt;0,F2,H2)</f>
        <v>3</v>
      </c>
      <c r="K2" s="5" t="n">
        <f aca="false">I2/7</f>
        <v>0.142857142857143</v>
      </c>
      <c r="L2" s="5" t="n">
        <f aca="false">J2/7</f>
        <v>0.428571428571429</v>
      </c>
    </row>
    <row r="3" customFormat="false" ht="46.25" hidden="false" customHeight="false" outlineLevel="0" collapsed="false">
      <c r="A3" s="5" t="n">
        <f aca="false">ITEM_MASTER_CLEAN!A3</f>
        <v>2</v>
      </c>
      <c r="B3" s="5" t="n">
        <f aca="false">ITEM_MASTER_CLEAN!B3</f>
        <v>62967</v>
      </c>
      <c r="C3" s="5" t="str">
        <f aca="false">ITEM_MASTER_CLEAN!C3</f>
        <v>9 CAKE CHOC LAYER 8" 24X354G</v>
      </c>
      <c r="D3" s="5" t="str">
        <f aca="false">ITEM_MASTER_CLEAN!D3</f>
        <v>GATEAUX &amp; TARTES CREME GLACEE</v>
      </c>
      <c r="E3" s="11" t="n">
        <v>4</v>
      </c>
      <c r="F3" s="11" t="n">
        <v>1</v>
      </c>
      <c r="G3" s="5" t="str">
        <f aca="false">IFERROR(VLOOKUP(D3,SETTINGS!A20:B41,2,FALSE()),"Medium")</f>
        <v>Medium</v>
      </c>
      <c r="H3" s="5" t="n">
        <f aca="false">IFERROR(VLOOKUP(G3,SETTINGS!A14:C16,3,FALSE()),5)</f>
        <v>8</v>
      </c>
      <c r="I3" s="5" t="n">
        <f aca="false">IF(E3&gt;0,E3,H3)</f>
        <v>4</v>
      </c>
      <c r="J3" s="5" t="n">
        <f aca="false">IF(F3&gt;0,F3,H3)</f>
        <v>1</v>
      </c>
      <c r="K3" s="5" t="n">
        <f aca="false">I3/7</f>
        <v>0.571428571428571</v>
      </c>
      <c r="L3" s="5" t="n">
        <f aca="false">J3/7</f>
        <v>0.142857142857143</v>
      </c>
    </row>
    <row r="4" customFormat="false" ht="46.25" hidden="false" customHeight="false" outlineLevel="0" collapsed="false">
      <c r="A4" s="5" t="n">
        <f aca="false">ITEM_MASTER_CLEAN!A4</f>
        <v>3</v>
      </c>
      <c r="B4" s="5" t="n">
        <f aca="false">ITEM_MASTER_CLEAN!B4</f>
        <v>62963</v>
      </c>
      <c r="C4" s="5" t="str">
        <f aca="false">ITEM_MASTER_CLEAN!C4</f>
        <v>ICING PRE-WHIPPED VANILLA 6.8K</v>
      </c>
      <c r="D4" s="5" t="str">
        <f aca="false">ITEM_MASTER_CLEAN!D4</f>
        <v>GATEAUX &amp; TARTES CREME GLACEE</v>
      </c>
      <c r="E4" s="11" t="n">
        <v>2</v>
      </c>
      <c r="F4" s="11" t="n">
        <v>2</v>
      </c>
      <c r="G4" s="5" t="str">
        <f aca="false">IFERROR(VLOOKUP(D4,SETTINGS!A20:B41,2,FALSE()),"Medium")</f>
        <v>Medium</v>
      </c>
      <c r="H4" s="5" t="n">
        <f aca="false">IFERROR(VLOOKUP(G4,SETTINGS!A14:C16,3,FALSE()),5)</f>
        <v>8</v>
      </c>
      <c r="I4" s="5" t="n">
        <f aca="false">IF(E4&gt;0,E4,H4)</f>
        <v>2</v>
      </c>
      <c r="J4" s="5" t="n">
        <f aca="false">IF(F4&gt;0,F4,H4)</f>
        <v>2</v>
      </c>
      <c r="K4" s="5" t="n">
        <f aca="false">I4/7</f>
        <v>0.285714285714286</v>
      </c>
      <c r="L4" s="5" t="n">
        <f aca="false">J4/7</f>
        <v>0.285714285714286</v>
      </c>
    </row>
    <row r="5" customFormat="false" ht="46.25" hidden="false" customHeight="false" outlineLevel="0" collapsed="false">
      <c r="A5" s="5" t="n">
        <f aca="false">ITEM_MASTER_CLEAN!A5</f>
        <v>4</v>
      </c>
      <c r="B5" s="5" t="n">
        <f aca="false">ITEM_MASTER_CLEAN!B5</f>
        <v>22400</v>
      </c>
      <c r="C5" s="5" t="str">
        <f aca="false">ITEM_MASTER_CLEAN!C5</f>
        <v>LADIP LABEL CHOCOLATE CAKE 1RLX50UN</v>
      </c>
      <c r="D5" s="5" t="str">
        <f aca="false">ITEM_MASTER_CLEAN!D5</f>
        <v>GATEAUX &amp; TARTES CREME GLACEE</v>
      </c>
      <c r="E5" s="11" t="n">
        <v>3</v>
      </c>
      <c r="F5" s="11" t="n">
        <v>1</v>
      </c>
      <c r="G5" s="5" t="str">
        <f aca="false">IFERROR(VLOOKUP(D5,SETTINGS!A20:B41,2,FALSE()),"Medium")</f>
        <v>Medium</v>
      </c>
      <c r="H5" s="5" t="n">
        <f aca="false">IFERROR(VLOOKUP(G5,SETTINGS!A14:C16,3,FALSE()),5)</f>
        <v>8</v>
      </c>
      <c r="I5" s="5" t="n">
        <f aca="false">IF(E5&gt;0,E5,H5)</f>
        <v>3</v>
      </c>
      <c r="J5" s="5" t="n">
        <f aca="false">IF(F5&gt;0,F5,H5)</f>
        <v>1</v>
      </c>
      <c r="K5" s="5" t="n">
        <f aca="false">I5/7</f>
        <v>0.428571428571429</v>
      </c>
      <c r="L5" s="5" t="n">
        <f aca="false">J5/7</f>
        <v>0.142857142857143</v>
      </c>
    </row>
    <row r="6" customFormat="false" ht="46.25" hidden="false" customHeight="false" outlineLevel="0" collapsed="false">
      <c r="A6" s="5" t="n">
        <f aca="false">ITEM_MASTER_CLEAN!A6</f>
        <v>5</v>
      </c>
      <c r="B6" s="5" t="n">
        <f aca="false">ITEM_MASTER_CLEAN!B6</f>
        <v>22401</v>
      </c>
      <c r="C6" s="5" t="str">
        <f aca="false">ITEM_MASTER_CLEAN!C6</f>
        <v>LADIP LABEL BIRTHDAY CAKE 1RLX50UN</v>
      </c>
      <c r="D6" s="5" t="str">
        <f aca="false">ITEM_MASTER_CLEAN!D6</f>
        <v>GATEAUX &amp; TARTES CREME GLACEE</v>
      </c>
      <c r="E6" s="11" t="n">
        <v>4</v>
      </c>
      <c r="F6" s="11" t="n">
        <v>1</v>
      </c>
      <c r="G6" s="5" t="str">
        <f aca="false">IFERROR(VLOOKUP(D6,SETTINGS!A20:B41,2,FALSE()),"Medium")</f>
        <v>Medium</v>
      </c>
      <c r="H6" s="5" t="n">
        <f aca="false">IFERROR(VLOOKUP(G6,SETTINGS!A14:C16,3,FALSE()),5)</f>
        <v>8</v>
      </c>
      <c r="I6" s="5" t="n">
        <f aca="false">IF(E6&gt;0,E6,H6)</f>
        <v>4</v>
      </c>
      <c r="J6" s="5" t="n">
        <f aca="false">IF(F6&gt;0,F6,H6)</f>
        <v>1</v>
      </c>
      <c r="K6" s="5" t="n">
        <f aca="false">I6/7</f>
        <v>0.571428571428571</v>
      </c>
      <c r="L6" s="5" t="n">
        <f aca="false">J6/7</f>
        <v>0.142857142857143</v>
      </c>
    </row>
    <row r="7" customFormat="false" ht="46.25" hidden="false" customHeight="false" outlineLevel="0" collapsed="false">
      <c r="A7" s="5" t="n">
        <f aca="false">ITEM_MASTER_CLEAN!A7</f>
        <v>6</v>
      </c>
      <c r="B7" s="5" t="n">
        <f aca="false">ITEM_MASTER_CLEAN!B7</f>
        <v>22402</v>
      </c>
      <c r="C7" s="5" t="str">
        <f aca="false">ITEM_MASTER_CLEAN!C7</f>
        <v>LADIP LABEL COOKIE &amp; CREAM CAKE 1RL</v>
      </c>
      <c r="D7" s="5" t="str">
        <f aca="false">ITEM_MASTER_CLEAN!D7</f>
        <v>GATEAUX &amp; TARTES CREME GLACEE</v>
      </c>
      <c r="E7" s="11" t="n">
        <v>2</v>
      </c>
      <c r="F7" s="11" t="n">
        <v>2</v>
      </c>
      <c r="G7" s="5" t="str">
        <f aca="false">IFERROR(VLOOKUP(D7,SETTINGS!A20:B41,2,FALSE()),"Medium")</f>
        <v>Medium</v>
      </c>
      <c r="H7" s="5" t="n">
        <f aca="false">IFERROR(VLOOKUP(G7,SETTINGS!A14:C16,3,FALSE()),5)</f>
        <v>8</v>
      </c>
      <c r="I7" s="5" t="n">
        <f aca="false">IF(E7&gt;0,E7,H7)</f>
        <v>2</v>
      </c>
      <c r="J7" s="5" t="n">
        <f aca="false">IF(F7&gt;0,F7,H7)</f>
        <v>2</v>
      </c>
      <c r="K7" s="5" t="n">
        <f aca="false">I7/7</f>
        <v>0.285714285714286</v>
      </c>
      <c r="L7" s="5" t="n">
        <f aca="false">J7/7</f>
        <v>0.285714285714286</v>
      </c>
    </row>
    <row r="8" customFormat="false" ht="46.25" hidden="false" customHeight="false" outlineLevel="0" collapsed="false">
      <c r="A8" s="5" t="n">
        <f aca="false">ITEM_MASTER_CLEAN!A8</f>
        <v>7</v>
      </c>
      <c r="B8" s="5" t="n">
        <f aca="false">ITEM_MASTER_CLEAN!B8</f>
        <v>22406</v>
      </c>
      <c r="C8" s="5" t="str">
        <f aca="false">ITEM_MASTER_CLEAN!C8</f>
        <v>LADIP LABEL SALTD CARAMEL CAKE 1RL</v>
      </c>
      <c r="D8" s="5" t="str">
        <f aca="false">ITEM_MASTER_CLEAN!D8</f>
        <v>GATEAUX &amp; TARTES CREME GLACEE</v>
      </c>
      <c r="E8" s="11" t="n">
        <v>3</v>
      </c>
      <c r="F8" s="11" t="n">
        <v>1</v>
      </c>
      <c r="G8" s="5" t="str">
        <f aca="false">IFERROR(VLOOKUP(D8,SETTINGS!A20:B41,2,FALSE()),"Medium")</f>
        <v>Medium</v>
      </c>
      <c r="H8" s="5" t="n">
        <f aca="false">IFERROR(VLOOKUP(G8,SETTINGS!A14:C16,3,FALSE()),5)</f>
        <v>8</v>
      </c>
      <c r="I8" s="5" t="n">
        <f aca="false">IF(E8&gt;0,E8,H8)</f>
        <v>3</v>
      </c>
      <c r="J8" s="5" t="n">
        <f aca="false">IF(F8&gt;0,F8,H8)</f>
        <v>1</v>
      </c>
      <c r="K8" s="5" t="n">
        <f aca="false">I8/7</f>
        <v>0.428571428571429</v>
      </c>
      <c r="L8" s="5" t="n">
        <f aca="false">J8/7</f>
        <v>0.142857142857143</v>
      </c>
    </row>
    <row r="9" customFormat="false" ht="46.25" hidden="false" customHeight="false" outlineLevel="0" collapsed="false">
      <c r="A9" s="5" t="n">
        <f aca="false">ITEM_MASTER_CLEAN!A9</f>
        <v>8</v>
      </c>
      <c r="B9" s="5" t="n">
        <f aca="false">ITEM_MASTER_CLEAN!B9</f>
        <v>22407</v>
      </c>
      <c r="C9" s="5" t="str">
        <f aca="false">ITEM_MASTER_CLEAN!C9</f>
        <v>LADIP LABEL STRABERRY CAKE 1RLX50UN</v>
      </c>
      <c r="D9" s="5" t="str">
        <f aca="false">ITEM_MASTER_CLEAN!D9</f>
        <v>GATEAUX &amp; TARTES CREME GLACEE</v>
      </c>
      <c r="E9" s="11" t="n">
        <v>3</v>
      </c>
      <c r="F9" s="11" t="n">
        <v>3</v>
      </c>
      <c r="G9" s="5" t="str">
        <f aca="false">IFERROR(VLOOKUP(D9,SETTINGS!A20:B41,2,FALSE()),"Medium")</f>
        <v>Medium</v>
      </c>
      <c r="H9" s="5" t="n">
        <f aca="false">IFERROR(VLOOKUP(G9,SETTINGS!A14:C16,3,FALSE()),5)</f>
        <v>8</v>
      </c>
      <c r="I9" s="5" t="n">
        <f aca="false">IF(E9&gt;0,E9,H9)</f>
        <v>3</v>
      </c>
      <c r="J9" s="5" t="n">
        <f aca="false">IF(F9&gt;0,F9,H9)</f>
        <v>3</v>
      </c>
      <c r="K9" s="5" t="n">
        <f aca="false">I9/7</f>
        <v>0.428571428571429</v>
      </c>
      <c r="L9" s="5" t="n">
        <f aca="false">J9/7</f>
        <v>0.428571428571429</v>
      </c>
    </row>
    <row r="10" customFormat="false" ht="46.25" hidden="false" customHeight="false" outlineLevel="0" collapsed="false">
      <c r="A10" s="5" t="n">
        <f aca="false">ITEM_MASTER_CLEAN!A10</f>
        <v>9</v>
      </c>
      <c r="B10" s="5" t="n">
        <f aca="false">ITEM_MASTER_CLEAN!B10</f>
        <v>25800</v>
      </c>
      <c r="C10" s="5" t="str">
        <f aca="false">ITEM_MASTER_CLEAN!C10</f>
        <v>CAKE CARDBOARD 8" BLCK GOLD 100</v>
      </c>
      <c r="D10" s="5" t="str">
        <f aca="false">ITEM_MASTER_CLEAN!D10</f>
        <v>GATEAUX &amp; TARTES CREME GLACEE</v>
      </c>
      <c r="E10" s="11" t="n">
        <v>3</v>
      </c>
      <c r="F10" s="11" t="n">
        <v>1</v>
      </c>
      <c r="G10" s="5" t="str">
        <f aca="false">IFERROR(VLOOKUP(D10,SETTINGS!A20:B41,2,FALSE()),"Medium")</f>
        <v>Medium</v>
      </c>
      <c r="H10" s="5" t="n">
        <f aca="false">IFERROR(VLOOKUP(G10,SETTINGS!A14:C16,3,FALSE()),5)</f>
        <v>8</v>
      </c>
      <c r="I10" s="5" t="n">
        <f aca="false">IF(E10&gt;0,E10,H10)</f>
        <v>3</v>
      </c>
      <c r="J10" s="5" t="n">
        <f aca="false">IF(F10&gt;0,F10,H10)</f>
        <v>1</v>
      </c>
      <c r="K10" s="5" t="n">
        <f aca="false">I10/7</f>
        <v>0.428571428571429</v>
      </c>
      <c r="L10" s="5" t="n">
        <f aca="false">J10/7</f>
        <v>0.142857142857143</v>
      </c>
    </row>
    <row r="11" customFormat="false" ht="46.25" hidden="false" customHeight="false" outlineLevel="0" collapsed="false">
      <c r="A11" s="5" t="n">
        <f aca="false">ITEM_MASTER_CLEAN!A11</f>
        <v>10</v>
      </c>
      <c r="B11" s="5" t="n">
        <f aca="false">ITEM_MASTER_CLEAN!B11</f>
        <v>25802</v>
      </c>
      <c r="C11" s="5" t="str">
        <f aca="false">ITEM_MASTER_CLEAN!C11</f>
        <v>ACETATE ROLL 3.5"X1250" 4MM 1RL</v>
      </c>
      <c r="D11" s="5" t="str">
        <f aca="false">ITEM_MASTER_CLEAN!D11</f>
        <v>GATEAUX &amp; TARTES CREME GLACEE</v>
      </c>
      <c r="E11" s="11" t="n">
        <v>3</v>
      </c>
      <c r="F11" s="11" t="n">
        <v>3</v>
      </c>
      <c r="G11" s="5" t="str">
        <f aca="false">IFERROR(VLOOKUP(D11,SETTINGS!A20:B41,2,FALSE()),"Medium")</f>
        <v>Medium</v>
      </c>
      <c r="H11" s="5" t="n">
        <f aca="false">IFERROR(VLOOKUP(G11,SETTINGS!A14:C16,3,FALSE()),5)</f>
        <v>8</v>
      </c>
      <c r="I11" s="5" t="n">
        <f aca="false">IF(E11&gt;0,E11,H11)</f>
        <v>3</v>
      </c>
      <c r="J11" s="5" t="n">
        <f aca="false">IF(F11&gt;0,F11,H11)</f>
        <v>3</v>
      </c>
      <c r="K11" s="5" t="n">
        <f aca="false">I11/7</f>
        <v>0.428571428571429</v>
      </c>
      <c r="L11" s="5" t="n">
        <f aca="false">J11/7</f>
        <v>0.428571428571429</v>
      </c>
    </row>
    <row r="12" customFormat="false" ht="35.05" hidden="false" customHeight="false" outlineLevel="0" collapsed="false">
      <c r="A12" s="5" t="n">
        <f aca="false">ITEM_MASTER_CLEAN!A12</f>
        <v>11</v>
      </c>
      <c r="B12" s="5" t="n">
        <f aca="false">ITEM_MASTER_CLEAN!B12</f>
        <v>19689</v>
      </c>
      <c r="C12" s="5" t="str">
        <f aca="false">ITEM_MASTER_CLEAN!C12</f>
        <v>CAKE CUPCAKE BLACKOUT 8X4UN</v>
      </c>
      <c r="D12" s="5" t="str">
        <f aca="false">ITEM_MASTER_CLEAN!D12</f>
        <v>GATEAUX FROMAGE &amp; CUPCAKES</v>
      </c>
      <c r="E12" s="11" t="n">
        <v>1</v>
      </c>
      <c r="F12" s="11" t="n">
        <v>1</v>
      </c>
      <c r="G12" s="5" t="str">
        <f aca="false">IFERROR(VLOOKUP(D12,SETTINGS!A20:B41,2,FALSE()),"Medium")</f>
        <v>Medium</v>
      </c>
      <c r="H12" s="5" t="n">
        <f aca="false">IFERROR(VLOOKUP(G12,SETTINGS!A14:C16,3,FALSE()),5)</f>
        <v>8</v>
      </c>
      <c r="I12" s="5" t="n">
        <f aca="false">IF(E12&gt;0,E12,H12)</f>
        <v>1</v>
      </c>
      <c r="J12" s="5" t="n">
        <f aca="false">IF(F12&gt;0,F12,H12)</f>
        <v>1</v>
      </c>
      <c r="K12" s="5" t="n">
        <f aca="false">I12/7</f>
        <v>0.142857142857143</v>
      </c>
      <c r="L12" s="5" t="n">
        <f aca="false">J12/7</f>
        <v>0.142857142857143</v>
      </c>
    </row>
    <row r="13" customFormat="false" ht="35.05" hidden="false" customHeight="false" outlineLevel="0" collapsed="false">
      <c r="A13" s="5" t="n">
        <f aca="false">ITEM_MASTER_CLEAN!A13</f>
        <v>12</v>
      </c>
      <c r="B13" s="5" t="n">
        <f aca="false">ITEM_MASTER_CLEAN!B13</f>
        <v>19692</v>
      </c>
      <c r="C13" s="5" t="str">
        <f aca="false">ITEM_MASTER_CLEAN!C13</f>
        <v>CAKE CUPCAKE RED VELVET 8X4UN</v>
      </c>
      <c r="D13" s="5" t="str">
        <f aca="false">ITEM_MASTER_CLEAN!D13</f>
        <v>GATEAUX FROMAGE &amp; CUPCAKES</v>
      </c>
      <c r="E13" s="11" t="n">
        <v>2</v>
      </c>
      <c r="F13" s="11" t="n">
        <v>1</v>
      </c>
      <c r="G13" s="5" t="str">
        <f aca="false">IFERROR(VLOOKUP(D13,SETTINGS!A20:B41,2,FALSE()),"Medium")</f>
        <v>Medium</v>
      </c>
      <c r="H13" s="5" t="n">
        <f aca="false">IFERROR(VLOOKUP(G13,SETTINGS!A14:C16,3,FALSE()),5)</f>
        <v>8</v>
      </c>
      <c r="I13" s="5" t="n">
        <f aca="false">IF(E13&gt;0,E13,H13)</f>
        <v>2</v>
      </c>
      <c r="J13" s="5" t="n">
        <f aca="false">IF(F13&gt;0,F13,H13)</f>
        <v>1</v>
      </c>
      <c r="K13" s="5" t="n">
        <f aca="false">I13/7</f>
        <v>0.285714285714286</v>
      </c>
      <c r="L13" s="5" t="n">
        <f aca="false">J13/7</f>
        <v>0.142857142857143</v>
      </c>
    </row>
    <row r="14" customFormat="false" ht="35.05" hidden="false" customHeight="false" outlineLevel="0" collapsed="false">
      <c r="A14" s="5" t="n">
        <f aca="false">ITEM_MASTER_CLEAN!A14</f>
        <v>13</v>
      </c>
      <c r="B14" s="5" t="n">
        <f aca="false">ITEM_MASTER_CLEAN!B14</f>
        <v>19693</v>
      </c>
      <c r="C14" s="5" t="str">
        <f aca="false">ITEM_MASTER_CLEAN!C14</f>
        <v>CAKE CUPCAKE VANILLA BEAN 8X4UN</v>
      </c>
      <c r="D14" s="5" t="str">
        <f aca="false">ITEM_MASTER_CLEAN!D14</f>
        <v>GATEAUX FROMAGE &amp; CUPCAKES</v>
      </c>
      <c r="E14" s="11" t="n">
        <v>1</v>
      </c>
      <c r="F14" s="11" t="n">
        <v>2</v>
      </c>
      <c r="G14" s="5" t="str">
        <f aca="false">IFERROR(VLOOKUP(D14,SETTINGS!A20:B41,2,FALSE()),"Medium")</f>
        <v>Medium</v>
      </c>
      <c r="H14" s="5" t="n">
        <f aca="false">IFERROR(VLOOKUP(G14,SETTINGS!A14:C16,3,FALSE()),5)</f>
        <v>8</v>
      </c>
      <c r="I14" s="5" t="n">
        <f aca="false">IF(E14&gt;0,E14,H14)</f>
        <v>1</v>
      </c>
      <c r="J14" s="5" t="n">
        <f aca="false">IF(F14&gt;0,F14,H14)</f>
        <v>2</v>
      </c>
      <c r="K14" s="5" t="n">
        <f aca="false">I14/7</f>
        <v>0.142857142857143</v>
      </c>
      <c r="L14" s="5" t="n">
        <f aca="false">J14/7</f>
        <v>0.285714285714286</v>
      </c>
    </row>
    <row r="15" customFormat="false" ht="35.05" hidden="false" customHeight="false" outlineLevel="0" collapsed="false">
      <c r="A15" s="5" t="n">
        <f aca="false">ITEM_MASTER_CLEAN!A15</f>
        <v>14</v>
      </c>
      <c r="B15" s="5" t="n">
        <f aca="false">ITEM_MASTER_CLEAN!B15</f>
        <v>19688</v>
      </c>
      <c r="C15" s="5" t="str">
        <f aca="false">ITEM_MASTER_CLEAN!C15</f>
        <v>CAKE CHEESE ORIGINAL 6X6"</v>
      </c>
      <c r="D15" s="5" t="str">
        <f aca="false">ITEM_MASTER_CLEAN!D15</f>
        <v>GATEAUX FROMAGE &amp; CUPCAKES</v>
      </c>
      <c r="E15" s="11" t="n">
        <v>1</v>
      </c>
      <c r="F15" s="11" t="n">
        <v>2</v>
      </c>
      <c r="G15" s="5" t="str">
        <f aca="false">IFERROR(VLOOKUP(D15,SETTINGS!A20:B41,2,FALSE()),"Medium")</f>
        <v>Medium</v>
      </c>
      <c r="H15" s="5" t="n">
        <f aca="false">IFERROR(VLOOKUP(G15,SETTINGS!A14:C16,3,FALSE()),5)</f>
        <v>8</v>
      </c>
      <c r="I15" s="5" t="n">
        <f aca="false">IF(E15&gt;0,E15,H15)</f>
        <v>1</v>
      </c>
      <c r="J15" s="5" t="n">
        <f aca="false">IF(F15&gt;0,F15,H15)</f>
        <v>2</v>
      </c>
      <c r="K15" s="5" t="n">
        <f aca="false">I15/7</f>
        <v>0.142857142857143</v>
      </c>
      <c r="L15" s="5" t="n">
        <f aca="false">J15/7</f>
        <v>0.285714285714286</v>
      </c>
    </row>
    <row r="16" customFormat="false" ht="35.05" hidden="false" customHeight="false" outlineLevel="0" collapsed="false">
      <c r="A16" s="5" t="n">
        <f aca="false">ITEM_MASTER_CLEAN!A16</f>
        <v>15</v>
      </c>
      <c r="B16" s="5" t="n">
        <f aca="false">ITEM_MASTER_CLEAN!B16</f>
        <v>19687</v>
      </c>
      <c r="C16" s="5" t="str">
        <f aca="false">ITEM_MASTER_CLEAN!C16</f>
        <v>CAKE CHEESE WHT CHOC/RASP 6X6"</v>
      </c>
      <c r="D16" s="5" t="str">
        <f aca="false">ITEM_MASTER_CLEAN!D16</f>
        <v>GATEAUX FROMAGE &amp; CUPCAKES</v>
      </c>
      <c r="E16" s="11" t="n">
        <v>3</v>
      </c>
      <c r="F16" s="11" t="n">
        <v>2</v>
      </c>
      <c r="G16" s="5" t="str">
        <f aca="false">IFERROR(VLOOKUP(D16,SETTINGS!A20:B41,2,FALSE()),"Medium")</f>
        <v>Medium</v>
      </c>
      <c r="H16" s="5" t="n">
        <f aca="false">IFERROR(VLOOKUP(G16,SETTINGS!A14:C16,3,FALSE()),5)</f>
        <v>8</v>
      </c>
      <c r="I16" s="5" t="n">
        <f aca="false">IF(E16&gt;0,E16,H16)</f>
        <v>3</v>
      </c>
      <c r="J16" s="5" t="n">
        <f aca="false">IF(F16&gt;0,F16,H16)</f>
        <v>2</v>
      </c>
      <c r="K16" s="5" t="n">
        <f aca="false">I16/7</f>
        <v>0.428571428571429</v>
      </c>
      <c r="L16" s="5" t="n">
        <f aca="false">J16/7</f>
        <v>0.285714285714286</v>
      </c>
    </row>
    <row r="17" customFormat="false" ht="35.05" hidden="false" customHeight="false" outlineLevel="0" collapsed="false">
      <c r="A17" s="5" t="n">
        <f aca="false">ITEM_MASTER_CLEAN!A17</f>
        <v>16</v>
      </c>
      <c r="B17" s="5" t="n">
        <f aca="false">ITEM_MASTER_CLEAN!B17</f>
        <v>19685</v>
      </c>
      <c r="C17" s="5" t="str">
        <f aca="false">ITEM_MASTER_CLEAN!C17</f>
        <v>CAKE CHEESE CHOC MOUSSE 6X6"</v>
      </c>
      <c r="D17" s="5" t="str">
        <f aca="false">ITEM_MASTER_CLEAN!D17</f>
        <v>GATEAUX FROMAGE &amp; CUPCAKES</v>
      </c>
      <c r="E17" s="11" t="n">
        <v>1</v>
      </c>
      <c r="F17" s="11" t="n">
        <v>1</v>
      </c>
      <c r="G17" s="5" t="str">
        <f aca="false">IFERROR(VLOOKUP(D17,SETTINGS!A20:B41,2,FALSE()),"Medium")</f>
        <v>Medium</v>
      </c>
      <c r="H17" s="5" t="n">
        <f aca="false">IFERROR(VLOOKUP(G17,SETTINGS!A14:C16,3,FALSE()),5)</f>
        <v>8</v>
      </c>
      <c r="I17" s="5" t="n">
        <f aca="false">IF(E17&gt;0,E17,H17)</f>
        <v>1</v>
      </c>
      <c r="J17" s="5" t="n">
        <f aca="false">IF(F17&gt;0,F17,H17)</f>
        <v>1</v>
      </c>
      <c r="K17" s="5" t="n">
        <f aca="false">I17/7</f>
        <v>0.142857142857143</v>
      </c>
      <c r="L17" s="5" t="n">
        <f aca="false">J17/7</f>
        <v>0.142857142857143</v>
      </c>
    </row>
    <row r="18" customFormat="false" ht="35.05" hidden="false" customHeight="false" outlineLevel="0" collapsed="false">
      <c r="A18" s="5" t="n">
        <f aca="false">ITEM_MASTER_CLEAN!A18</f>
        <v>17</v>
      </c>
      <c r="B18" s="5" t="n">
        <f aca="false">ITEM_MASTER_CLEAN!B18</f>
        <v>19628</v>
      </c>
      <c r="C18" s="5" t="str">
        <f aca="false">ITEM_MASTER_CLEAN!C18</f>
        <v>CAKE CHEESE CAKE FACTORY 2X14UN</v>
      </c>
      <c r="D18" s="5" t="str">
        <f aca="false">ITEM_MASTER_CLEAN!D18</f>
        <v>GATEAUX FROMAGE &amp; CUPCAKES</v>
      </c>
      <c r="E18" s="11" t="n">
        <v>2</v>
      </c>
      <c r="F18" s="11" t="n">
        <v>1</v>
      </c>
      <c r="G18" s="5" t="str">
        <f aca="false">IFERROR(VLOOKUP(D18,SETTINGS!A20:B41,2,FALSE()),"Medium")</f>
        <v>Medium</v>
      </c>
      <c r="H18" s="5" t="n">
        <f aca="false">IFERROR(VLOOKUP(G18,SETTINGS!A14:C16,3,FALSE()),5)</f>
        <v>8</v>
      </c>
      <c r="I18" s="5" t="n">
        <f aca="false">IF(E18&gt;0,E18,H18)</f>
        <v>2</v>
      </c>
      <c r="J18" s="5" t="n">
        <f aca="false">IF(F18&gt;0,F18,H18)</f>
        <v>1</v>
      </c>
      <c r="K18" s="5" t="n">
        <f aca="false">I18/7</f>
        <v>0.285714285714286</v>
      </c>
      <c r="L18" s="5" t="n">
        <f aca="false">J18/7</f>
        <v>0.142857142857143</v>
      </c>
    </row>
    <row r="19" customFormat="false" ht="35.05" hidden="false" customHeight="false" outlineLevel="0" collapsed="false">
      <c r="A19" s="5" t="n">
        <f aca="false">ITEM_MASTER_CLEAN!A19</f>
        <v>18</v>
      </c>
      <c r="B19" s="5" t="n">
        <f aca="false">ITEM_MASTER_CLEAN!B19</f>
        <v>16992</v>
      </c>
      <c r="C19" s="5" t="str">
        <f aca="false">ITEM_MASTER_CLEAN!C19</f>
        <v>CAKE CHEESE MANGO LIME X2</v>
      </c>
      <c r="D19" s="5" t="str">
        <f aca="false">ITEM_MASTER_CLEAN!D19</f>
        <v>GATEAUX FROMAGE &amp; CUPCAKES</v>
      </c>
      <c r="E19" s="11" t="n">
        <v>1</v>
      </c>
      <c r="F19" s="11" t="n">
        <v>2</v>
      </c>
      <c r="G19" s="5" t="str">
        <f aca="false">IFERROR(VLOOKUP(D19,SETTINGS!A20:B41,2,FALSE()),"Medium")</f>
        <v>Medium</v>
      </c>
      <c r="H19" s="5" t="n">
        <f aca="false">IFERROR(VLOOKUP(G19,SETTINGS!A14:C16,3,FALSE()),5)</f>
        <v>8</v>
      </c>
      <c r="I19" s="5" t="n">
        <f aca="false">IF(E19&gt;0,E19,H19)</f>
        <v>1</v>
      </c>
      <c r="J19" s="5" t="n">
        <f aca="false">IF(F19&gt;0,F19,H19)</f>
        <v>2</v>
      </c>
      <c r="K19" s="5" t="n">
        <f aca="false">I19/7</f>
        <v>0.142857142857143</v>
      </c>
      <c r="L19" s="5" t="n">
        <f aca="false">J19/7</f>
        <v>0.285714285714286</v>
      </c>
    </row>
    <row r="20" customFormat="false" ht="35.05" hidden="false" customHeight="false" outlineLevel="0" collapsed="false">
      <c r="A20" s="5" t="n">
        <f aca="false">ITEM_MASTER_CLEAN!A20</f>
        <v>19</v>
      </c>
      <c r="B20" s="5" t="n">
        <f aca="false">ITEM_MASTER_CLEAN!B20</f>
        <v>16995</v>
      </c>
      <c r="C20" s="5" t="str">
        <f aca="false">ITEM_MASTER_CLEAN!C20</f>
        <v>CAKE CHEESE CINNABON X2</v>
      </c>
      <c r="D20" s="5" t="str">
        <f aca="false">ITEM_MASTER_CLEAN!D20</f>
        <v>GATEAUX FROMAGE &amp; CUPCAKES</v>
      </c>
      <c r="E20" s="11" t="n">
        <v>1</v>
      </c>
      <c r="F20" s="11" t="n">
        <v>2</v>
      </c>
      <c r="G20" s="5" t="str">
        <f aca="false">IFERROR(VLOOKUP(D20,SETTINGS!A20:B41,2,FALSE()),"Medium")</f>
        <v>Medium</v>
      </c>
      <c r="H20" s="5" t="n">
        <f aca="false">IFERROR(VLOOKUP(G20,SETTINGS!A14:C16,3,FALSE()),5)</f>
        <v>8</v>
      </c>
      <c r="I20" s="5" t="n">
        <f aca="false">IF(E20&gt;0,E20,H20)</f>
        <v>1</v>
      </c>
      <c r="J20" s="5" t="n">
        <f aca="false">IF(F20&gt;0,F20,H20)</f>
        <v>2</v>
      </c>
      <c r="K20" s="5" t="n">
        <f aca="false">I20/7</f>
        <v>0.142857142857143</v>
      </c>
      <c r="L20" s="5" t="n">
        <f aca="false">J20/7</f>
        <v>0.285714285714286</v>
      </c>
    </row>
    <row r="21" customFormat="false" ht="35.05" hidden="false" customHeight="false" outlineLevel="0" collapsed="false">
      <c r="A21" s="5" t="n">
        <f aca="false">ITEM_MASTER_CLEAN!A21</f>
        <v>20</v>
      </c>
      <c r="B21" s="5" t="n">
        <f aca="false">ITEM_MASTER_CLEAN!B21</f>
        <v>19629</v>
      </c>
      <c r="C21" s="5" t="str">
        <f aca="false">ITEM_MASTER_CLEAN!C21</f>
        <v>CAKE GODIVA DBL CHOC CHEESE 2X28PC</v>
      </c>
      <c r="D21" s="5" t="str">
        <f aca="false">ITEM_MASTER_CLEAN!D21</f>
        <v>GATEAUX FROMAGE &amp; CUPCAKES</v>
      </c>
      <c r="E21" s="11" t="n">
        <v>1</v>
      </c>
      <c r="F21" s="11" t="n">
        <v>2</v>
      </c>
      <c r="G21" s="5" t="str">
        <f aca="false">IFERROR(VLOOKUP(D21,SETTINGS!A20:B41,2,FALSE()),"Medium")</f>
        <v>Medium</v>
      </c>
      <c r="H21" s="5" t="n">
        <f aca="false">IFERROR(VLOOKUP(G21,SETTINGS!A14:C16,3,FALSE()),5)</f>
        <v>8</v>
      </c>
      <c r="I21" s="5" t="n">
        <f aca="false">IF(E21&gt;0,E21,H21)</f>
        <v>1</v>
      </c>
      <c r="J21" s="5" t="n">
        <f aca="false">IF(F21&gt;0,F21,H21)</f>
        <v>2</v>
      </c>
      <c r="K21" s="5" t="n">
        <f aca="false">I21/7</f>
        <v>0.142857142857143</v>
      </c>
      <c r="L21" s="5" t="n">
        <f aca="false">J21/7</f>
        <v>0.285714285714286</v>
      </c>
    </row>
    <row r="22" customFormat="false" ht="35.05" hidden="false" customHeight="false" outlineLevel="0" collapsed="false">
      <c r="A22" s="5" t="n">
        <f aca="false">ITEM_MASTER_CLEAN!A22</f>
        <v>21</v>
      </c>
      <c r="B22" s="5" t="n">
        <f aca="false">ITEM_MASTER_CLEAN!B22</f>
        <v>16993</v>
      </c>
      <c r="C22" s="5" t="str">
        <f aca="false">ITEM_MASTER_CLEAN!C22</f>
        <v>CAKE CHEESE OREO X2</v>
      </c>
      <c r="D22" s="5" t="str">
        <f aca="false">ITEM_MASTER_CLEAN!D22</f>
        <v>GATEAUX FROMAGE &amp; CUPCAKES</v>
      </c>
      <c r="E22" s="11" t="n">
        <v>2</v>
      </c>
      <c r="F22" s="11" t="n">
        <v>2</v>
      </c>
      <c r="G22" s="5" t="str">
        <f aca="false">IFERROR(VLOOKUP(D22,SETTINGS!A20:B41,2,FALSE()),"Medium")</f>
        <v>Medium</v>
      </c>
      <c r="H22" s="5" t="n">
        <f aca="false">IFERROR(VLOOKUP(G22,SETTINGS!A14:C16,3,FALSE()),5)</f>
        <v>8</v>
      </c>
      <c r="I22" s="5" t="n">
        <f aca="false">IF(E22&gt;0,E22,H22)</f>
        <v>2</v>
      </c>
      <c r="J22" s="5" t="n">
        <f aca="false">IF(F22&gt;0,F22,H22)</f>
        <v>2</v>
      </c>
      <c r="K22" s="5" t="n">
        <f aca="false">I22/7</f>
        <v>0.285714285714286</v>
      </c>
      <c r="L22" s="5" t="n">
        <f aca="false">J22/7</f>
        <v>0.285714285714286</v>
      </c>
    </row>
    <row r="23" customFormat="false" ht="35.05" hidden="false" customHeight="false" outlineLevel="0" collapsed="false">
      <c r="A23" s="5" t="n">
        <f aca="false">ITEM_MASTER_CLEAN!A23</f>
        <v>22</v>
      </c>
      <c r="B23" s="5" t="n">
        <f aca="false">ITEM_MASTER_CLEAN!B23</f>
        <v>16988</v>
      </c>
      <c r="C23" s="5" t="str">
        <f aca="false">ITEM_MASTER_CLEAN!C23</f>
        <v>CAKE CHEESE BANANA FOSTER X2</v>
      </c>
      <c r="D23" s="5" t="str">
        <f aca="false">ITEM_MASTER_CLEAN!D23</f>
        <v>GATEAUX FROMAGE &amp; CUPCAKES</v>
      </c>
      <c r="E23" s="11" t="n">
        <v>3</v>
      </c>
      <c r="F23" s="11" t="n">
        <v>1</v>
      </c>
      <c r="G23" s="5" t="str">
        <f aca="false">IFERROR(VLOOKUP(D23,SETTINGS!A20:B41,2,FALSE()),"Medium")</f>
        <v>Medium</v>
      </c>
      <c r="H23" s="5" t="n">
        <f aca="false">IFERROR(VLOOKUP(G23,SETTINGS!A14:C16,3,FALSE()),5)</f>
        <v>8</v>
      </c>
      <c r="I23" s="5" t="n">
        <f aca="false">IF(E23&gt;0,E23,H23)</f>
        <v>3</v>
      </c>
      <c r="J23" s="5" t="n">
        <f aca="false">IF(F23&gt;0,F23,H23)</f>
        <v>1</v>
      </c>
      <c r="K23" s="5" t="n">
        <f aca="false">I23/7</f>
        <v>0.428571428571429</v>
      </c>
      <c r="L23" s="5" t="n">
        <f aca="false">J23/7</f>
        <v>0.142857142857143</v>
      </c>
    </row>
    <row r="24" customFormat="false" ht="35.05" hidden="false" customHeight="false" outlineLevel="0" collapsed="false">
      <c r="A24" s="5" t="n">
        <f aca="false">ITEM_MASTER_CLEAN!A24</f>
        <v>23</v>
      </c>
      <c r="B24" s="5" t="n">
        <f aca="false">ITEM_MASTER_CLEAN!B24</f>
        <v>16987</v>
      </c>
      <c r="C24" s="5" t="str">
        <f aca="false">ITEM_MASTER_CLEAN!C24</f>
        <v>CAKE CHEESE WILD STRWBERRY X2</v>
      </c>
      <c r="D24" s="5" t="str">
        <f aca="false">ITEM_MASTER_CLEAN!D24</f>
        <v>GATEAUX FROMAGE &amp; CUPCAKES</v>
      </c>
      <c r="E24" s="11" t="n">
        <v>1</v>
      </c>
      <c r="F24" s="11" t="n">
        <v>2</v>
      </c>
      <c r="G24" s="5" t="str">
        <f aca="false">IFERROR(VLOOKUP(D24,SETTINGS!A20:B41,2,FALSE()),"Medium")</f>
        <v>Medium</v>
      </c>
      <c r="H24" s="5" t="n">
        <f aca="false">IFERROR(VLOOKUP(G24,SETTINGS!A14:C16,3,FALSE()),5)</f>
        <v>8</v>
      </c>
      <c r="I24" s="5" t="n">
        <f aca="false">IF(E24&gt;0,E24,H24)</f>
        <v>1</v>
      </c>
      <c r="J24" s="5" t="n">
        <f aca="false">IF(F24&gt;0,F24,H24)</f>
        <v>2</v>
      </c>
      <c r="K24" s="5" t="n">
        <f aca="false">I24/7</f>
        <v>0.142857142857143</v>
      </c>
      <c r="L24" s="5" t="n">
        <f aca="false">J24/7</f>
        <v>0.285714285714286</v>
      </c>
    </row>
    <row r="25" customFormat="false" ht="35.05" hidden="false" customHeight="false" outlineLevel="0" collapsed="false">
      <c r="A25" s="5" t="n">
        <f aca="false">ITEM_MASTER_CLEAN!A25</f>
        <v>24</v>
      </c>
      <c r="B25" s="5" t="n">
        <f aca="false">ITEM_MASTER_CLEAN!B25</f>
        <v>16994</v>
      </c>
      <c r="C25" s="5" t="str">
        <f aca="false">ITEM_MASTER_CLEAN!C25</f>
        <v>CAKE CHEESE DULCE DE LECHE X2</v>
      </c>
      <c r="D25" s="5" t="str">
        <f aca="false">ITEM_MASTER_CLEAN!D25</f>
        <v>GATEAUX FROMAGE &amp; CUPCAKES</v>
      </c>
      <c r="E25" s="11" t="n">
        <v>3</v>
      </c>
      <c r="F25" s="11" t="n">
        <v>1</v>
      </c>
      <c r="G25" s="5" t="str">
        <f aca="false">IFERROR(VLOOKUP(D25,SETTINGS!A20:B41,2,FALSE()),"Medium")</f>
        <v>Medium</v>
      </c>
      <c r="H25" s="5" t="n">
        <f aca="false">IFERROR(VLOOKUP(G25,SETTINGS!A14:C16,3,FALSE()),5)</f>
        <v>8</v>
      </c>
      <c r="I25" s="5" t="n">
        <f aca="false">IF(E25&gt;0,E25,H25)</f>
        <v>3</v>
      </c>
      <c r="J25" s="5" t="n">
        <f aca="false">IF(F25&gt;0,F25,H25)</f>
        <v>1</v>
      </c>
      <c r="K25" s="5" t="n">
        <f aca="false">I25/7</f>
        <v>0.428571428571429</v>
      </c>
      <c r="L25" s="5" t="n">
        <f aca="false">J25/7</f>
        <v>0.142857142857143</v>
      </c>
    </row>
    <row r="26" customFormat="false" ht="35.05" hidden="false" customHeight="false" outlineLevel="0" collapsed="false">
      <c r="A26" s="5" t="n">
        <f aca="false">ITEM_MASTER_CLEAN!A26</f>
        <v>25</v>
      </c>
      <c r="B26" s="5" t="n">
        <f aca="false">ITEM_MASTER_CLEAN!B26</f>
        <v>19694</v>
      </c>
      <c r="C26" s="5" t="str">
        <f aca="false">ITEM_MASTER_CLEAN!C26</f>
        <v>CAKE REESE P.BUTTER CHOC 2X28PC</v>
      </c>
      <c r="D26" s="5" t="str">
        <f aca="false">ITEM_MASTER_CLEAN!D26</f>
        <v>GATEAUX FROMAGE &amp; CUPCAKES</v>
      </c>
      <c r="E26" s="11" t="n">
        <v>1</v>
      </c>
      <c r="F26" s="11" t="n">
        <v>1</v>
      </c>
      <c r="G26" s="5" t="str">
        <f aca="false">IFERROR(VLOOKUP(D26,SETTINGS!A20:B41,2,FALSE()),"Medium")</f>
        <v>Medium</v>
      </c>
      <c r="H26" s="5" t="n">
        <f aca="false">IFERROR(VLOOKUP(G26,SETTINGS!A14:C16,3,FALSE()),5)</f>
        <v>8</v>
      </c>
      <c r="I26" s="5" t="n">
        <f aca="false">IF(E26&gt;0,E26,H26)</f>
        <v>1</v>
      </c>
      <c r="J26" s="5" t="n">
        <f aca="false">IF(F26&gt;0,F26,H26)</f>
        <v>1</v>
      </c>
      <c r="K26" s="5" t="n">
        <f aca="false">I26/7</f>
        <v>0.142857142857143</v>
      </c>
      <c r="L26" s="5" t="n">
        <f aca="false">J26/7</f>
        <v>0.142857142857143</v>
      </c>
    </row>
    <row r="27" customFormat="false" ht="35.05" hidden="false" customHeight="false" outlineLevel="0" collapsed="false">
      <c r="A27" s="5" t="n">
        <f aca="false">ITEM_MASTER_CLEAN!A27</f>
        <v>26</v>
      </c>
      <c r="B27" s="5" t="n">
        <f aca="false">ITEM_MASTER_CLEAN!B27</f>
        <v>16991</v>
      </c>
      <c r="C27" s="5" t="str">
        <f aca="false">ITEM_MASTER_CLEAN!C27</f>
        <v>CAKE CHEESE RED VELVET X2</v>
      </c>
      <c r="D27" s="5" t="str">
        <f aca="false">ITEM_MASTER_CLEAN!D27</f>
        <v>GATEAUX FROMAGE &amp; CUPCAKES</v>
      </c>
      <c r="E27" s="11" t="n">
        <v>3</v>
      </c>
      <c r="F27" s="11" t="n">
        <v>2</v>
      </c>
      <c r="G27" s="5" t="str">
        <f aca="false">IFERROR(VLOOKUP(D27,SETTINGS!A20:B41,2,FALSE()),"Medium")</f>
        <v>Medium</v>
      </c>
      <c r="H27" s="5" t="n">
        <f aca="false">IFERROR(VLOOKUP(G27,SETTINGS!A14:C16,3,FALSE()),5)</f>
        <v>8</v>
      </c>
      <c r="I27" s="5" t="n">
        <f aca="false">IF(E27&gt;0,E27,H27)</f>
        <v>3</v>
      </c>
      <c r="J27" s="5" t="n">
        <f aca="false">IF(F27&gt;0,F27,H27)</f>
        <v>2</v>
      </c>
      <c r="K27" s="5" t="n">
        <f aca="false">I27/7</f>
        <v>0.428571428571429</v>
      </c>
      <c r="L27" s="5" t="n">
        <f aca="false">J27/7</f>
        <v>0.285714285714286</v>
      </c>
    </row>
    <row r="28" customFormat="false" ht="35.05" hidden="false" customHeight="false" outlineLevel="0" collapsed="false">
      <c r="A28" s="5" t="n">
        <f aca="false">ITEM_MASTER_CLEAN!A28</f>
        <v>27</v>
      </c>
      <c r="B28" s="5" t="n">
        <f aca="false">ITEM_MASTER_CLEAN!B28</f>
        <v>16989</v>
      </c>
      <c r="C28" s="5" t="str">
        <f aca="false">ITEM_MASTER_CLEAN!C28</f>
        <v>CAKE CHEESE TUXEDO MOUSSE X2</v>
      </c>
      <c r="D28" s="5" t="str">
        <f aca="false">ITEM_MASTER_CLEAN!D28</f>
        <v>GATEAUX FROMAGE &amp; CUPCAKES</v>
      </c>
      <c r="E28" s="11" t="n">
        <v>1</v>
      </c>
      <c r="F28" s="11" t="n">
        <v>1</v>
      </c>
      <c r="G28" s="5" t="str">
        <f aca="false">IFERROR(VLOOKUP(D28,SETTINGS!A20:B41,2,FALSE()),"Medium")</f>
        <v>Medium</v>
      </c>
      <c r="H28" s="5" t="n">
        <f aca="false">IFERROR(VLOOKUP(G28,SETTINGS!A14:C16,3,FALSE()),5)</f>
        <v>8</v>
      </c>
      <c r="I28" s="5" t="n">
        <f aca="false">IF(E28&gt;0,E28,H28)</f>
        <v>1</v>
      </c>
      <c r="J28" s="5" t="n">
        <f aca="false">IF(F28&gt;0,F28,H28)</f>
        <v>1</v>
      </c>
      <c r="K28" s="5" t="n">
        <f aca="false">I28/7</f>
        <v>0.142857142857143</v>
      </c>
      <c r="L28" s="5" t="n">
        <f aca="false">J28/7</f>
        <v>0.142857142857143</v>
      </c>
    </row>
    <row r="29" customFormat="false" ht="35.05" hidden="false" customHeight="false" outlineLevel="0" collapsed="false">
      <c r="A29" s="5" t="n">
        <f aca="false">ITEM_MASTER_CLEAN!A29</f>
        <v>28</v>
      </c>
      <c r="B29" s="5" t="n">
        <f aca="false">ITEM_MASTER_CLEAN!B29</f>
        <v>19630</v>
      </c>
      <c r="C29" s="5" t="str">
        <f aca="false">ITEM_MASTER_CLEAN!C29</f>
        <v>CAKE WHITE CHOC RSPBRY CHEESE X2</v>
      </c>
      <c r="D29" s="5" t="str">
        <f aca="false">ITEM_MASTER_CLEAN!D29</f>
        <v>GATEAUX FROMAGE &amp; CUPCAKES</v>
      </c>
      <c r="E29" s="11" t="n">
        <v>3</v>
      </c>
      <c r="F29" s="11" t="n">
        <v>1</v>
      </c>
      <c r="G29" s="5" t="str">
        <f aca="false">IFERROR(VLOOKUP(D29,SETTINGS!A20:B41,2,FALSE()),"Medium")</f>
        <v>Medium</v>
      </c>
      <c r="H29" s="5" t="n">
        <f aca="false">IFERROR(VLOOKUP(G29,SETTINGS!A14:C16,3,FALSE()),5)</f>
        <v>8</v>
      </c>
      <c r="I29" s="5" t="n">
        <f aca="false">IF(E29&gt;0,E29,H29)</f>
        <v>3</v>
      </c>
      <c r="J29" s="5" t="n">
        <f aca="false">IF(F29&gt;0,F29,H29)</f>
        <v>1</v>
      </c>
      <c r="K29" s="5" t="n">
        <f aca="false">I29/7</f>
        <v>0.428571428571429</v>
      </c>
      <c r="L29" s="5" t="n">
        <f aca="false">J29/7</f>
        <v>0.142857142857143</v>
      </c>
    </row>
    <row r="30" customFormat="false" ht="35.05" hidden="false" customHeight="false" outlineLevel="0" collapsed="false">
      <c r="A30" s="5" t="n">
        <f aca="false">ITEM_MASTER_CLEAN!A30</f>
        <v>29</v>
      </c>
      <c r="B30" s="5" t="n">
        <f aca="false">ITEM_MASTER_CLEAN!B30</f>
        <v>44985</v>
      </c>
      <c r="C30" s="5" t="str">
        <f aca="false">ITEM_MASTER_CLEAN!C30</f>
        <v>BISC DOUGH OREO V-VIT0013V 5K</v>
      </c>
      <c r="D30" s="5" t="str">
        <f aca="false">ITEM_MASTER_CLEAN!D30</f>
        <v>BISCUITS &amp; PATE A BISCUITS</v>
      </c>
      <c r="E30" s="11" t="n">
        <v>6</v>
      </c>
      <c r="F30" s="11" t="n">
        <v>1</v>
      </c>
      <c r="G30" s="5" t="str">
        <f aca="false">IFERROR(VLOOKUP(D30,SETTINGS!A20:B41,2,FALSE()),"Medium")</f>
        <v>Fast</v>
      </c>
      <c r="H30" s="5" t="n">
        <f aca="false">IFERROR(VLOOKUP(G30,SETTINGS!A14:C16,3,FALSE()),5)</f>
        <v>15</v>
      </c>
      <c r="I30" s="5" t="n">
        <f aca="false">IF(E30&gt;0,E30,H30)</f>
        <v>6</v>
      </c>
      <c r="J30" s="5" t="n">
        <f aca="false">IF(F30&gt;0,F30,H30)</f>
        <v>1</v>
      </c>
      <c r="K30" s="5" t="n">
        <f aca="false">I30/7</f>
        <v>0.857142857142857</v>
      </c>
      <c r="L30" s="5" t="n">
        <f aca="false">J30/7</f>
        <v>0.142857142857143</v>
      </c>
    </row>
    <row r="31" customFormat="false" ht="35.05" hidden="false" customHeight="false" outlineLevel="0" collapsed="false">
      <c r="A31" s="5" t="n">
        <f aca="false">ITEM_MASTER_CLEAN!A31</f>
        <v>30</v>
      </c>
      <c r="B31" s="5" t="n">
        <f aca="false">ITEM_MASTER_CLEAN!B31</f>
        <v>44961</v>
      </c>
      <c r="C31" s="5" t="str">
        <f aca="false">ITEM_MASTER_CLEAN!C31</f>
        <v>BISC DOUGH BLK CHOCO MED SWEET 5K</v>
      </c>
      <c r="D31" s="5" t="str">
        <f aca="false">ITEM_MASTER_CLEAN!D31</f>
        <v>BISCUITS &amp; PATE A BISCUITS</v>
      </c>
      <c r="E31" s="11" t="n">
        <v>3</v>
      </c>
      <c r="F31" s="11" t="n">
        <v>3</v>
      </c>
      <c r="G31" s="5" t="str">
        <f aca="false">IFERROR(VLOOKUP(D31,SETTINGS!A20:B41,2,FALSE()),"Medium")</f>
        <v>Fast</v>
      </c>
      <c r="H31" s="5" t="n">
        <f aca="false">IFERROR(VLOOKUP(G31,SETTINGS!A14:C16,3,FALSE()),5)</f>
        <v>15</v>
      </c>
      <c r="I31" s="5" t="n">
        <f aca="false">IF(E31&gt;0,E31,H31)</f>
        <v>3</v>
      </c>
      <c r="J31" s="5" t="n">
        <f aca="false">IF(F31&gt;0,F31,H31)</f>
        <v>3</v>
      </c>
      <c r="K31" s="5" t="n">
        <f aca="false">I31/7</f>
        <v>0.428571428571429</v>
      </c>
      <c r="L31" s="5" t="n">
        <f aca="false">J31/7</f>
        <v>0.428571428571429</v>
      </c>
    </row>
    <row r="32" customFormat="false" ht="35.05" hidden="false" customHeight="false" outlineLevel="0" collapsed="false">
      <c r="A32" s="5" t="n">
        <f aca="false">ITEM_MASTER_CLEAN!A32</f>
        <v>31</v>
      </c>
      <c r="B32" s="5" t="n">
        <f aca="false">ITEM_MASTER_CLEAN!B32</f>
        <v>44962</v>
      </c>
      <c r="C32" s="5" t="str">
        <f aca="false">ITEM_MASTER_CLEAN!C32</f>
        <v>BISC DOUGH DBL CHOCO PAIL 5K</v>
      </c>
      <c r="D32" s="5" t="str">
        <f aca="false">ITEM_MASTER_CLEAN!D32</f>
        <v>BISCUITS &amp; PATE A BISCUITS</v>
      </c>
      <c r="E32" s="11" t="n">
        <v>6</v>
      </c>
      <c r="F32" s="11" t="n">
        <v>1</v>
      </c>
      <c r="G32" s="5" t="str">
        <f aca="false">IFERROR(VLOOKUP(D32,SETTINGS!A20:B41,2,FALSE()),"Medium")</f>
        <v>Fast</v>
      </c>
      <c r="H32" s="5" t="n">
        <f aca="false">IFERROR(VLOOKUP(G32,SETTINGS!A14:C16,3,FALSE()),5)</f>
        <v>15</v>
      </c>
      <c r="I32" s="5" t="n">
        <f aca="false">IF(E32&gt;0,E32,H32)</f>
        <v>6</v>
      </c>
      <c r="J32" s="5" t="n">
        <f aca="false">IF(F32&gt;0,F32,H32)</f>
        <v>1</v>
      </c>
      <c r="K32" s="5" t="n">
        <f aca="false">I32/7</f>
        <v>0.857142857142857</v>
      </c>
      <c r="L32" s="5" t="n">
        <f aca="false">J32/7</f>
        <v>0.142857142857143</v>
      </c>
    </row>
    <row r="33" customFormat="false" ht="35.05" hidden="false" customHeight="false" outlineLevel="0" collapsed="false">
      <c r="A33" s="5" t="n">
        <f aca="false">ITEM_MASTER_CLEAN!A33</f>
        <v>32</v>
      </c>
      <c r="B33" s="5" t="n">
        <f aca="false">ITEM_MASTER_CLEAN!B33</f>
        <v>63927</v>
      </c>
      <c r="C33" s="5" t="str">
        <f aca="false">ITEM_MASTER_CLEAN!C33</f>
        <v>Bisc PUCK Dbl Choc 160x2oz</v>
      </c>
      <c r="D33" s="5" t="str">
        <f aca="false">ITEM_MASTER_CLEAN!D33</f>
        <v>BISCUITS &amp; PATE A BISCUITS</v>
      </c>
      <c r="E33" s="11" t="n">
        <v>4</v>
      </c>
      <c r="F33" s="11" t="n">
        <v>3</v>
      </c>
      <c r="G33" s="5" t="str">
        <f aca="false">IFERROR(VLOOKUP(D33,SETTINGS!A20:B41,2,FALSE()),"Medium")</f>
        <v>Fast</v>
      </c>
      <c r="H33" s="5" t="n">
        <f aca="false">IFERROR(VLOOKUP(G33,SETTINGS!A14:C16,3,FALSE()),5)</f>
        <v>15</v>
      </c>
      <c r="I33" s="5" t="n">
        <f aca="false">IF(E33&gt;0,E33,H33)</f>
        <v>4</v>
      </c>
      <c r="J33" s="5" t="n">
        <f aca="false">IF(F33&gt;0,F33,H33)</f>
        <v>3</v>
      </c>
      <c r="K33" s="5" t="n">
        <f aca="false">I33/7</f>
        <v>0.571428571428571</v>
      </c>
      <c r="L33" s="5" t="n">
        <f aca="false">J33/7</f>
        <v>0.428571428571429</v>
      </c>
    </row>
    <row r="34" customFormat="false" ht="35.05" hidden="false" customHeight="false" outlineLevel="0" collapsed="false">
      <c r="A34" s="5" t="n">
        <f aca="false">ITEM_MASTER_CLEAN!A34</f>
        <v>33</v>
      </c>
      <c r="B34" s="5" t="n">
        <f aca="false">ITEM_MASTER_CLEAN!B34</f>
        <v>64106</v>
      </c>
      <c r="C34" s="5" t="str">
        <f aca="false">ITEM_MASTER_CLEAN!C34</f>
        <v>Bisc PUCK ChocBln/Maca 160x2oz</v>
      </c>
      <c r="D34" s="5" t="str">
        <f aca="false">ITEM_MASTER_CLEAN!D34</f>
        <v>BISCUITS &amp; PATE A BISCUITS</v>
      </c>
      <c r="E34" s="11" t="n">
        <v>2</v>
      </c>
      <c r="F34" s="11" t="n">
        <v>3</v>
      </c>
      <c r="G34" s="5" t="str">
        <f aca="false">IFERROR(VLOOKUP(D34,SETTINGS!A20:B41,2,FALSE()),"Medium")</f>
        <v>Fast</v>
      </c>
      <c r="H34" s="5" t="n">
        <f aca="false">IFERROR(VLOOKUP(G34,SETTINGS!A14:C16,3,FALSE()),5)</f>
        <v>15</v>
      </c>
      <c r="I34" s="5" t="n">
        <f aca="false">IF(E34&gt;0,E34,H34)</f>
        <v>2</v>
      </c>
      <c r="J34" s="5" t="n">
        <f aca="false">IF(F34&gt;0,F34,H34)</f>
        <v>3</v>
      </c>
      <c r="K34" s="5" t="n">
        <f aca="false">I34/7</f>
        <v>0.285714285714286</v>
      </c>
      <c r="L34" s="5" t="n">
        <f aca="false">J34/7</f>
        <v>0.428571428571429</v>
      </c>
    </row>
    <row r="35" customFormat="false" ht="35.05" hidden="false" customHeight="false" outlineLevel="0" collapsed="false">
      <c r="A35" s="5" t="n">
        <f aca="false">ITEM_MASTER_CLEAN!A35</f>
        <v>34</v>
      </c>
      <c r="B35" s="5" t="n">
        <f aca="false">ITEM_MASTER_CLEAN!B35</f>
        <v>63934</v>
      </c>
      <c r="C35" s="5" t="str">
        <f aca="false">ITEM_MASTER_CLEAN!C35</f>
        <v>Bisc PUCK ChocChunk 160x2oz</v>
      </c>
      <c r="D35" s="5" t="str">
        <f aca="false">ITEM_MASTER_CLEAN!D35</f>
        <v>BISCUITS &amp; PATE A BISCUITS</v>
      </c>
      <c r="E35" s="11" t="n">
        <v>3</v>
      </c>
      <c r="F35" s="11" t="n">
        <v>3</v>
      </c>
      <c r="G35" s="5" t="str">
        <f aca="false">IFERROR(VLOOKUP(D35,SETTINGS!A20:B41,2,FALSE()),"Medium")</f>
        <v>Fast</v>
      </c>
      <c r="H35" s="5" t="n">
        <f aca="false">IFERROR(VLOOKUP(G35,SETTINGS!A14:C16,3,FALSE()),5)</f>
        <v>15</v>
      </c>
      <c r="I35" s="5" t="n">
        <f aca="false">IF(E35&gt;0,E35,H35)</f>
        <v>3</v>
      </c>
      <c r="J35" s="5" t="n">
        <f aca="false">IF(F35&gt;0,F35,H35)</f>
        <v>3</v>
      </c>
      <c r="K35" s="5" t="n">
        <f aca="false">I35/7</f>
        <v>0.428571428571429</v>
      </c>
      <c r="L35" s="5" t="n">
        <f aca="false">J35/7</f>
        <v>0.428571428571429</v>
      </c>
    </row>
    <row r="36" customFormat="false" ht="35.05" hidden="false" customHeight="false" outlineLevel="0" collapsed="false">
      <c r="A36" s="5" t="n">
        <f aca="false">ITEM_MASTER_CLEAN!A36</f>
        <v>35</v>
      </c>
      <c r="B36" s="5" t="n">
        <f aca="false">ITEM_MASTER_CLEAN!B36</f>
        <v>12596</v>
      </c>
      <c r="C36" s="5" t="str">
        <f aca="false">ITEM_MASTER_CLEAN!C36</f>
        <v>MTY TREAT FOR DOGS 24UN</v>
      </c>
      <c r="D36" s="5" t="str">
        <f aca="false">ITEM_MASTER_CLEAN!D36</f>
        <v>BISCUITS &amp; PATE A BISCUITS</v>
      </c>
      <c r="E36" s="11" t="n">
        <v>4</v>
      </c>
      <c r="F36" s="11" t="n">
        <v>1</v>
      </c>
      <c r="G36" s="5" t="str">
        <f aca="false">IFERROR(VLOOKUP(D36,SETTINGS!A20:B41,2,FALSE()),"Medium")</f>
        <v>Fast</v>
      </c>
      <c r="H36" s="5" t="n">
        <f aca="false">IFERROR(VLOOKUP(G36,SETTINGS!A14:C16,3,FALSE()),5)</f>
        <v>15</v>
      </c>
      <c r="I36" s="5" t="n">
        <f aca="false">IF(E36&gt;0,E36,H36)</f>
        <v>4</v>
      </c>
      <c r="J36" s="5" t="n">
        <f aca="false">IF(F36&gt;0,F36,H36)</f>
        <v>1</v>
      </c>
      <c r="K36" s="5" t="n">
        <f aca="false">I36/7</f>
        <v>0.571428571428571</v>
      </c>
      <c r="L36" s="5" t="n">
        <f aca="false">J36/7</f>
        <v>0.142857142857143</v>
      </c>
    </row>
    <row r="37" customFormat="false" ht="35.05" hidden="false" customHeight="false" outlineLevel="0" collapsed="false">
      <c r="A37" s="5" t="n">
        <f aca="false">ITEM_MASTER_CLEAN!A37</f>
        <v>36</v>
      </c>
      <c r="B37" s="5" t="n">
        <f aca="false">ITEM_MASTER_CLEAN!B37</f>
        <v>48219</v>
      </c>
      <c r="C37" s="5" t="str">
        <f aca="false">ITEM_MASTER_CLEAN!C37</f>
        <v>BISC LOTUS BISCOFF 10X250G</v>
      </c>
      <c r="D37" s="5" t="str">
        <f aca="false">ITEM_MASTER_CLEAN!D37</f>
        <v>BISCUITS &amp; PATE A BISCUITS</v>
      </c>
      <c r="E37" s="11" t="n">
        <v>5</v>
      </c>
      <c r="F37" s="11" t="n">
        <v>4</v>
      </c>
      <c r="G37" s="5" t="str">
        <f aca="false">IFERROR(VLOOKUP(D37,SETTINGS!A20:B41,2,FALSE()),"Medium")</f>
        <v>Fast</v>
      </c>
      <c r="H37" s="5" t="n">
        <f aca="false">IFERROR(VLOOKUP(G37,SETTINGS!A14:C16,3,FALSE()),5)</f>
        <v>15</v>
      </c>
      <c r="I37" s="5" t="n">
        <f aca="false">IF(E37&gt;0,E37,H37)</f>
        <v>5</v>
      </c>
      <c r="J37" s="5" t="n">
        <f aca="false">IF(F37&gt;0,F37,H37)</f>
        <v>4</v>
      </c>
      <c r="K37" s="5" t="n">
        <f aca="false">I37/7</f>
        <v>0.714285714285714</v>
      </c>
      <c r="L37" s="5" t="n">
        <f aca="false">J37/7</f>
        <v>0.571428571428571</v>
      </c>
    </row>
    <row r="38" customFormat="false" ht="35.05" hidden="false" customHeight="false" outlineLevel="0" collapsed="false">
      <c r="A38" s="5" t="n">
        <f aca="false">ITEM_MASTER_CLEAN!A38</f>
        <v>37</v>
      </c>
      <c r="B38" s="5" t="n">
        <f aca="false">ITEM_MASTER_CLEAN!B38</f>
        <v>39811</v>
      </c>
      <c r="C38" s="5" t="str">
        <f aca="false">ITEM_MASTER_CLEAN!C38</f>
        <v>DONUT REGULAR 00726  140X28G</v>
      </c>
      <c r="D38" s="5" t="str">
        <f aca="false">ITEM_MASTER_CLEAN!D38</f>
        <v>BEIGNES/REMPLISSAGE/GARNITURES</v>
      </c>
      <c r="E38" s="11" t="n">
        <v>4</v>
      </c>
      <c r="F38" s="11" t="n">
        <v>1</v>
      </c>
      <c r="G38" s="5" t="str">
        <f aca="false">IFERROR(VLOOKUP(D38,SETTINGS!A20:B41,2,FALSE()),"Medium")</f>
        <v>Medium</v>
      </c>
      <c r="H38" s="5" t="n">
        <f aca="false">IFERROR(VLOOKUP(G38,SETTINGS!A14:C16,3,FALSE()),5)</f>
        <v>8</v>
      </c>
      <c r="I38" s="5" t="n">
        <f aca="false">IF(E38&gt;0,E38,H38)</f>
        <v>4</v>
      </c>
      <c r="J38" s="5" t="n">
        <f aca="false">IF(F38&gt;0,F38,H38)</f>
        <v>1</v>
      </c>
      <c r="K38" s="5" t="n">
        <f aca="false">I38/7</f>
        <v>0.571428571428571</v>
      </c>
      <c r="L38" s="5" t="n">
        <f aca="false">J38/7</f>
        <v>0.142857142857143</v>
      </c>
    </row>
    <row r="39" customFormat="false" ht="35.05" hidden="false" customHeight="false" outlineLevel="0" collapsed="false">
      <c r="A39" s="5" t="n">
        <f aca="false">ITEM_MASTER_CLEAN!A39</f>
        <v>38</v>
      </c>
      <c r="B39" s="5" t="n">
        <f aca="false">ITEM_MASTER_CLEAN!B39</f>
        <v>43328</v>
      </c>
      <c r="C39" s="5" t="str">
        <f aca="false">ITEM_MASTER_CLEAN!C39</f>
        <v>DONUT MINI VANILLA 2442 300X12G</v>
      </c>
      <c r="D39" s="5" t="str">
        <f aca="false">ITEM_MASTER_CLEAN!D39</f>
        <v>BEIGNES/REMPLISSAGE/GARNITURES</v>
      </c>
      <c r="E39" s="11" t="n">
        <v>3</v>
      </c>
      <c r="F39" s="11" t="n">
        <v>3</v>
      </c>
      <c r="G39" s="5" t="str">
        <f aca="false">IFERROR(VLOOKUP(D39,SETTINGS!A20:B41,2,FALSE()),"Medium")</f>
        <v>Medium</v>
      </c>
      <c r="H39" s="5" t="n">
        <f aca="false">IFERROR(VLOOKUP(G39,SETTINGS!A14:C16,3,FALSE()),5)</f>
        <v>8</v>
      </c>
      <c r="I39" s="5" t="n">
        <f aca="false">IF(E39&gt;0,E39,H39)</f>
        <v>3</v>
      </c>
      <c r="J39" s="5" t="n">
        <f aca="false">IF(F39&gt;0,F39,H39)</f>
        <v>3</v>
      </c>
      <c r="K39" s="5" t="n">
        <f aca="false">I39/7</f>
        <v>0.428571428571429</v>
      </c>
      <c r="L39" s="5" t="n">
        <f aca="false">J39/7</f>
        <v>0.428571428571429</v>
      </c>
    </row>
    <row r="40" customFormat="false" ht="35.05" hidden="false" customHeight="false" outlineLevel="0" collapsed="false">
      <c r="A40" s="5" t="n">
        <f aca="false">ITEM_MASTER_CLEAN!A40</f>
        <v>39</v>
      </c>
      <c r="B40" s="5" t="n">
        <f aca="false">ITEM_MASTER_CLEAN!B40</f>
        <v>50170</v>
      </c>
      <c r="C40" s="5" t="str">
        <f aca="false">ITEM_MASTER_CLEAN!C40</f>
        <v>MTY CHOC FF 3100051  5X1L</v>
      </c>
      <c r="D40" s="5" t="str">
        <f aca="false">ITEM_MASTER_CLEAN!D40</f>
        <v>BEIGNES/REMPLISSAGE/GARNITURES</v>
      </c>
      <c r="E40" s="11" t="n">
        <v>2</v>
      </c>
      <c r="F40" s="11" t="n">
        <v>2</v>
      </c>
      <c r="G40" s="5" t="str">
        <f aca="false">IFERROR(VLOOKUP(D40,SETTINGS!A20:B41,2,FALSE()),"Medium")</f>
        <v>Medium</v>
      </c>
      <c r="H40" s="5" t="n">
        <f aca="false">IFERROR(VLOOKUP(G40,SETTINGS!A14:C16,3,FALSE()),5)</f>
        <v>8</v>
      </c>
      <c r="I40" s="5" t="n">
        <f aca="false">IF(E40&gt;0,E40,H40)</f>
        <v>2</v>
      </c>
      <c r="J40" s="5" t="n">
        <f aca="false">IF(F40&gt;0,F40,H40)</f>
        <v>2</v>
      </c>
      <c r="K40" s="5" t="n">
        <f aca="false">I40/7</f>
        <v>0.285714285714286</v>
      </c>
      <c r="L40" s="5" t="n">
        <f aca="false">J40/7</f>
        <v>0.285714285714286</v>
      </c>
    </row>
    <row r="41" customFormat="false" ht="35.05" hidden="false" customHeight="false" outlineLevel="0" collapsed="false">
      <c r="A41" s="5" t="n">
        <f aca="false">ITEM_MASTER_CLEAN!A41</f>
        <v>40</v>
      </c>
      <c r="B41" s="5" t="n">
        <f aca="false">ITEM_MASTER_CLEAN!B41</f>
        <v>50010</v>
      </c>
      <c r="C41" s="5" t="str">
        <f aca="false">ITEM_MASTER_CLEAN!C41</f>
        <v>SCE CARAMEL REG MCL 5X1L</v>
      </c>
      <c r="D41" s="5" t="str">
        <f aca="false">ITEM_MASTER_CLEAN!D41</f>
        <v>BEIGNES/REMPLISSAGE/GARNITURES</v>
      </c>
      <c r="E41" s="11" t="n">
        <v>2</v>
      </c>
      <c r="F41" s="11" t="n">
        <v>2</v>
      </c>
      <c r="G41" s="5" t="str">
        <f aca="false">IFERROR(VLOOKUP(D41,SETTINGS!A20:B41,2,FALSE()),"Medium")</f>
        <v>Medium</v>
      </c>
      <c r="H41" s="5" t="n">
        <f aca="false">IFERROR(VLOOKUP(G41,SETTINGS!A14:C16,3,FALSE()),5)</f>
        <v>8</v>
      </c>
      <c r="I41" s="5" t="n">
        <f aca="false">IF(E41&gt;0,E41,H41)</f>
        <v>2</v>
      </c>
      <c r="J41" s="5" t="n">
        <f aca="false">IF(F41&gt;0,F41,H41)</f>
        <v>2</v>
      </c>
      <c r="K41" s="5" t="n">
        <f aca="false">I41/7</f>
        <v>0.285714285714286</v>
      </c>
      <c r="L41" s="5" t="n">
        <f aca="false">J41/7</f>
        <v>0.285714285714286</v>
      </c>
    </row>
    <row r="42" customFormat="false" ht="35.05" hidden="false" customHeight="false" outlineLevel="0" collapsed="false">
      <c r="A42" s="5" t="n">
        <f aca="false">ITEM_MASTER_CLEAN!A42</f>
        <v>41</v>
      </c>
      <c r="B42" s="5" t="n">
        <f aca="false">ITEM_MASTER_CLEAN!B42</f>
        <v>50166</v>
      </c>
      <c r="C42" s="5" t="str">
        <f aca="false">ITEM_MASTER_CLEAN!C42</f>
        <v>MTY fraise fr flow 10x1L</v>
      </c>
      <c r="D42" s="5" t="str">
        <f aca="false">ITEM_MASTER_CLEAN!D42</f>
        <v>BEIGNES/REMPLISSAGE/GARNITURES</v>
      </c>
      <c r="E42" s="11" t="n">
        <v>3</v>
      </c>
      <c r="F42" s="11" t="n">
        <v>2</v>
      </c>
      <c r="G42" s="5" t="str">
        <f aca="false">IFERROR(VLOOKUP(D42,SETTINGS!A20:B41,2,FALSE()),"Medium")</f>
        <v>Medium</v>
      </c>
      <c r="H42" s="5" t="n">
        <f aca="false">IFERROR(VLOOKUP(G42,SETTINGS!A14:C16,3,FALSE()),5)</f>
        <v>8</v>
      </c>
      <c r="I42" s="5" t="n">
        <f aca="false">IF(E42&gt;0,E42,H42)</f>
        <v>3</v>
      </c>
      <c r="J42" s="5" t="n">
        <f aca="false">IF(F42&gt;0,F42,H42)</f>
        <v>2</v>
      </c>
      <c r="K42" s="5" t="n">
        <f aca="false">I42/7</f>
        <v>0.428571428571429</v>
      </c>
      <c r="L42" s="5" t="n">
        <f aca="false">J42/7</f>
        <v>0.285714285714286</v>
      </c>
    </row>
    <row r="43" customFormat="false" ht="35.05" hidden="false" customHeight="false" outlineLevel="0" collapsed="false">
      <c r="A43" s="5" t="n">
        <f aca="false">ITEM_MASTER_CLEAN!A43</f>
        <v>42</v>
      </c>
      <c r="B43" s="5" t="n">
        <f aca="false">ITEM_MASTER_CLEAN!B43</f>
        <v>19850</v>
      </c>
      <c r="C43" s="5" t="str">
        <f aca="false">ITEM_MASTER_CLEAN!C43</f>
        <v>SPICE CINNAMON GRND 400G</v>
      </c>
      <c r="D43" s="5" t="str">
        <f aca="false">ITEM_MASTER_CLEAN!D43</f>
        <v>BEIGNES/REMPLISSAGE/GARNITURES</v>
      </c>
      <c r="E43" s="11" t="n">
        <v>3</v>
      </c>
      <c r="F43" s="11" t="n">
        <v>2</v>
      </c>
      <c r="G43" s="5" t="str">
        <f aca="false">IFERROR(VLOOKUP(D43,SETTINGS!A20:B41,2,FALSE()),"Medium")</f>
        <v>Medium</v>
      </c>
      <c r="H43" s="5" t="n">
        <f aca="false">IFERROR(VLOOKUP(G43,SETTINGS!A14:C16,3,FALSE()),5)</f>
        <v>8</v>
      </c>
      <c r="I43" s="5" t="n">
        <f aca="false">IF(E43&gt;0,E43,H43)</f>
        <v>3</v>
      </c>
      <c r="J43" s="5" t="n">
        <f aca="false">IF(F43&gt;0,F43,H43)</f>
        <v>2</v>
      </c>
      <c r="K43" s="5" t="n">
        <f aca="false">I43/7</f>
        <v>0.428571428571429</v>
      </c>
      <c r="L43" s="5" t="n">
        <f aca="false">J43/7</f>
        <v>0.285714285714286</v>
      </c>
    </row>
    <row r="44" customFormat="false" ht="35.05" hidden="false" customHeight="false" outlineLevel="0" collapsed="false">
      <c r="A44" s="5" t="n">
        <f aca="false">ITEM_MASTER_CLEAN!A44</f>
        <v>43</v>
      </c>
      <c r="B44" s="5" t="n">
        <f aca="false">ITEM_MASTER_CLEAN!B44</f>
        <v>68587</v>
      </c>
      <c r="C44" s="5" t="str">
        <f aca="false">ITEM_MASTER_CLEAN!C44</f>
        <v>SUGAR SPECIAL FINE K 1X2K</v>
      </c>
      <c r="D44" s="5" t="str">
        <f aca="false">ITEM_MASTER_CLEAN!D44</f>
        <v>BEIGNES/REMPLISSAGE/GARNITURES</v>
      </c>
      <c r="E44" s="11" t="n">
        <v>2</v>
      </c>
      <c r="F44" s="11" t="n">
        <v>3</v>
      </c>
      <c r="G44" s="5" t="str">
        <f aca="false">IFERROR(VLOOKUP(D44,SETTINGS!A20:B41,2,FALSE()),"Medium")</f>
        <v>Medium</v>
      </c>
      <c r="H44" s="5" t="n">
        <f aca="false">IFERROR(VLOOKUP(G44,SETTINGS!A14:C16,3,FALSE()),5)</f>
        <v>8</v>
      </c>
      <c r="I44" s="5" t="n">
        <f aca="false">IF(E44&gt;0,E44,H44)</f>
        <v>2</v>
      </c>
      <c r="J44" s="5" t="n">
        <f aca="false">IF(F44&gt;0,F44,H44)</f>
        <v>3</v>
      </c>
      <c r="K44" s="5" t="n">
        <f aca="false">I44/7</f>
        <v>0.285714285714286</v>
      </c>
      <c r="L44" s="5" t="n">
        <f aca="false">J44/7</f>
        <v>0.428571428571429</v>
      </c>
    </row>
    <row r="45" customFormat="false" ht="35.05" hidden="false" customHeight="false" outlineLevel="0" collapsed="false">
      <c r="A45" s="5" t="n">
        <f aca="false">ITEM_MASTER_CLEAN!A45</f>
        <v>44</v>
      </c>
      <c r="B45" s="5" t="n">
        <f aca="false">ITEM_MASTER_CLEAN!B45</f>
        <v>65315</v>
      </c>
      <c r="C45" s="5" t="str">
        <f aca="false">ITEM_MASTER_CLEAN!C45</f>
        <v>SUGAR ICING K 1X1K</v>
      </c>
      <c r="D45" s="5" t="str">
        <f aca="false">ITEM_MASTER_CLEAN!D45</f>
        <v>BEIGNES/REMPLISSAGE/GARNITURES</v>
      </c>
      <c r="E45" s="11" t="n">
        <v>1</v>
      </c>
      <c r="F45" s="11" t="n">
        <v>2</v>
      </c>
      <c r="G45" s="5" t="str">
        <f aca="false">IFERROR(VLOOKUP(D45,SETTINGS!A20:B41,2,FALSE()),"Medium")</f>
        <v>Medium</v>
      </c>
      <c r="H45" s="5" t="n">
        <f aca="false">IFERROR(VLOOKUP(G45,SETTINGS!A14:C16,3,FALSE()),5)</f>
        <v>8</v>
      </c>
      <c r="I45" s="5" t="n">
        <f aca="false">IF(E45&gt;0,E45,H45)</f>
        <v>1</v>
      </c>
      <c r="J45" s="5" t="n">
        <f aca="false">IF(F45&gt;0,F45,H45)</f>
        <v>2</v>
      </c>
      <c r="K45" s="5" t="n">
        <f aca="false">I45/7</f>
        <v>0.142857142857143</v>
      </c>
      <c r="L45" s="5" t="n">
        <f aca="false">J45/7</f>
        <v>0.285714285714286</v>
      </c>
    </row>
    <row r="46" customFormat="false" ht="15" hidden="false" customHeight="false" outlineLevel="0" collapsed="false">
      <c r="A46" s="5" t="n">
        <f aca="false">ITEM_MASTER_CLEAN!A46</f>
        <v>45</v>
      </c>
      <c r="B46" s="5" t="n">
        <f aca="false">ITEM_MASTER_CLEAN!B46</f>
        <v>47526</v>
      </c>
      <c r="C46" s="5" t="str">
        <f aca="false">ITEM_MASTER_CLEAN!C46</f>
        <v>CREPE DUTCH 105498 100X63G</v>
      </c>
      <c r="D46" s="5" t="str">
        <f aca="false">ITEM_MASTER_CLEAN!D46</f>
        <v>DESSERTS</v>
      </c>
      <c r="E46" s="11" t="n">
        <v>2</v>
      </c>
      <c r="F46" s="11" t="n">
        <v>2</v>
      </c>
      <c r="G46" s="5" t="str">
        <f aca="false">IFERROR(VLOOKUP(D46,SETTINGS!A20:B41,2,FALSE()),"Medium")</f>
        <v>Medium</v>
      </c>
      <c r="H46" s="5" t="n">
        <f aca="false">IFERROR(VLOOKUP(G46,SETTINGS!A14:C16,3,FALSE()),5)</f>
        <v>8</v>
      </c>
      <c r="I46" s="5" t="n">
        <f aca="false">IF(E46&gt;0,E46,H46)</f>
        <v>2</v>
      </c>
      <c r="J46" s="5" t="n">
        <f aca="false">IF(F46&gt;0,F46,H46)</f>
        <v>2</v>
      </c>
      <c r="K46" s="5" t="n">
        <f aca="false">I46/7</f>
        <v>0.285714285714286</v>
      </c>
      <c r="L46" s="5" t="n">
        <f aca="false">J46/7</f>
        <v>0.285714285714286</v>
      </c>
    </row>
    <row r="47" customFormat="false" ht="15" hidden="false" customHeight="false" outlineLevel="0" collapsed="false">
      <c r="A47" s="5" t="n">
        <f aca="false">ITEM_MASTER_CLEAN!A47</f>
        <v>46</v>
      </c>
      <c r="B47" s="5" t="n">
        <f aca="false">ITEM_MASTER_CLEAN!B47</f>
        <v>49632</v>
      </c>
      <c r="C47" s="5" t="str">
        <f aca="false">ITEM_MASTER_CLEAN!C47</f>
        <v>WAFFLE BELGIAN VAN IND.WRAP 80X70G</v>
      </c>
      <c r="D47" s="5" t="str">
        <f aca="false">ITEM_MASTER_CLEAN!D47</f>
        <v>DESSERTS</v>
      </c>
      <c r="E47" s="11" t="n">
        <v>3</v>
      </c>
      <c r="F47" s="11" t="n">
        <v>3</v>
      </c>
      <c r="G47" s="5" t="str">
        <f aca="false">IFERROR(VLOOKUP(D47,SETTINGS!A20:B41,2,FALSE()),"Medium")</f>
        <v>Medium</v>
      </c>
      <c r="H47" s="5" t="n">
        <f aca="false">IFERROR(VLOOKUP(G47,SETTINGS!A14:C16,3,FALSE()),5)</f>
        <v>8</v>
      </c>
      <c r="I47" s="5" t="n">
        <f aca="false">IF(E47&gt;0,E47,H47)</f>
        <v>3</v>
      </c>
      <c r="J47" s="5" t="n">
        <f aca="false">IF(F47&gt;0,F47,H47)</f>
        <v>3</v>
      </c>
      <c r="K47" s="5" t="n">
        <f aca="false">I47/7</f>
        <v>0.428571428571429</v>
      </c>
      <c r="L47" s="5" t="n">
        <f aca="false">J47/7</f>
        <v>0.428571428571429</v>
      </c>
    </row>
    <row r="48" customFormat="false" ht="15" hidden="false" customHeight="false" outlineLevel="0" collapsed="false">
      <c r="A48" s="5" t="n">
        <f aca="false">ITEM_MASTER_CLEAN!A48</f>
        <v>47</v>
      </c>
      <c r="B48" s="5" t="n">
        <f aca="false">ITEM_MASTER_CLEAN!B48</f>
        <v>44967</v>
      </c>
      <c r="C48" s="5" t="str">
        <f aca="false">ITEM_MASTER_CLEAN!C48</f>
        <v>CHOC FONDANT BKD V-FX956 32X105G</v>
      </c>
      <c r="D48" s="5" t="str">
        <f aca="false">ITEM_MASTER_CLEAN!D48</f>
        <v>DESSERTS</v>
      </c>
      <c r="E48" s="11" t="n">
        <v>2</v>
      </c>
      <c r="F48" s="11" t="n">
        <v>3</v>
      </c>
      <c r="G48" s="5" t="str">
        <f aca="false">IFERROR(VLOOKUP(D48,SETTINGS!A20:B41,2,FALSE()),"Medium")</f>
        <v>Medium</v>
      </c>
      <c r="H48" s="5" t="n">
        <f aca="false">IFERROR(VLOOKUP(G48,SETTINGS!A14:C16,3,FALSE()),5)</f>
        <v>8</v>
      </c>
      <c r="I48" s="5" t="n">
        <f aca="false">IF(E48&gt;0,E48,H48)</f>
        <v>2</v>
      </c>
      <c r="J48" s="5" t="n">
        <f aca="false">IF(F48&gt;0,F48,H48)</f>
        <v>3</v>
      </c>
      <c r="K48" s="5" t="n">
        <f aca="false">I48/7</f>
        <v>0.285714285714286</v>
      </c>
      <c r="L48" s="5" t="n">
        <f aca="false">J48/7</f>
        <v>0.428571428571429</v>
      </c>
    </row>
    <row r="49" customFormat="false" ht="15" hidden="false" customHeight="false" outlineLevel="0" collapsed="false">
      <c r="A49" s="5" t="n">
        <f aca="false">ITEM_MASTER_CLEAN!A49</f>
        <v>48</v>
      </c>
      <c r="B49" s="5" t="n">
        <f aca="false">ITEM_MASTER_CLEAN!B49</f>
        <v>33785</v>
      </c>
      <c r="C49" s="5" t="str">
        <f aca="false">ITEM_MASTER_CLEAN!C49</f>
        <v>LADIP CAKE MARSHMELLOW C.DOUGH X2</v>
      </c>
      <c r="D49" s="5" t="str">
        <f aca="false">ITEM_MASTER_CLEAN!D49</f>
        <v>DESSERTS</v>
      </c>
      <c r="E49" s="11" t="n">
        <v>3</v>
      </c>
      <c r="F49" s="11" t="n">
        <v>2</v>
      </c>
      <c r="G49" s="5" t="str">
        <f aca="false">IFERROR(VLOOKUP(D49,SETTINGS!A20:B41,2,FALSE()),"Medium")</f>
        <v>Medium</v>
      </c>
      <c r="H49" s="5" t="n">
        <f aca="false">IFERROR(VLOOKUP(G49,SETTINGS!A14:C16,3,FALSE()),5)</f>
        <v>8</v>
      </c>
      <c r="I49" s="5" t="n">
        <f aca="false">IF(E49&gt;0,E49,H49)</f>
        <v>3</v>
      </c>
      <c r="J49" s="5" t="n">
        <f aca="false">IF(F49&gt;0,F49,H49)</f>
        <v>2</v>
      </c>
      <c r="K49" s="5" t="n">
        <f aca="false">I49/7</f>
        <v>0.428571428571429</v>
      </c>
      <c r="L49" s="5" t="n">
        <f aca="false">J49/7</f>
        <v>0.285714285714286</v>
      </c>
    </row>
    <row r="50" customFormat="false" ht="15" hidden="false" customHeight="false" outlineLevel="0" collapsed="false">
      <c r="A50" s="5" t="n">
        <f aca="false">ITEM_MASTER_CLEAN!A50</f>
        <v>49</v>
      </c>
      <c r="B50" s="5" t="n">
        <f aca="false">ITEM_MASTER_CLEAN!B50</f>
        <v>33784</v>
      </c>
      <c r="C50" s="5" t="str">
        <f aca="false">ITEM_MASTER_CLEAN!C50</f>
        <v>LADIP CAKE CARNIVAL 10" X2</v>
      </c>
      <c r="D50" s="5" t="str">
        <f aca="false">ITEM_MASTER_CLEAN!D50</f>
        <v>DESSERTS</v>
      </c>
      <c r="E50" s="11" t="n">
        <v>1</v>
      </c>
      <c r="F50" s="11" t="n">
        <v>2</v>
      </c>
      <c r="G50" s="5" t="str">
        <f aca="false">IFERROR(VLOOKUP(D50,SETTINGS!A20:B41,2,FALSE()),"Medium")</f>
        <v>Medium</v>
      </c>
      <c r="H50" s="5" t="n">
        <f aca="false">IFERROR(VLOOKUP(G50,SETTINGS!A14:C16,3,FALSE()),5)</f>
        <v>8</v>
      </c>
      <c r="I50" s="5" t="n">
        <f aca="false">IF(E50&gt;0,E50,H50)</f>
        <v>1</v>
      </c>
      <c r="J50" s="5" t="n">
        <f aca="false">IF(F50&gt;0,F50,H50)</f>
        <v>2</v>
      </c>
      <c r="K50" s="5" t="n">
        <f aca="false">I50/7</f>
        <v>0.142857142857143</v>
      </c>
      <c r="L50" s="5" t="n">
        <f aca="false">J50/7</f>
        <v>0.285714285714286</v>
      </c>
    </row>
    <row r="51" customFormat="false" ht="15" hidden="false" customHeight="false" outlineLevel="0" collapsed="false">
      <c r="A51" s="5" t="n">
        <f aca="false">ITEM_MASTER_CLEAN!A51</f>
        <v>50</v>
      </c>
      <c r="B51" s="5" t="n">
        <f aca="false">ITEM_MASTER_CLEAN!B51</f>
        <v>33780</v>
      </c>
      <c r="C51" s="5" t="str">
        <f aca="false">ITEM_MASTER_CLEAN!C51</f>
        <v>LADIP CAKE RAINBOW X2</v>
      </c>
      <c r="D51" s="5" t="str">
        <f aca="false">ITEM_MASTER_CLEAN!D51</f>
        <v>DESSERTS</v>
      </c>
      <c r="E51" s="11" t="n">
        <v>2</v>
      </c>
      <c r="F51" s="11" t="n">
        <v>1</v>
      </c>
      <c r="G51" s="5" t="str">
        <f aca="false">IFERROR(VLOOKUP(D51,SETTINGS!A20:B41,2,FALSE()),"Medium")</f>
        <v>Medium</v>
      </c>
      <c r="H51" s="5" t="n">
        <f aca="false">IFERROR(VLOOKUP(G51,SETTINGS!A14:C16,3,FALSE()),5)</f>
        <v>8</v>
      </c>
      <c r="I51" s="5" t="n">
        <f aca="false">IF(E51&gt;0,E51,H51)</f>
        <v>2</v>
      </c>
      <c r="J51" s="5" t="n">
        <f aca="false">IF(F51&gt;0,F51,H51)</f>
        <v>1</v>
      </c>
      <c r="K51" s="5" t="n">
        <f aca="false">I51/7</f>
        <v>0.285714285714286</v>
      </c>
      <c r="L51" s="5" t="n">
        <f aca="false">J51/7</f>
        <v>0.142857142857143</v>
      </c>
    </row>
    <row r="52" customFormat="false" ht="15" hidden="false" customHeight="false" outlineLevel="0" collapsed="false">
      <c r="A52" s="5" t="n">
        <f aca="false">ITEM_MASTER_CLEAN!A52</f>
        <v>51</v>
      </c>
      <c r="B52" s="5" t="n">
        <f aca="false">ITEM_MASTER_CLEAN!B52</f>
        <v>28983</v>
      </c>
      <c r="C52" s="5" t="str">
        <f aca="false">ITEM_MASTER_CLEAN!C52</f>
        <v>BROWNIE PLAIN 10" 14PC X2</v>
      </c>
      <c r="D52" s="5" t="str">
        <f aca="false">ITEM_MASTER_CLEAN!D52</f>
        <v>DESSERTS</v>
      </c>
      <c r="E52" s="11" t="n">
        <v>2</v>
      </c>
      <c r="F52" s="11" t="n">
        <v>3</v>
      </c>
      <c r="G52" s="5" t="str">
        <f aca="false">IFERROR(VLOOKUP(D52,SETTINGS!A20:B41,2,FALSE()),"Medium")</f>
        <v>Medium</v>
      </c>
      <c r="H52" s="5" t="n">
        <f aca="false">IFERROR(VLOOKUP(G52,SETTINGS!A14:C16,3,FALSE()),5)</f>
        <v>8</v>
      </c>
      <c r="I52" s="5" t="n">
        <f aca="false">IF(E52&gt;0,E52,H52)</f>
        <v>2</v>
      </c>
      <c r="J52" s="5" t="n">
        <f aca="false">IF(F52&gt;0,F52,H52)</f>
        <v>3</v>
      </c>
      <c r="K52" s="5" t="n">
        <f aca="false">I52/7</f>
        <v>0.285714285714286</v>
      </c>
      <c r="L52" s="5" t="n">
        <f aca="false">J52/7</f>
        <v>0.428571428571429</v>
      </c>
    </row>
    <row r="53" customFormat="false" ht="15" hidden="false" customHeight="false" outlineLevel="0" collapsed="false">
      <c r="A53" s="5" t="n">
        <f aca="false">ITEM_MASTER_CLEAN!A53</f>
        <v>52</v>
      </c>
      <c r="B53" s="5" t="n">
        <f aca="false">ITEM_MASTER_CLEAN!B53</f>
        <v>28988</v>
      </c>
      <c r="C53" s="5" t="str">
        <f aca="false">ITEM_MASTER_CLEAN!C53</f>
        <v>CAKE CARROT BEAUX 10" 14PC</v>
      </c>
      <c r="D53" s="5" t="str">
        <f aca="false">ITEM_MASTER_CLEAN!D53</f>
        <v>DESSERTS</v>
      </c>
      <c r="E53" s="11" t="n">
        <v>4</v>
      </c>
      <c r="F53" s="11" t="n">
        <v>1</v>
      </c>
      <c r="G53" s="5" t="str">
        <f aca="false">IFERROR(VLOOKUP(D53,SETTINGS!A20:B41,2,FALSE()),"Medium")</f>
        <v>Medium</v>
      </c>
      <c r="H53" s="5" t="n">
        <f aca="false">IFERROR(VLOOKUP(G53,SETTINGS!A14:C16,3,FALSE()),5)</f>
        <v>8</v>
      </c>
      <c r="I53" s="5" t="n">
        <f aca="false">IF(E53&gt;0,E53,H53)</f>
        <v>4</v>
      </c>
      <c r="J53" s="5" t="n">
        <f aca="false">IF(F53&gt;0,F53,H53)</f>
        <v>1</v>
      </c>
      <c r="K53" s="5" t="n">
        <f aca="false">I53/7</f>
        <v>0.571428571428571</v>
      </c>
      <c r="L53" s="5" t="n">
        <f aca="false">J53/7</f>
        <v>0.142857142857143</v>
      </c>
    </row>
    <row r="54" customFormat="false" ht="15" hidden="false" customHeight="false" outlineLevel="0" collapsed="false">
      <c r="A54" s="5" t="n">
        <f aca="false">ITEM_MASTER_CLEAN!A54</f>
        <v>53</v>
      </c>
      <c r="B54" s="5" t="n">
        <f aca="false">ITEM_MASTER_CLEAN!B54</f>
        <v>28989</v>
      </c>
      <c r="C54" s="5" t="str">
        <f aca="false">ITEM_MASTER_CLEAN!C54</f>
        <v>CAKE REODELIGHT 10" 16PC</v>
      </c>
      <c r="D54" s="5" t="str">
        <f aca="false">ITEM_MASTER_CLEAN!D54</f>
        <v>DESSERTS</v>
      </c>
      <c r="E54" s="11" t="n">
        <v>4</v>
      </c>
      <c r="F54" s="11" t="n">
        <v>3</v>
      </c>
      <c r="G54" s="5" t="str">
        <f aca="false">IFERROR(VLOOKUP(D54,SETTINGS!A20:B41,2,FALSE()),"Medium")</f>
        <v>Medium</v>
      </c>
      <c r="H54" s="5" t="n">
        <f aca="false">IFERROR(VLOOKUP(G54,SETTINGS!A14:C16,3,FALSE()),5)</f>
        <v>8</v>
      </c>
      <c r="I54" s="5" t="n">
        <f aca="false">IF(E54&gt;0,E54,H54)</f>
        <v>4</v>
      </c>
      <c r="J54" s="5" t="n">
        <f aca="false">IF(F54&gt;0,F54,H54)</f>
        <v>3</v>
      </c>
      <c r="K54" s="5" t="n">
        <f aca="false">I54/7</f>
        <v>0.571428571428571</v>
      </c>
      <c r="L54" s="5" t="n">
        <f aca="false">J54/7</f>
        <v>0.428571428571429</v>
      </c>
    </row>
    <row r="55" customFormat="false" ht="15" hidden="false" customHeight="false" outlineLevel="0" collapsed="false">
      <c r="A55" s="5" t="n">
        <f aca="false">ITEM_MASTER_CLEAN!A55</f>
        <v>54</v>
      </c>
      <c r="B55" s="5" t="n">
        <f aca="false">ITEM_MASTER_CLEAN!B55</f>
        <v>28990</v>
      </c>
      <c r="C55" s="5" t="str">
        <f aca="false">ITEM_MASTER_CLEAN!C55</f>
        <v>CAKE TIRAMISU 9" 12PC</v>
      </c>
      <c r="D55" s="5" t="str">
        <f aca="false">ITEM_MASTER_CLEAN!D55</f>
        <v>DESSERTS</v>
      </c>
      <c r="E55" s="11" t="n">
        <v>4</v>
      </c>
      <c r="F55" s="11" t="n">
        <v>3</v>
      </c>
      <c r="G55" s="5" t="str">
        <f aca="false">IFERROR(VLOOKUP(D55,SETTINGS!A20:B41,2,FALSE()),"Medium")</f>
        <v>Medium</v>
      </c>
      <c r="H55" s="5" t="n">
        <f aca="false">IFERROR(VLOOKUP(G55,SETTINGS!A14:C16,3,FALSE()),5)</f>
        <v>8</v>
      </c>
      <c r="I55" s="5" t="n">
        <f aca="false">IF(E55&gt;0,E55,H55)</f>
        <v>4</v>
      </c>
      <c r="J55" s="5" t="n">
        <f aca="false">IF(F55&gt;0,F55,H55)</f>
        <v>3</v>
      </c>
      <c r="K55" s="5" t="n">
        <f aca="false">I55/7</f>
        <v>0.571428571428571</v>
      </c>
      <c r="L55" s="5" t="n">
        <f aca="false">J55/7</f>
        <v>0.428571428571429</v>
      </c>
    </row>
    <row r="56" customFormat="false" ht="15" hidden="false" customHeight="false" outlineLevel="0" collapsed="false">
      <c r="A56" s="5" t="n">
        <f aca="false">ITEM_MASTER_CLEAN!A56</f>
        <v>55</v>
      </c>
      <c r="B56" s="5" t="n">
        <f aca="false">ITEM_MASTER_CLEAN!B56</f>
        <v>28992</v>
      </c>
      <c r="C56" s="5" t="str">
        <f aca="false">ITEM_MASTER_CLEAN!C56</f>
        <v>CAKE RED VELVET 10" 14PC  X1</v>
      </c>
      <c r="D56" s="5" t="str">
        <f aca="false">ITEM_MASTER_CLEAN!D56</f>
        <v>DESSERTS</v>
      </c>
      <c r="E56" s="11" t="n">
        <v>3</v>
      </c>
      <c r="F56" s="11" t="n">
        <v>3</v>
      </c>
      <c r="G56" s="5" t="str">
        <f aca="false">IFERROR(VLOOKUP(D56,SETTINGS!A20:B41,2,FALSE()),"Medium")</f>
        <v>Medium</v>
      </c>
      <c r="H56" s="5" t="n">
        <f aca="false">IFERROR(VLOOKUP(G56,SETTINGS!A14:C16,3,FALSE()),5)</f>
        <v>8</v>
      </c>
      <c r="I56" s="5" t="n">
        <f aca="false">IF(E56&gt;0,E56,H56)</f>
        <v>3</v>
      </c>
      <c r="J56" s="5" t="n">
        <f aca="false">IF(F56&gt;0,F56,H56)</f>
        <v>3</v>
      </c>
      <c r="K56" s="5" t="n">
        <f aca="false">I56/7</f>
        <v>0.428571428571429</v>
      </c>
      <c r="L56" s="5" t="n">
        <f aca="false">J56/7</f>
        <v>0.428571428571429</v>
      </c>
    </row>
    <row r="57" customFormat="false" ht="15" hidden="false" customHeight="false" outlineLevel="0" collapsed="false">
      <c r="A57" s="5" t="n">
        <f aca="false">ITEM_MASTER_CLEAN!A57</f>
        <v>56</v>
      </c>
      <c r="B57" s="5" t="n">
        <f aca="false">ITEM_MASTER_CLEAN!B57</f>
        <v>27030</v>
      </c>
      <c r="C57" s="5" t="str">
        <f aca="false">ITEM_MASTER_CLEAN!C57</f>
        <v>*NOUVEAU - gât choc décadent 6" 6un</v>
      </c>
      <c r="D57" s="5" t="str">
        <f aca="false">ITEM_MASTER_CLEAN!D57</f>
        <v>DESSERTS</v>
      </c>
      <c r="E57" s="11" t="n">
        <v>1</v>
      </c>
      <c r="F57" s="11" t="n">
        <v>1</v>
      </c>
      <c r="G57" s="5" t="str">
        <f aca="false">IFERROR(VLOOKUP(D57,SETTINGS!A20:B41,2,FALSE()),"Medium")</f>
        <v>Medium</v>
      </c>
      <c r="H57" s="5" t="n">
        <f aca="false">IFERROR(VLOOKUP(G57,SETTINGS!A14:C16,3,FALSE()),5)</f>
        <v>8</v>
      </c>
      <c r="I57" s="5" t="n">
        <f aca="false">IF(E57&gt;0,E57,H57)</f>
        <v>1</v>
      </c>
      <c r="J57" s="5" t="n">
        <f aca="false">IF(F57&gt;0,F57,H57)</f>
        <v>1</v>
      </c>
      <c r="K57" s="5" t="n">
        <f aca="false">I57/7</f>
        <v>0.142857142857143</v>
      </c>
      <c r="L57" s="5" t="n">
        <f aca="false">J57/7</f>
        <v>0.142857142857143</v>
      </c>
    </row>
    <row r="58" customFormat="false" ht="15" hidden="false" customHeight="false" outlineLevel="0" collapsed="false">
      <c r="A58" s="5" t="n">
        <f aca="false">ITEM_MASTER_CLEAN!A58</f>
        <v>57</v>
      </c>
      <c r="B58" s="5" t="n">
        <f aca="false">ITEM_MASTER_CLEAN!B58</f>
        <v>27031</v>
      </c>
      <c r="C58" s="5" t="str">
        <f aca="false">ITEM_MASTER_CLEAN!C58</f>
        <v>*NOUVEAU - gât choc-noiset. 6" 6un</v>
      </c>
      <c r="D58" s="5" t="str">
        <f aca="false">ITEM_MASTER_CLEAN!D58</f>
        <v>DESSERTS</v>
      </c>
      <c r="E58" s="11" t="n">
        <v>4</v>
      </c>
      <c r="F58" s="11" t="n">
        <v>2</v>
      </c>
      <c r="G58" s="5" t="str">
        <f aca="false">IFERROR(VLOOKUP(D58,SETTINGS!A20:B41,2,FALSE()),"Medium")</f>
        <v>Medium</v>
      </c>
      <c r="H58" s="5" t="n">
        <f aca="false">IFERROR(VLOOKUP(G58,SETTINGS!A14:C16,3,FALSE()),5)</f>
        <v>8</v>
      </c>
      <c r="I58" s="5" t="n">
        <f aca="false">IF(E58&gt;0,E58,H58)</f>
        <v>4</v>
      </c>
      <c r="J58" s="5" t="n">
        <f aca="false">IF(F58&gt;0,F58,H58)</f>
        <v>2</v>
      </c>
      <c r="K58" s="5" t="n">
        <f aca="false">I58/7</f>
        <v>0.571428571428571</v>
      </c>
      <c r="L58" s="5" t="n">
        <f aca="false">J58/7</f>
        <v>0.285714285714286</v>
      </c>
    </row>
    <row r="59" customFormat="false" ht="15" hidden="false" customHeight="false" outlineLevel="0" collapsed="false">
      <c r="A59" s="5" t="n">
        <f aca="false">ITEM_MASTER_CLEAN!A59</f>
        <v>58</v>
      </c>
      <c r="B59" s="5" t="n">
        <f aca="false">ITEM_MASTER_CLEAN!B59</f>
        <v>27032</v>
      </c>
      <c r="C59" s="5" t="str">
        <f aca="false">ITEM_MASTER_CLEAN!C59</f>
        <v>*NOUVEAU - gât Mangue Msse 6" 6un</v>
      </c>
      <c r="D59" s="5" t="str">
        <f aca="false">ITEM_MASTER_CLEAN!D59</f>
        <v>DESSERTS</v>
      </c>
      <c r="E59" s="11" t="n">
        <v>4</v>
      </c>
      <c r="F59" s="11" t="n">
        <v>2</v>
      </c>
      <c r="G59" s="5" t="str">
        <f aca="false">IFERROR(VLOOKUP(D59,SETTINGS!A20:B41,2,FALSE()),"Medium")</f>
        <v>Medium</v>
      </c>
      <c r="H59" s="5" t="n">
        <f aca="false">IFERROR(VLOOKUP(G59,SETTINGS!A14:C16,3,FALSE()),5)</f>
        <v>8</v>
      </c>
      <c r="I59" s="5" t="n">
        <f aca="false">IF(E59&gt;0,E59,H59)</f>
        <v>4</v>
      </c>
      <c r="J59" s="5" t="n">
        <f aca="false">IF(F59&gt;0,F59,H59)</f>
        <v>2</v>
      </c>
      <c r="K59" s="5" t="n">
        <f aca="false">I59/7</f>
        <v>0.571428571428571</v>
      </c>
      <c r="L59" s="5" t="n">
        <f aca="false">J59/7</f>
        <v>0.285714285714286</v>
      </c>
    </row>
    <row r="60" customFormat="false" ht="15" hidden="false" customHeight="false" outlineLevel="0" collapsed="false">
      <c r="A60" s="5" t="n">
        <f aca="false">ITEM_MASTER_CLEAN!A60</f>
        <v>59</v>
      </c>
      <c r="B60" s="5" t="n">
        <f aca="false">ITEM_MASTER_CLEAN!B60</f>
        <v>27033</v>
      </c>
      <c r="C60" s="5" t="str">
        <f aca="false">ITEM_MASTER_CLEAN!C60</f>
        <v>LADIP CAKE RED BERRY MOUSSE 6" 6UN</v>
      </c>
      <c r="D60" s="5" t="str">
        <f aca="false">ITEM_MASTER_CLEAN!D60</f>
        <v>DESSERTS</v>
      </c>
      <c r="E60" s="11" t="n">
        <v>2</v>
      </c>
      <c r="F60" s="11" t="n">
        <v>2</v>
      </c>
      <c r="G60" s="5" t="str">
        <f aca="false">IFERROR(VLOOKUP(D60,SETTINGS!A20:B41,2,FALSE()),"Medium")</f>
        <v>Medium</v>
      </c>
      <c r="H60" s="5" t="n">
        <f aca="false">IFERROR(VLOOKUP(G60,SETTINGS!A14:C16,3,FALSE()),5)</f>
        <v>8</v>
      </c>
      <c r="I60" s="5" t="n">
        <f aca="false">IF(E60&gt;0,E60,H60)</f>
        <v>2</v>
      </c>
      <c r="J60" s="5" t="n">
        <f aca="false">IF(F60&gt;0,F60,H60)</f>
        <v>2</v>
      </c>
      <c r="K60" s="5" t="n">
        <f aca="false">I60/7</f>
        <v>0.285714285714286</v>
      </c>
      <c r="L60" s="5" t="n">
        <f aca="false">J60/7</f>
        <v>0.285714285714286</v>
      </c>
    </row>
    <row r="61" customFormat="false" ht="15" hidden="false" customHeight="false" outlineLevel="0" collapsed="false">
      <c r="A61" s="5" t="n">
        <f aca="false">ITEM_MASTER_CLEAN!A61</f>
        <v>60</v>
      </c>
      <c r="B61" s="5" t="n">
        <f aca="false">ITEM_MASTER_CLEAN!B61</f>
        <v>27034</v>
      </c>
      <c r="C61" s="5" t="str">
        <f aca="false">ITEM_MASTER_CLEAN!C61</f>
        <v>*NOUVEAU -gât d'anniversaire 6"6un</v>
      </c>
      <c r="D61" s="5" t="str">
        <f aca="false">ITEM_MASTER_CLEAN!D61</f>
        <v>DESSERTS</v>
      </c>
      <c r="E61" s="11" t="n">
        <v>2</v>
      </c>
      <c r="F61" s="11" t="n">
        <v>2</v>
      </c>
      <c r="G61" s="5" t="str">
        <f aca="false">IFERROR(VLOOKUP(D61,SETTINGS!A20:B41,2,FALSE()),"Medium")</f>
        <v>Medium</v>
      </c>
      <c r="H61" s="5" t="n">
        <f aca="false">IFERROR(VLOOKUP(G61,SETTINGS!A14:C16,3,FALSE()),5)</f>
        <v>8</v>
      </c>
      <c r="I61" s="5" t="n">
        <f aca="false">IF(E61&gt;0,E61,H61)</f>
        <v>2</v>
      </c>
      <c r="J61" s="5" t="n">
        <f aca="false">IF(F61&gt;0,F61,H61)</f>
        <v>2</v>
      </c>
      <c r="K61" s="5" t="n">
        <f aca="false">I61/7</f>
        <v>0.285714285714286</v>
      </c>
      <c r="L61" s="5" t="n">
        <f aca="false">J61/7</f>
        <v>0.285714285714286</v>
      </c>
    </row>
    <row r="62" customFormat="false" ht="15" hidden="false" customHeight="false" outlineLevel="0" collapsed="false">
      <c r="A62" s="5" t="n">
        <f aca="false">ITEM_MASTER_CLEAN!A62</f>
        <v>61</v>
      </c>
      <c r="B62" s="5" t="n">
        <f aca="false">ITEM_MASTER_CLEAN!B62</f>
        <v>28967</v>
      </c>
      <c r="C62" s="5" t="str">
        <f aca="false">ITEM_MASTER_CLEAN!C62</f>
        <v>PIE KEY LIME GRAHAM 10" KILO 12PC</v>
      </c>
      <c r="D62" s="5" t="str">
        <f aca="false">ITEM_MASTER_CLEAN!D62</f>
        <v>DESSERTS</v>
      </c>
      <c r="E62" s="11" t="n">
        <v>1</v>
      </c>
      <c r="F62" s="11" t="n">
        <v>3</v>
      </c>
      <c r="G62" s="5" t="str">
        <f aca="false">IFERROR(VLOOKUP(D62,SETTINGS!A20:B41,2,FALSE()),"Medium")</f>
        <v>Medium</v>
      </c>
      <c r="H62" s="5" t="n">
        <f aca="false">IFERROR(VLOOKUP(G62,SETTINGS!A14:C16,3,FALSE()),5)</f>
        <v>8</v>
      </c>
      <c r="I62" s="5" t="n">
        <f aca="false">IF(E62&gt;0,E62,H62)</f>
        <v>1</v>
      </c>
      <c r="J62" s="5" t="n">
        <f aca="false">IF(F62&gt;0,F62,H62)</f>
        <v>3</v>
      </c>
      <c r="K62" s="5" t="n">
        <f aca="false">I62/7</f>
        <v>0.142857142857143</v>
      </c>
      <c r="L62" s="5" t="n">
        <f aca="false">J62/7</f>
        <v>0.428571428571429</v>
      </c>
    </row>
    <row r="63" customFormat="false" ht="23.85" hidden="false" customHeight="false" outlineLevel="0" collapsed="false">
      <c r="A63" s="5" t="n">
        <f aca="false">ITEM_MASTER_CLEAN!A63</f>
        <v>62</v>
      </c>
      <c r="B63" s="5" t="n">
        <f aca="false">ITEM_MASTER_CLEAN!B63</f>
        <v>31229</v>
      </c>
      <c r="C63" s="5" t="str">
        <f aca="false">ITEM_MASTER_CLEAN!C63</f>
        <v>LC ICE CRM MIX VANILLA 2X10L</v>
      </c>
      <c r="D63" s="5" t="str">
        <f aca="false">ITEM_MASTER_CLEAN!D63</f>
        <v>MIX CRÈME GLACÉE</v>
      </c>
      <c r="E63" s="11" t="n">
        <v>6</v>
      </c>
      <c r="F63" s="11" t="n">
        <v>6</v>
      </c>
      <c r="G63" s="5" t="str">
        <f aca="false">IFERROR(VLOOKUP(D63,SETTINGS!A20:B41,2,FALSE()),"Medium")</f>
        <v>Fast</v>
      </c>
      <c r="H63" s="5" t="n">
        <f aca="false">IFERROR(VLOOKUP(G63,SETTINGS!A14:C16,3,FALSE()),5)</f>
        <v>15</v>
      </c>
      <c r="I63" s="5" t="n">
        <f aca="false">IF(E63&gt;0,E63,H63)</f>
        <v>6</v>
      </c>
      <c r="J63" s="5" t="n">
        <f aca="false">IF(F63&gt;0,F63,H63)</f>
        <v>6</v>
      </c>
      <c r="K63" s="5" t="n">
        <f aca="false">I63/7</f>
        <v>0.857142857142857</v>
      </c>
      <c r="L63" s="5" t="n">
        <f aca="false">J63/7</f>
        <v>0.857142857142857</v>
      </c>
    </row>
    <row r="64" customFormat="false" ht="23.85" hidden="false" customHeight="false" outlineLevel="0" collapsed="false">
      <c r="A64" s="5" t="n">
        <f aca="false">ITEM_MASTER_CLEAN!A64</f>
        <v>63</v>
      </c>
      <c r="B64" s="5" t="n">
        <f aca="false">ITEM_MASTER_CLEAN!B64</f>
        <v>36756</v>
      </c>
      <c r="C64" s="5" t="str">
        <f aca="false">ITEM_MASTER_CLEAN!C64</f>
        <v>LADIP MANGO S/SERVE VEGAN 8X1.89L</v>
      </c>
      <c r="D64" s="5" t="str">
        <f aca="false">ITEM_MASTER_CLEAN!D64</f>
        <v>MIX CRÈME GLACÉE</v>
      </c>
      <c r="E64" s="11" t="n">
        <v>4</v>
      </c>
      <c r="F64" s="11" t="n">
        <v>5</v>
      </c>
      <c r="G64" s="5" t="str">
        <f aca="false">IFERROR(VLOOKUP(D64,SETTINGS!A20:B41,2,FALSE()),"Medium")</f>
        <v>Fast</v>
      </c>
      <c r="H64" s="5" t="n">
        <f aca="false">IFERROR(VLOOKUP(G64,SETTINGS!A14:C16,3,FALSE()),5)</f>
        <v>15</v>
      </c>
      <c r="I64" s="5" t="n">
        <f aca="false">IF(E64&gt;0,E64,H64)</f>
        <v>4</v>
      </c>
      <c r="J64" s="5" t="n">
        <f aca="false">IF(F64&gt;0,F64,H64)</f>
        <v>5</v>
      </c>
      <c r="K64" s="5" t="n">
        <f aca="false">I64/7</f>
        <v>0.571428571428571</v>
      </c>
      <c r="L64" s="5" t="n">
        <f aca="false">J64/7</f>
        <v>0.714285714285714</v>
      </c>
    </row>
    <row r="65" customFormat="false" ht="23.85" hidden="false" customHeight="false" outlineLevel="0" collapsed="false">
      <c r="A65" s="5" t="n">
        <f aca="false">ITEM_MASTER_CLEAN!A65</f>
        <v>64</v>
      </c>
      <c r="B65" s="5" t="n">
        <f aca="false">ITEM_MASTER_CLEAN!B65</f>
        <v>31231</v>
      </c>
      <c r="C65" s="5" t="str">
        <f aca="false">ITEM_MASTER_CLEAN!C65</f>
        <v>LC ICE CRM MIX CHOCOLATE 2X10L</v>
      </c>
      <c r="D65" s="5" t="str">
        <f aca="false">ITEM_MASTER_CLEAN!D65</f>
        <v>MIX CRÈME GLACÉE</v>
      </c>
      <c r="E65" s="11" t="n">
        <v>8</v>
      </c>
      <c r="F65" s="11" t="n">
        <v>4</v>
      </c>
      <c r="G65" s="5" t="str">
        <f aca="false">IFERROR(VLOOKUP(D65,SETTINGS!A20:B41,2,FALSE()),"Medium")</f>
        <v>Fast</v>
      </c>
      <c r="H65" s="5" t="n">
        <f aca="false">IFERROR(VLOOKUP(G65,SETTINGS!A14:C16,3,FALSE()),5)</f>
        <v>15</v>
      </c>
      <c r="I65" s="5" t="n">
        <f aca="false">IF(E65&gt;0,E65,H65)</f>
        <v>8</v>
      </c>
      <c r="J65" s="5" t="n">
        <f aca="false">IF(F65&gt;0,F65,H65)</f>
        <v>4</v>
      </c>
      <c r="K65" s="5" t="n">
        <f aca="false">I65/7</f>
        <v>1.14285714285714</v>
      </c>
      <c r="L65" s="5" t="n">
        <f aca="false">J65/7</f>
        <v>0.571428571428571</v>
      </c>
    </row>
    <row r="66" customFormat="false" ht="46.25" hidden="false" customHeight="false" outlineLevel="0" collapsed="false">
      <c r="A66" s="5" t="n">
        <f aca="false">ITEM_MASTER_CLEAN!A66</f>
        <v>65</v>
      </c>
      <c r="B66" s="5" t="n">
        <f aca="false">ITEM_MASTER_CLEAN!B66</f>
        <v>30283</v>
      </c>
      <c r="C66" s="5" t="str">
        <f aca="false">ITEM_MASTER_CLEAN!C66</f>
        <v>BEV MILKSHAKE CARAMILK 12X310ML</v>
      </c>
      <c r="D66" s="5" t="str">
        <f aca="false">ITEM_MASTER_CLEAN!D66</f>
        <v>LAITS FRAPPÉS / VERRES / PAILLES</v>
      </c>
      <c r="E66" s="11" t="n">
        <v>8</v>
      </c>
      <c r="F66" s="11" t="n">
        <v>3</v>
      </c>
      <c r="G66" s="5" t="str">
        <f aca="false">IFERROR(VLOOKUP(D66,SETTINGS!A20:B41,2,FALSE()),"Medium")</f>
        <v>Fast</v>
      </c>
      <c r="H66" s="5" t="n">
        <f aca="false">IFERROR(VLOOKUP(G66,SETTINGS!A14:C16,3,FALSE()),5)</f>
        <v>15</v>
      </c>
      <c r="I66" s="5" t="n">
        <f aca="false">IF(E66&gt;0,E66,H66)</f>
        <v>8</v>
      </c>
      <c r="J66" s="5" t="n">
        <f aca="false">IF(F66&gt;0,F66,H66)</f>
        <v>3</v>
      </c>
      <c r="K66" s="5" t="n">
        <f aca="false">I66/7</f>
        <v>1.14285714285714</v>
      </c>
      <c r="L66" s="5" t="n">
        <f aca="false">J66/7</f>
        <v>0.428571428571429</v>
      </c>
    </row>
    <row r="67" customFormat="false" ht="46.25" hidden="false" customHeight="false" outlineLevel="0" collapsed="false">
      <c r="A67" s="5" t="n">
        <f aca="false">ITEM_MASTER_CLEAN!A67</f>
        <v>66</v>
      </c>
      <c r="B67" s="5" t="n">
        <f aca="false">ITEM_MASTER_CLEAN!B67</f>
        <v>30282</v>
      </c>
      <c r="C67" s="5" t="str">
        <f aca="false">ITEM_MASTER_CLEAN!C67</f>
        <v>BEV MILKSHAKE COFFE CRISP 12X473ML</v>
      </c>
      <c r="D67" s="5" t="str">
        <f aca="false">ITEM_MASTER_CLEAN!D67</f>
        <v>LAITS FRAPPÉS / VERRES / PAILLES</v>
      </c>
      <c r="E67" s="11" t="n">
        <v>9</v>
      </c>
      <c r="F67" s="11" t="n">
        <v>5</v>
      </c>
      <c r="G67" s="5" t="str">
        <f aca="false">IFERROR(VLOOKUP(D67,SETTINGS!A20:B41,2,FALSE()),"Medium")</f>
        <v>Fast</v>
      </c>
      <c r="H67" s="5" t="n">
        <f aca="false">IFERROR(VLOOKUP(G67,SETTINGS!A14:C16,3,FALSE()),5)</f>
        <v>15</v>
      </c>
      <c r="I67" s="5" t="n">
        <f aca="false">IF(E67&gt;0,E67,H67)</f>
        <v>9</v>
      </c>
      <c r="J67" s="5" t="n">
        <f aca="false">IF(F67&gt;0,F67,H67)</f>
        <v>5</v>
      </c>
      <c r="K67" s="5" t="n">
        <f aca="false">I67/7</f>
        <v>1.28571428571429</v>
      </c>
      <c r="L67" s="5" t="n">
        <f aca="false">J67/7</f>
        <v>0.714285714285714</v>
      </c>
    </row>
    <row r="68" customFormat="false" ht="46.25" hidden="false" customHeight="false" outlineLevel="0" collapsed="false">
      <c r="A68" s="5" t="n">
        <f aca="false">ITEM_MASTER_CLEAN!A68</f>
        <v>67</v>
      </c>
      <c r="B68" s="5" t="n">
        <f aca="false">ITEM_MASTER_CLEAN!B68</f>
        <v>31225</v>
      </c>
      <c r="C68" s="5" t="str">
        <f aca="false">ITEM_MASTER_CLEAN!C68</f>
        <v>PRVT MILK HOMO 2L</v>
      </c>
      <c r="D68" s="5" t="str">
        <f aca="false">ITEM_MASTER_CLEAN!D68</f>
        <v>LAITS FRAPPÉS / VERRES / PAILLES</v>
      </c>
      <c r="E68" s="11" t="n">
        <v>4</v>
      </c>
      <c r="F68" s="11" t="n">
        <v>6</v>
      </c>
      <c r="G68" s="5" t="str">
        <f aca="false">IFERROR(VLOOKUP(D68,SETTINGS!A20:B41,2,FALSE()),"Medium")</f>
        <v>Fast</v>
      </c>
      <c r="H68" s="5" t="n">
        <f aca="false">IFERROR(VLOOKUP(G68,SETTINGS!A14:C16,3,FALSE()),5)</f>
        <v>15</v>
      </c>
      <c r="I68" s="5" t="n">
        <f aca="false">IF(E68&gt;0,E68,H68)</f>
        <v>4</v>
      </c>
      <c r="J68" s="5" t="n">
        <f aca="false">IF(F68&gt;0,F68,H68)</f>
        <v>6</v>
      </c>
      <c r="K68" s="5" t="n">
        <f aca="false">I68/7</f>
        <v>0.571428571428571</v>
      </c>
      <c r="L68" s="5" t="n">
        <f aca="false">J68/7</f>
        <v>0.857142857142857</v>
      </c>
    </row>
    <row r="69" customFormat="false" ht="46.25" hidden="false" customHeight="false" outlineLevel="0" collapsed="false">
      <c r="A69" s="5" t="n">
        <f aca="false">ITEM_MASTER_CLEAN!A69</f>
        <v>68</v>
      </c>
      <c r="B69" s="5" t="n">
        <f aca="false">ITEM_MASTER_CLEAN!B69</f>
        <v>31227</v>
      </c>
      <c r="C69" s="5" t="str">
        <f aca="false">ITEM_MASTER_CLEAN!C69</f>
        <v>PRVT MILK CHOCOLATE 2L</v>
      </c>
      <c r="D69" s="5" t="str">
        <f aca="false">ITEM_MASTER_CLEAN!D69</f>
        <v>LAITS FRAPPÉS / VERRES / PAILLES</v>
      </c>
      <c r="E69" s="11" t="n">
        <v>9</v>
      </c>
      <c r="F69" s="11" t="n">
        <v>4</v>
      </c>
      <c r="G69" s="5" t="str">
        <f aca="false">IFERROR(VLOOKUP(D69,SETTINGS!A20:B41,2,FALSE()),"Medium")</f>
        <v>Fast</v>
      </c>
      <c r="H69" s="5" t="n">
        <f aca="false">IFERROR(VLOOKUP(G69,SETTINGS!A14:C16,3,FALSE()),5)</f>
        <v>15</v>
      </c>
      <c r="I69" s="5" t="n">
        <f aca="false">IF(E69&gt;0,E69,H69)</f>
        <v>9</v>
      </c>
      <c r="J69" s="5" t="n">
        <f aca="false">IF(F69&gt;0,F69,H69)</f>
        <v>4</v>
      </c>
      <c r="K69" s="5" t="n">
        <f aca="false">I69/7</f>
        <v>1.28571428571429</v>
      </c>
      <c r="L69" s="5" t="n">
        <f aca="false">J69/7</f>
        <v>0.571428571428571</v>
      </c>
    </row>
    <row r="70" customFormat="false" ht="46.25" hidden="false" customHeight="false" outlineLevel="0" collapsed="false">
      <c r="A70" s="5" t="n">
        <f aca="false">ITEM_MASTER_CLEAN!A70</f>
        <v>69</v>
      </c>
      <c r="B70" s="5" t="n">
        <f aca="false">ITEM_MASTER_CLEAN!B70</f>
        <v>31226</v>
      </c>
      <c r="C70" s="5" t="str">
        <f aca="false">ITEM_MASTER_CLEAN!C70</f>
        <v>PRVT MILK STRAWBERRY 473ML</v>
      </c>
      <c r="D70" s="5" t="str">
        <f aca="false">ITEM_MASTER_CLEAN!D70</f>
        <v>LAITS FRAPPÉS / VERRES / PAILLES</v>
      </c>
      <c r="E70" s="11" t="n">
        <v>10</v>
      </c>
      <c r="F70" s="11" t="n">
        <v>5</v>
      </c>
      <c r="G70" s="5" t="str">
        <f aca="false">IFERROR(VLOOKUP(D70,SETTINGS!A20:B41,2,FALSE()),"Medium")</f>
        <v>Fast</v>
      </c>
      <c r="H70" s="5" t="n">
        <f aca="false">IFERROR(VLOOKUP(G70,SETTINGS!A14:C16,3,FALSE()),5)</f>
        <v>15</v>
      </c>
      <c r="I70" s="5" t="n">
        <f aca="false">IF(E70&gt;0,E70,H70)</f>
        <v>10</v>
      </c>
      <c r="J70" s="5" t="n">
        <f aca="false">IF(F70&gt;0,F70,H70)</f>
        <v>5</v>
      </c>
      <c r="K70" s="5" t="n">
        <f aca="false">I70/7</f>
        <v>1.42857142857143</v>
      </c>
      <c r="L70" s="5" t="n">
        <f aca="false">J70/7</f>
        <v>0.714285714285714</v>
      </c>
    </row>
    <row r="71" customFormat="false" ht="46.25" hidden="false" customHeight="false" outlineLevel="0" collapsed="false">
      <c r="A71" s="5" t="n">
        <f aca="false">ITEM_MASTER_CLEAN!A71</f>
        <v>70</v>
      </c>
      <c r="B71" s="5" t="n">
        <f aca="false">ITEM_MASTER_CLEAN!B71</f>
        <v>31221</v>
      </c>
      <c r="C71" s="5" t="str">
        <f aca="false">ITEM_MASTER_CLEAN!C71</f>
        <v>WHIP CREAM AEROSOL 19% 12X225G</v>
      </c>
      <c r="D71" s="5" t="str">
        <f aca="false">ITEM_MASTER_CLEAN!D71</f>
        <v>LAITS FRAPPÉS / VERRES / PAILLES</v>
      </c>
      <c r="E71" s="11" t="n">
        <v>6</v>
      </c>
      <c r="F71" s="11" t="n">
        <v>5</v>
      </c>
      <c r="G71" s="5" t="str">
        <f aca="false">IFERROR(VLOOKUP(D71,SETTINGS!A20:B41,2,FALSE()),"Medium")</f>
        <v>Fast</v>
      </c>
      <c r="H71" s="5" t="n">
        <f aca="false">IFERROR(VLOOKUP(G71,SETTINGS!A14:C16,3,FALSE()),5)</f>
        <v>15</v>
      </c>
      <c r="I71" s="5" t="n">
        <f aca="false">IF(E71&gt;0,E71,H71)</f>
        <v>6</v>
      </c>
      <c r="J71" s="5" t="n">
        <f aca="false">IF(F71&gt;0,F71,H71)</f>
        <v>5</v>
      </c>
      <c r="K71" s="5" t="n">
        <f aca="false">I71/7</f>
        <v>0.857142857142857</v>
      </c>
      <c r="L71" s="5" t="n">
        <f aca="false">J71/7</f>
        <v>0.714285714285714</v>
      </c>
    </row>
    <row r="72" customFormat="false" ht="46.25" hidden="false" customHeight="false" outlineLevel="0" collapsed="false">
      <c r="A72" s="5" t="n">
        <f aca="false">ITEM_MASTER_CLEAN!A72</f>
        <v>71</v>
      </c>
      <c r="B72" s="5" t="n">
        <f aca="false">ITEM_MASTER_CLEAN!B72</f>
        <v>64878</v>
      </c>
      <c r="C72" s="5" t="str">
        <f aca="false">ITEM_MASTER_CLEAN!C72</f>
        <v>DIPP CUP 16OZ PL 31016MTYL PP* 1M</v>
      </c>
      <c r="D72" s="5" t="str">
        <f aca="false">ITEM_MASTER_CLEAN!D72</f>
        <v>LAITS FRAPPÉS / VERRES / PAILLES</v>
      </c>
      <c r="E72" s="11" t="n">
        <v>7</v>
      </c>
      <c r="F72" s="11" t="n">
        <v>4</v>
      </c>
      <c r="G72" s="5" t="str">
        <f aca="false">IFERROR(VLOOKUP(D72,SETTINGS!A20:B41,2,FALSE()),"Medium")</f>
        <v>Fast</v>
      </c>
      <c r="H72" s="5" t="n">
        <f aca="false">IFERROR(VLOOKUP(G72,SETTINGS!A14:C16,3,FALSE()),5)</f>
        <v>15</v>
      </c>
      <c r="I72" s="5" t="n">
        <f aca="false">IF(E72&gt;0,E72,H72)</f>
        <v>7</v>
      </c>
      <c r="J72" s="5" t="n">
        <f aca="false">IF(F72&gt;0,F72,H72)</f>
        <v>4</v>
      </c>
      <c r="K72" s="5" t="n">
        <f aca="false">I72/7</f>
        <v>1</v>
      </c>
      <c r="L72" s="5" t="n">
        <f aca="false">J72/7</f>
        <v>0.571428571428571</v>
      </c>
    </row>
    <row r="73" customFormat="false" ht="46.25" hidden="false" customHeight="false" outlineLevel="0" collapsed="false">
      <c r="A73" s="5" t="n">
        <f aca="false">ITEM_MASTER_CLEAN!A73</f>
        <v>72</v>
      </c>
      <c r="B73" s="5" t="n">
        <f aca="false">ITEM_MASTER_CLEAN!B73</f>
        <v>61594</v>
      </c>
      <c r="C73" s="5" t="str">
        <f aca="false">ITEM_MASTER_CLEAN!C73</f>
        <v>Couv. Plat 16oz 10x100 units</v>
      </c>
      <c r="D73" s="5" t="str">
        <f aca="false">ITEM_MASTER_CLEAN!D73</f>
        <v>LAITS FRAPPÉS / VERRES / PAILLES</v>
      </c>
      <c r="E73" s="11" t="n">
        <v>9</v>
      </c>
      <c r="F73" s="11" t="n">
        <v>5</v>
      </c>
      <c r="G73" s="5" t="str">
        <f aca="false">IFERROR(VLOOKUP(D73,SETTINGS!A20:B41,2,FALSE()),"Medium")</f>
        <v>Fast</v>
      </c>
      <c r="H73" s="5" t="n">
        <f aca="false">IFERROR(VLOOKUP(G73,SETTINGS!A14:C16,3,FALSE()),5)</f>
        <v>15</v>
      </c>
      <c r="I73" s="5" t="n">
        <f aca="false">IF(E73&gt;0,E73,H73)</f>
        <v>9</v>
      </c>
      <c r="J73" s="5" t="n">
        <f aca="false">IF(F73&gt;0,F73,H73)</f>
        <v>5</v>
      </c>
      <c r="K73" s="5" t="n">
        <f aca="false">I73/7</f>
        <v>1.28571428571429</v>
      </c>
      <c r="L73" s="5" t="n">
        <f aca="false">J73/7</f>
        <v>0.714285714285714</v>
      </c>
    </row>
    <row r="74" customFormat="false" ht="46.25" hidden="false" customHeight="false" outlineLevel="0" collapsed="false">
      <c r="A74" s="5" t="n">
        <f aca="false">ITEM_MASTER_CLEAN!A74</f>
        <v>73</v>
      </c>
      <c r="B74" s="5" t="n">
        <f aca="false">ITEM_MASTER_CLEAN!B74</f>
        <v>61593</v>
      </c>
      <c r="C74" s="5" t="str">
        <f aca="false">ITEM_MASTER_CLEAN!C74</f>
        <v>LID 16 OZ DOME W/SPOON HOLE PP X100</v>
      </c>
      <c r="D74" s="5" t="str">
        <f aca="false">ITEM_MASTER_CLEAN!D74</f>
        <v>LAITS FRAPPÉS / VERRES / PAILLES</v>
      </c>
      <c r="E74" s="11" t="n">
        <v>9</v>
      </c>
      <c r="F74" s="11" t="n">
        <v>7</v>
      </c>
      <c r="G74" s="5" t="str">
        <f aca="false">IFERROR(VLOOKUP(D74,SETTINGS!A20:B41,2,FALSE()),"Medium")</f>
        <v>Fast</v>
      </c>
      <c r="H74" s="5" t="n">
        <f aca="false">IFERROR(VLOOKUP(G74,SETTINGS!A14:C16,3,FALSE()),5)</f>
        <v>15</v>
      </c>
      <c r="I74" s="5" t="n">
        <f aca="false">IF(E74&gt;0,E74,H74)</f>
        <v>9</v>
      </c>
      <c r="J74" s="5" t="n">
        <f aca="false">IF(F74&gt;0,F74,H74)</f>
        <v>7</v>
      </c>
      <c r="K74" s="5" t="n">
        <f aca="false">I74/7</f>
        <v>1.28571428571429</v>
      </c>
      <c r="L74" s="5" t="n">
        <f aca="false">J74/7</f>
        <v>1</v>
      </c>
    </row>
    <row r="75" customFormat="false" ht="46.25" hidden="false" customHeight="false" outlineLevel="0" collapsed="false">
      <c r="A75" s="5" t="n">
        <f aca="false">ITEM_MASTER_CLEAN!A75</f>
        <v>74</v>
      </c>
      <c r="B75" s="5" t="n">
        <f aca="false">ITEM_MASTER_CLEAN!B75</f>
        <v>32911</v>
      </c>
      <c r="C75" s="5" t="str">
        <f aca="false">ITEM_MASTER_CLEAN!C75</f>
        <v>Montreal paper cup 16oz</v>
      </c>
      <c r="D75" s="5" t="str">
        <f aca="false">ITEM_MASTER_CLEAN!D75</f>
        <v>LAITS FRAPPÉS / VERRES / PAILLES</v>
      </c>
      <c r="E75" s="11" t="n">
        <v>8</v>
      </c>
      <c r="F75" s="11" t="n">
        <v>4</v>
      </c>
      <c r="G75" s="5" t="str">
        <f aca="false">IFERROR(VLOOKUP(D75,SETTINGS!A20:B41,2,FALSE()),"Medium")</f>
        <v>Fast</v>
      </c>
      <c r="H75" s="5" t="n">
        <f aca="false">IFERROR(VLOOKUP(G75,SETTINGS!A14:C16,3,FALSE()),5)</f>
        <v>15</v>
      </c>
      <c r="I75" s="5" t="n">
        <f aca="false">IF(E75&gt;0,E75,H75)</f>
        <v>8</v>
      </c>
      <c r="J75" s="5" t="n">
        <f aca="false">IF(F75&gt;0,F75,H75)</f>
        <v>4</v>
      </c>
      <c r="K75" s="5" t="n">
        <f aca="false">I75/7</f>
        <v>1.14285714285714</v>
      </c>
      <c r="L75" s="5" t="n">
        <f aca="false">J75/7</f>
        <v>0.571428571428571</v>
      </c>
    </row>
    <row r="76" customFormat="false" ht="46.25" hidden="false" customHeight="false" outlineLevel="0" collapsed="false">
      <c r="A76" s="5" t="n">
        <f aca="false">ITEM_MASTER_CLEAN!A76</f>
        <v>75</v>
      </c>
      <c r="B76" s="5" t="n">
        <f aca="false">ITEM_MASTER_CLEAN!B76</f>
        <v>32912</v>
      </c>
      <c r="C76" s="5" t="str">
        <f aca="false">ITEM_MASTER_CLEAN!C76</f>
        <v>Montreal 16oz flat lid</v>
      </c>
      <c r="D76" s="5" t="str">
        <f aca="false">ITEM_MASTER_CLEAN!D76</f>
        <v>LAITS FRAPPÉS / VERRES / PAILLES</v>
      </c>
      <c r="E76" s="11" t="n">
        <v>5</v>
      </c>
      <c r="F76" s="11" t="n">
        <v>3</v>
      </c>
      <c r="G76" s="5" t="str">
        <f aca="false">IFERROR(VLOOKUP(D76,SETTINGS!A20:B41,2,FALSE()),"Medium")</f>
        <v>Fast</v>
      </c>
      <c r="H76" s="5" t="n">
        <f aca="false">IFERROR(VLOOKUP(G76,SETTINGS!A14:C16,3,FALSE()),5)</f>
        <v>15</v>
      </c>
      <c r="I76" s="5" t="n">
        <f aca="false">IF(E76&gt;0,E76,H76)</f>
        <v>5</v>
      </c>
      <c r="J76" s="5" t="n">
        <f aca="false">IF(F76&gt;0,F76,H76)</f>
        <v>3</v>
      </c>
      <c r="K76" s="5" t="n">
        <f aca="false">I76/7</f>
        <v>0.714285714285714</v>
      </c>
      <c r="L76" s="5" t="n">
        <f aca="false">J76/7</f>
        <v>0.428571428571429</v>
      </c>
    </row>
    <row r="77" customFormat="false" ht="46.25" hidden="false" customHeight="false" outlineLevel="0" collapsed="false">
      <c r="A77" s="5" t="n">
        <f aca="false">ITEM_MASTER_CLEAN!A77</f>
        <v>76</v>
      </c>
      <c r="B77" s="5" t="n">
        <f aca="false">ITEM_MASTER_CLEAN!B77</f>
        <v>34434</v>
      </c>
      <c r="C77" s="5" t="str">
        <f aca="false">ITEM_MASTER_CLEAN!C77</f>
        <v>Montreal 16oz dome lids</v>
      </c>
      <c r="D77" s="5" t="str">
        <f aca="false">ITEM_MASTER_CLEAN!D77</f>
        <v>LAITS FRAPPÉS / VERRES / PAILLES</v>
      </c>
      <c r="E77" s="11" t="n">
        <v>4</v>
      </c>
      <c r="F77" s="11" t="n">
        <v>3</v>
      </c>
      <c r="G77" s="5" t="str">
        <f aca="false">IFERROR(VLOOKUP(D77,SETTINGS!A20:B41,2,FALSE()),"Medium")</f>
        <v>Fast</v>
      </c>
      <c r="H77" s="5" t="n">
        <f aca="false">IFERROR(VLOOKUP(G77,SETTINGS!A14:C16,3,FALSE()),5)</f>
        <v>15</v>
      </c>
      <c r="I77" s="5" t="n">
        <f aca="false">IF(E77&gt;0,E77,H77)</f>
        <v>4</v>
      </c>
      <c r="J77" s="5" t="n">
        <f aca="false">IF(F77&gt;0,F77,H77)</f>
        <v>3</v>
      </c>
      <c r="K77" s="5" t="n">
        <f aca="false">I77/7</f>
        <v>0.571428571428571</v>
      </c>
      <c r="L77" s="5" t="n">
        <f aca="false">J77/7</f>
        <v>0.428571428571429</v>
      </c>
    </row>
    <row r="78" customFormat="false" ht="46.25" hidden="false" customHeight="false" outlineLevel="0" collapsed="false">
      <c r="A78" s="5" t="n">
        <f aca="false">ITEM_MASTER_CLEAN!A78</f>
        <v>77</v>
      </c>
      <c r="B78" s="5" t="n">
        <f aca="false">ITEM_MASTER_CLEAN!B78</f>
        <v>63815</v>
      </c>
      <c r="C78" s="5" t="str">
        <f aca="false">ITEM_MASTER_CLEAN!C78</f>
        <v>STRAW 10" PAP  BLK JUMBO 8MM WRP 2M</v>
      </c>
      <c r="D78" s="5" t="str">
        <f aca="false">ITEM_MASTER_CLEAN!D78</f>
        <v>LAITS FRAPPÉS / VERRES / PAILLES</v>
      </c>
      <c r="E78" s="11" t="n">
        <v>10</v>
      </c>
      <c r="F78" s="11" t="n">
        <v>2</v>
      </c>
      <c r="G78" s="5" t="str">
        <f aca="false">IFERROR(VLOOKUP(D78,SETTINGS!A20:B41,2,FALSE()),"Medium")</f>
        <v>Fast</v>
      </c>
      <c r="H78" s="5" t="n">
        <f aca="false">IFERROR(VLOOKUP(G78,SETTINGS!A14:C16,3,FALSE()),5)</f>
        <v>15</v>
      </c>
      <c r="I78" s="5" t="n">
        <f aca="false">IF(E78&gt;0,E78,H78)</f>
        <v>10</v>
      </c>
      <c r="J78" s="5" t="n">
        <f aca="false">IF(F78&gt;0,F78,H78)</f>
        <v>2</v>
      </c>
      <c r="K78" s="5" t="n">
        <f aca="false">I78/7</f>
        <v>1.42857142857143</v>
      </c>
      <c r="L78" s="5" t="n">
        <f aca="false">J78/7</f>
        <v>0.285714285714286</v>
      </c>
    </row>
    <row r="79" customFormat="false" ht="46.25" hidden="false" customHeight="false" outlineLevel="0" collapsed="false">
      <c r="A79" s="5" t="n">
        <f aca="false">ITEM_MASTER_CLEAN!A79</f>
        <v>78</v>
      </c>
      <c r="B79" s="5" t="n">
        <f aca="false">ITEM_MASTER_CLEAN!B79</f>
        <v>63816</v>
      </c>
      <c r="C79" s="5" t="str">
        <f aca="false">ITEM_MASTER_CLEAN!C79</f>
        <v>STRAW 7.75"PAPER S/J 8MM BLK WRP 2M</v>
      </c>
      <c r="D79" s="5" t="str">
        <f aca="false">ITEM_MASTER_CLEAN!D79</f>
        <v>LAITS FRAPPÉS / VERRES / PAILLES</v>
      </c>
      <c r="E79" s="11" t="n">
        <v>9</v>
      </c>
      <c r="F79" s="11" t="n">
        <v>5</v>
      </c>
      <c r="G79" s="5" t="str">
        <f aca="false">IFERROR(VLOOKUP(D79,SETTINGS!A20:B41,2,FALSE()),"Medium")</f>
        <v>Fast</v>
      </c>
      <c r="H79" s="5" t="n">
        <f aca="false">IFERROR(VLOOKUP(G79,SETTINGS!A14:C16,3,FALSE()),5)</f>
        <v>15</v>
      </c>
      <c r="I79" s="5" t="n">
        <f aca="false">IF(E79&gt;0,E79,H79)</f>
        <v>9</v>
      </c>
      <c r="J79" s="5" t="n">
        <f aca="false">IF(F79&gt;0,F79,H79)</f>
        <v>5</v>
      </c>
      <c r="K79" s="5" t="n">
        <f aca="false">I79/7</f>
        <v>1.28571428571429</v>
      </c>
      <c r="L79" s="5" t="n">
        <f aca="false">J79/7</f>
        <v>0.714285714285714</v>
      </c>
    </row>
    <row r="80" customFormat="false" ht="46.25" hidden="false" customHeight="false" outlineLevel="0" collapsed="false">
      <c r="A80" s="5" t="n">
        <f aca="false">ITEM_MASTER_CLEAN!A80</f>
        <v>79</v>
      </c>
      <c r="B80" s="5" t="n">
        <f aca="false">ITEM_MASTER_CLEAN!B80</f>
        <v>61558</v>
      </c>
      <c r="C80" s="5" t="str">
        <f aca="false">ITEM_MASTER_CLEAN!C80</f>
        <v>STRAW 8.5" BBL/TEA 12MM WH/PAP 2M</v>
      </c>
      <c r="D80" s="5" t="str">
        <f aca="false">ITEM_MASTER_CLEAN!D80</f>
        <v>LAITS FRAPPÉS / VERRES / PAILLES</v>
      </c>
      <c r="E80" s="11" t="n">
        <v>9</v>
      </c>
      <c r="F80" s="11" t="n">
        <v>6</v>
      </c>
      <c r="G80" s="5" t="str">
        <f aca="false">IFERROR(VLOOKUP(D80,SETTINGS!A20:B41,2,FALSE()),"Medium")</f>
        <v>Fast</v>
      </c>
      <c r="H80" s="5" t="n">
        <f aca="false">IFERROR(VLOOKUP(G80,SETTINGS!A14:C16,3,FALSE()),5)</f>
        <v>15</v>
      </c>
      <c r="I80" s="5" t="n">
        <f aca="false">IF(E80&gt;0,E80,H80)</f>
        <v>9</v>
      </c>
      <c r="J80" s="5" t="n">
        <f aca="false">IF(F80&gt;0,F80,H80)</f>
        <v>6</v>
      </c>
      <c r="K80" s="5" t="n">
        <f aca="false">I80/7</f>
        <v>1.28571428571429</v>
      </c>
      <c r="L80" s="5" t="n">
        <f aca="false">J80/7</f>
        <v>0.857142857142857</v>
      </c>
    </row>
    <row r="81" customFormat="false" ht="46.25" hidden="false" customHeight="false" outlineLevel="0" collapsed="false">
      <c r="A81" s="5" t="n">
        <f aca="false">ITEM_MASTER_CLEAN!A81</f>
        <v>80</v>
      </c>
      <c r="B81" s="5" t="n">
        <f aca="false">ITEM_MASTER_CLEAN!B81</f>
        <v>23511</v>
      </c>
      <c r="C81" s="5" t="str">
        <f aca="false">ITEM_MASTER_CLEAN!C81</f>
        <v>Nouv CRM GLC BISC MONSTRE 11.4L</v>
      </c>
      <c r="D81" s="5" t="str">
        <f aca="false">ITEM_MASTER_CLEAN!D81</f>
        <v>CREME GLACEE DUR &amp; SORBETS 11.4L</v>
      </c>
      <c r="E81" s="11" t="n">
        <v>6</v>
      </c>
      <c r="F81" s="11" t="n">
        <v>4</v>
      </c>
      <c r="G81" s="5" t="str">
        <f aca="false">IFERROR(VLOOKUP(D81,SETTINGS!A20:B41,2,FALSE()),"Medium")</f>
        <v>Fast</v>
      </c>
      <c r="H81" s="5" t="n">
        <f aca="false">IFERROR(VLOOKUP(G81,SETTINGS!A14:C16,3,FALSE()),5)</f>
        <v>15</v>
      </c>
      <c r="I81" s="5" t="n">
        <f aca="false">IF(E81&gt;0,E81,H81)</f>
        <v>6</v>
      </c>
      <c r="J81" s="5" t="n">
        <f aca="false">IF(F81&gt;0,F81,H81)</f>
        <v>4</v>
      </c>
      <c r="K81" s="5" t="n">
        <f aca="false">I81/7</f>
        <v>0.857142857142857</v>
      </c>
      <c r="L81" s="5" t="n">
        <f aca="false">J81/7</f>
        <v>0.571428571428571</v>
      </c>
    </row>
    <row r="82" customFormat="false" ht="46.25" hidden="false" customHeight="false" outlineLevel="0" collapsed="false">
      <c r="A82" s="5" t="n">
        <f aca="false">ITEM_MASTER_CLEAN!A82</f>
        <v>81</v>
      </c>
      <c r="B82" s="5" t="n">
        <f aca="false">ITEM_MASTER_CLEAN!B82</f>
        <v>15422</v>
      </c>
      <c r="C82" s="5" t="str">
        <f aca="false">ITEM_MASTER_CLEAN!C82</f>
        <v>ICE CREAM CHOCOLATE 11.4L</v>
      </c>
      <c r="D82" s="5" t="str">
        <f aca="false">ITEM_MASTER_CLEAN!D82</f>
        <v>CREME GLACEE DUR &amp; SORBETS 11.4L</v>
      </c>
      <c r="E82" s="11" t="n">
        <v>4</v>
      </c>
      <c r="F82" s="11" t="n">
        <v>3</v>
      </c>
      <c r="G82" s="5" t="str">
        <f aca="false">IFERROR(VLOOKUP(D82,SETTINGS!A20:B41,2,FALSE()),"Medium")</f>
        <v>Fast</v>
      </c>
      <c r="H82" s="5" t="n">
        <f aca="false">IFERROR(VLOOKUP(G82,SETTINGS!A14:C16,3,FALSE()),5)</f>
        <v>15</v>
      </c>
      <c r="I82" s="5" t="n">
        <f aca="false">IF(E82&gt;0,E82,H82)</f>
        <v>4</v>
      </c>
      <c r="J82" s="5" t="n">
        <f aca="false">IF(F82&gt;0,F82,H82)</f>
        <v>3</v>
      </c>
      <c r="K82" s="5" t="n">
        <f aca="false">I82/7</f>
        <v>0.571428571428571</v>
      </c>
      <c r="L82" s="5" t="n">
        <f aca="false">J82/7</f>
        <v>0.428571428571429</v>
      </c>
    </row>
    <row r="83" customFormat="false" ht="46.25" hidden="false" customHeight="false" outlineLevel="0" collapsed="false">
      <c r="A83" s="5" t="n">
        <f aca="false">ITEM_MASTER_CLEAN!A83</f>
        <v>82</v>
      </c>
      <c r="B83" s="5" t="n">
        <f aca="false">ITEM_MASTER_CLEAN!B83</f>
        <v>36840</v>
      </c>
      <c r="C83" s="5" t="str">
        <f aca="false">ITEM_MASTER_CLEAN!C83</f>
        <v>ICE CREAM COTTON CANDY 11449 11.4L</v>
      </c>
      <c r="D83" s="5" t="str">
        <f aca="false">ITEM_MASTER_CLEAN!D83</f>
        <v>CREME GLACEE DUR &amp; SORBETS 11.4L</v>
      </c>
      <c r="E83" s="11" t="n">
        <v>2</v>
      </c>
      <c r="F83" s="11" t="n">
        <v>2</v>
      </c>
      <c r="G83" s="5" t="str">
        <f aca="false">IFERROR(VLOOKUP(D83,SETTINGS!A20:B41,2,FALSE()),"Medium")</f>
        <v>Fast</v>
      </c>
      <c r="H83" s="5" t="n">
        <f aca="false">IFERROR(VLOOKUP(G83,SETTINGS!A14:C16,3,FALSE()),5)</f>
        <v>15</v>
      </c>
      <c r="I83" s="5" t="n">
        <f aca="false">IF(E83&gt;0,E83,H83)</f>
        <v>2</v>
      </c>
      <c r="J83" s="5" t="n">
        <f aca="false">IF(F83&gt;0,F83,H83)</f>
        <v>2</v>
      </c>
      <c r="K83" s="5" t="n">
        <f aca="false">I83/7</f>
        <v>0.285714285714286</v>
      </c>
      <c r="L83" s="5" t="n">
        <f aca="false">J83/7</f>
        <v>0.285714285714286</v>
      </c>
    </row>
    <row r="84" customFormat="false" ht="46.25" hidden="false" customHeight="false" outlineLevel="0" collapsed="false">
      <c r="A84" s="5" t="n">
        <f aca="false">ITEM_MASTER_CLEAN!A84</f>
        <v>83</v>
      </c>
      <c r="B84" s="5" t="n">
        <f aca="false">ITEM_MASTER_CLEAN!B84</f>
        <v>36827</v>
      </c>
      <c r="C84" s="5" t="str">
        <f aca="false">ITEM_MASTER_CLEAN!C84</f>
        <v>ICE CREAM COOKIE/CRM 11438 11.4L</v>
      </c>
      <c r="D84" s="5" t="str">
        <f aca="false">ITEM_MASTER_CLEAN!D84</f>
        <v>CREME GLACEE DUR &amp; SORBETS 11.4L</v>
      </c>
      <c r="E84" s="11" t="n">
        <v>6</v>
      </c>
      <c r="F84" s="11" t="n">
        <v>2</v>
      </c>
      <c r="G84" s="5" t="str">
        <f aca="false">IFERROR(VLOOKUP(D84,SETTINGS!A20:B41,2,FALSE()),"Medium")</f>
        <v>Fast</v>
      </c>
      <c r="H84" s="5" t="n">
        <f aca="false">IFERROR(VLOOKUP(G84,SETTINGS!A14:C16,3,FALSE()),5)</f>
        <v>15</v>
      </c>
      <c r="I84" s="5" t="n">
        <f aca="false">IF(E84&gt;0,E84,H84)</f>
        <v>6</v>
      </c>
      <c r="J84" s="5" t="n">
        <f aca="false">IF(F84&gt;0,F84,H84)</f>
        <v>2</v>
      </c>
      <c r="K84" s="5" t="n">
        <f aca="false">I84/7</f>
        <v>0.857142857142857</v>
      </c>
      <c r="L84" s="5" t="n">
        <f aca="false">J84/7</f>
        <v>0.285714285714286</v>
      </c>
    </row>
    <row r="85" customFormat="false" ht="46.25" hidden="false" customHeight="false" outlineLevel="0" collapsed="false">
      <c r="A85" s="5" t="n">
        <f aca="false">ITEM_MASTER_CLEAN!A85</f>
        <v>84</v>
      </c>
      <c r="B85" s="5" t="n">
        <f aca="false">ITEM_MASTER_CLEAN!B85</f>
        <v>36830</v>
      </c>
      <c r="C85" s="5" t="str">
        <f aca="false">ITEM_MASTER_CLEAN!C85</f>
        <v>ICE CREAM CHOC BROWNIE 11446 11.4L</v>
      </c>
      <c r="D85" s="5" t="str">
        <f aca="false">ITEM_MASTER_CLEAN!D85</f>
        <v>CREME GLACEE DUR &amp; SORBETS 11.4L</v>
      </c>
      <c r="E85" s="11" t="n">
        <v>3</v>
      </c>
      <c r="F85" s="11" t="n">
        <v>3</v>
      </c>
      <c r="G85" s="5" t="str">
        <f aca="false">IFERROR(VLOOKUP(D85,SETTINGS!A20:B41,2,FALSE()),"Medium")</f>
        <v>Fast</v>
      </c>
      <c r="H85" s="5" t="n">
        <f aca="false">IFERROR(VLOOKUP(G85,SETTINGS!A14:C16,3,FALSE()),5)</f>
        <v>15</v>
      </c>
      <c r="I85" s="5" t="n">
        <f aca="false">IF(E85&gt;0,E85,H85)</f>
        <v>3</v>
      </c>
      <c r="J85" s="5" t="n">
        <f aca="false">IF(F85&gt;0,F85,H85)</f>
        <v>3</v>
      </c>
      <c r="K85" s="5" t="n">
        <f aca="false">I85/7</f>
        <v>0.428571428571429</v>
      </c>
      <c r="L85" s="5" t="n">
        <f aca="false">J85/7</f>
        <v>0.428571428571429</v>
      </c>
    </row>
    <row r="86" customFormat="false" ht="46.25" hidden="false" customHeight="false" outlineLevel="0" collapsed="false">
      <c r="A86" s="5" t="n">
        <f aca="false">ITEM_MASTER_CLEAN!A86</f>
        <v>85</v>
      </c>
      <c r="B86" s="5" t="n">
        <f aca="false">ITEM_MASTER_CLEAN!B86</f>
        <v>36828</v>
      </c>
      <c r="C86" s="5" t="str">
        <f aca="false">ITEM_MASTER_CLEAN!C86</f>
        <v>ICE CREAM PRALN/CRM 11440 11.4L</v>
      </c>
      <c r="D86" s="5" t="str">
        <f aca="false">ITEM_MASTER_CLEAN!D86</f>
        <v>CREME GLACEE DUR &amp; SORBETS 11.4L</v>
      </c>
      <c r="E86" s="11" t="n">
        <v>5</v>
      </c>
      <c r="F86" s="11" t="n">
        <v>3</v>
      </c>
      <c r="G86" s="5" t="str">
        <f aca="false">IFERROR(VLOOKUP(D86,SETTINGS!A20:B41,2,FALSE()),"Medium")</f>
        <v>Fast</v>
      </c>
      <c r="H86" s="5" t="n">
        <f aca="false">IFERROR(VLOOKUP(G86,SETTINGS!A14:C16,3,FALSE()),5)</f>
        <v>15</v>
      </c>
      <c r="I86" s="5" t="n">
        <f aca="false">IF(E86&gt;0,E86,H86)</f>
        <v>5</v>
      </c>
      <c r="J86" s="5" t="n">
        <f aca="false">IF(F86&gt;0,F86,H86)</f>
        <v>3</v>
      </c>
      <c r="K86" s="5" t="n">
        <f aca="false">I86/7</f>
        <v>0.714285714285714</v>
      </c>
      <c r="L86" s="5" t="n">
        <f aca="false">J86/7</f>
        <v>0.428571428571429</v>
      </c>
    </row>
    <row r="87" customFormat="false" ht="46.25" hidden="false" customHeight="false" outlineLevel="0" collapsed="false">
      <c r="A87" s="5" t="n">
        <f aca="false">ITEM_MASTER_CLEAN!A87</f>
        <v>86</v>
      </c>
      <c r="B87" s="5" t="n">
        <f aca="false">ITEM_MASTER_CLEAN!B87</f>
        <v>36837</v>
      </c>
      <c r="C87" s="5" t="str">
        <f aca="false">ITEM_MASTER_CLEAN!C87</f>
        <v>ICE CREAM RIBAMBL 3-COL 11429 11.4L</v>
      </c>
      <c r="D87" s="5" t="str">
        <f aca="false">ITEM_MASTER_CLEAN!D87</f>
        <v>CREME GLACEE DUR &amp; SORBETS 11.4L</v>
      </c>
      <c r="E87" s="11" t="n">
        <v>2</v>
      </c>
      <c r="F87" s="11" t="n">
        <v>2</v>
      </c>
      <c r="G87" s="5" t="str">
        <f aca="false">IFERROR(VLOOKUP(D87,SETTINGS!A20:B41,2,FALSE()),"Medium")</f>
        <v>Fast</v>
      </c>
      <c r="H87" s="5" t="n">
        <f aca="false">IFERROR(VLOOKUP(G87,SETTINGS!A14:C16,3,FALSE()),5)</f>
        <v>15</v>
      </c>
      <c r="I87" s="5" t="n">
        <f aca="false">IF(E87&gt;0,E87,H87)</f>
        <v>2</v>
      </c>
      <c r="J87" s="5" t="n">
        <f aca="false">IF(F87&gt;0,F87,H87)</f>
        <v>2</v>
      </c>
      <c r="K87" s="5" t="n">
        <f aca="false">I87/7</f>
        <v>0.285714285714286</v>
      </c>
      <c r="L87" s="5" t="n">
        <f aca="false">J87/7</f>
        <v>0.285714285714286</v>
      </c>
    </row>
    <row r="88" customFormat="false" ht="46.25" hidden="false" customHeight="false" outlineLevel="0" collapsed="false">
      <c r="A88" s="5" t="n">
        <f aca="false">ITEM_MASTER_CLEAN!A88</f>
        <v>87</v>
      </c>
      <c r="B88" s="5" t="n">
        <f aca="false">ITEM_MASTER_CLEAN!B88</f>
        <v>36835</v>
      </c>
      <c r="C88" s="5" t="str">
        <f aca="false">ITEM_MASTER_CLEAN!C88</f>
        <v>ICE CREAM MAPLE TAFFY 11426 11.4L</v>
      </c>
      <c r="D88" s="5" t="str">
        <f aca="false">ITEM_MASTER_CLEAN!D88</f>
        <v>CREME GLACEE DUR &amp; SORBETS 11.4L</v>
      </c>
      <c r="E88" s="11" t="n">
        <v>4</v>
      </c>
      <c r="F88" s="11" t="n">
        <v>1</v>
      </c>
      <c r="G88" s="5" t="str">
        <f aca="false">IFERROR(VLOOKUP(D88,SETTINGS!A20:B41,2,FALSE()),"Medium")</f>
        <v>Fast</v>
      </c>
      <c r="H88" s="5" t="n">
        <f aca="false">IFERROR(VLOOKUP(G88,SETTINGS!A14:C16,3,FALSE()),5)</f>
        <v>15</v>
      </c>
      <c r="I88" s="5" t="n">
        <f aca="false">IF(E88&gt;0,E88,H88)</f>
        <v>4</v>
      </c>
      <c r="J88" s="5" t="n">
        <f aca="false">IF(F88&gt;0,F88,H88)</f>
        <v>1</v>
      </c>
      <c r="K88" s="5" t="n">
        <f aca="false">I88/7</f>
        <v>0.571428571428571</v>
      </c>
      <c r="L88" s="5" t="n">
        <f aca="false">J88/7</f>
        <v>0.142857142857143</v>
      </c>
    </row>
    <row r="89" customFormat="false" ht="46.25" hidden="false" customHeight="false" outlineLevel="0" collapsed="false">
      <c r="A89" s="5" t="n">
        <f aca="false">ITEM_MASTER_CLEAN!A89</f>
        <v>88</v>
      </c>
      <c r="B89" s="5" t="n">
        <f aca="false">ITEM_MASTER_CLEAN!B89</f>
        <v>36831</v>
      </c>
      <c r="C89" s="5" t="str">
        <f aca="false">ITEM_MASTER_CLEAN!C89</f>
        <v>ICE CREAM VANILLA 11401 11.4L</v>
      </c>
      <c r="D89" s="5" t="str">
        <f aca="false">ITEM_MASTER_CLEAN!D89</f>
        <v>CREME GLACEE DUR &amp; SORBETS 11.4L</v>
      </c>
      <c r="E89" s="11" t="n">
        <v>8</v>
      </c>
      <c r="F89" s="11" t="n">
        <v>4</v>
      </c>
      <c r="G89" s="5" t="str">
        <f aca="false">IFERROR(VLOOKUP(D89,SETTINGS!A20:B41,2,FALSE()),"Medium")</f>
        <v>Fast</v>
      </c>
      <c r="H89" s="5" t="n">
        <f aca="false">IFERROR(VLOOKUP(G89,SETTINGS!A14:C16,3,FALSE()),5)</f>
        <v>15</v>
      </c>
      <c r="I89" s="5" t="n">
        <f aca="false">IF(E89&gt;0,E89,H89)</f>
        <v>8</v>
      </c>
      <c r="J89" s="5" t="n">
        <f aca="false">IF(F89&gt;0,F89,H89)</f>
        <v>4</v>
      </c>
      <c r="K89" s="5" t="n">
        <f aca="false">I89/7</f>
        <v>1.14285714285714</v>
      </c>
      <c r="L89" s="5" t="n">
        <f aca="false">J89/7</f>
        <v>0.571428571428571</v>
      </c>
    </row>
    <row r="90" customFormat="false" ht="46.25" hidden="false" customHeight="false" outlineLevel="0" collapsed="false">
      <c r="A90" s="5" t="n">
        <f aca="false">ITEM_MASTER_CLEAN!A90</f>
        <v>89</v>
      </c>
      <c r="B90" s="5" t="n">
        <f aca="false">ITEM_MASTER_CLEAN!B90</f>
        <v>15425</v>
      </c>
      <c r="C90" s="5" t="str">
        <f aca="false">ITEM_MASTER_CLEAN!C90</f>
        <v>ICE CRM COOKIE DGH/CHOC FUDGE 11.4L</v>
      </c>
      <c r="D90" s="5" t="str">
        <f aca="false">ITEM_MASTER_CLEAN!D90</f>
        <v>CREME GLACEE DUR &amp; SORBETS 11.4L</v>
      </c>
      <c r="E90" s="11" t="n">
        <v>5</v>
      </c>
      <c r="F90" s="11" t="n">
        <v>1</v>
      </c>
      <c r="G90" s="5" t="str">
        <f aca="false">IFERROR(VLOOKUP(D90,SETTINGS!A20:B41,2,FALSE()),"Medium")</f>
        <v>Fast</v>
      </c>
      <c r="H90" s="5" t="n">
        <f aca="false">IFERROR(VLOOKUP(G90,SETTINGS!A14:C16,3,FALSE()),5)</f>
        <v>15</v>
      </c>
      <c r="I90" s="5" t="n">
        <f aca="false">IF(E90&gt;0,E90,H90)</f>
        <v>5</v>
      </c>
      <c r="J90" s="5" t="n">
        <f aca="false">IF(F90&gt;0,F90,H90)</f>
        <v>1</v>
      </c>
      <c r="K90" s="5" t="n">
        <f aca="false">I90/7</f>
        <v>0.714285714285714</v>
      </c>
      <c r="L90" s="5" t="n">
        <f aca="false">J90/7</f>
        <v>0.142857142857143</v>
      </c>
    </row>
    <row r="91" customFormat="false" ht="46.25" hidden="false" customHeight="false" outlineLevel="0" collapsed="false">
      <c r="A91" s="5" t="n">
        <f aca="false">ITEM_MASTER_CLEAN!A91</f>
        <v>90</v>
      </c>
      <c r="B91" s="5" t="n">
        <f aca="false">ITEM_MASTER_CLEAN!B91</f>
        <v>15424</v>
      </c>
      <c r="C91" s="5" t="str">
        <f aca="false">ITEM_MASTER_CLEAN!C91</f>
        <v>ICE CREAM MINT CHOC CHIP  11.4L</v>
      </c>
      <c r="D91" s="5" t="str">
        <f aca="false">ITEM_MASTER_CLEAN!D91</f>
        <v>CREME GLACEE DUR &amp; SORBETS 11.4L</v>
      </c>
      <c r="E91" s="11" t="n">
        <v>2</v>
      </c>
      <c r="F91" s="11" t="n">
        <v>4</v>
      </c>
      <c r="G91" s="5" t="str">
        <f aca="false">IFERROR(VLOOKUP(D91,SETTINGS!A20:B41,2,FALSE()),"Medium")</f>
        <v>Fast</v>
      </c>
      <c r="H91" s="5" t="n">
        <f aca="false">IFERROR(VLOOKUP(G91,SETTINGS!A14:C16,3,FALSE()),5)</f>
        <v>15</v>
      </c>
      <c r="I91" s="5" t="n">
        <f aca="false">IF(E91&gt;0,E91,H91)</f>
        <v>2</v>
      </c>
      <c r="J91" s="5" t="n">
        <f aca="false">IF(F91&gt;0,F91,H91)</f>
        <v>4</v>
      </c>
      <c r="K91" s="5" t="n">
        <f aca="false">I91/7</f>
        <v>0.285714285714286</v>
      </c>
      <c r="L91" s="5" t="n">
        <f aca="false">J91/7</f>
        <v>0.571428571428571</v>
      </c>
    </row>
    <row r="92" customFormat="false" ht="46.25" hidden="false" customHeight="false" outlineLevel="0" collapsed="false">
      <c r="A92" s="5" t="n">
        <f aca="false">ITEM_MASTER_CLEAN!A92</f>
        <v>91</v>
      </c>
      <c r="B92" s="5" t="n">
        <f aca="false">ITEM_MASTER_CLEAN!B92</f>
        <v>36884</v>
      </c>
      <c r="C92" s="5" t="str">
        <f aca="false">ITEM_MASTER_CLEAN!C92</f>
        <v>ICE CRM CHOC/CHERRY/AMARETTO 11.4L</v>
      </c>
      <c r="D92" s="5" t="str">
        <f aca="false">ITEM_MASTER_CLEAN!D92</f>
        <v>CREME GLACEE DUR &amp; SORBETS 11.4L</v>
      </c>
      <c r="E92" s="11" t="n">
        <v>3</v>
      </c>
      <c r="F92" s="11" t="n">
        <v>3</v>
      </c>
      <c r="G92" s="5" t="str">
        <f aca="false">IFERROR(VLOOKUP(D92,SETTINGS!A20:B41,2,FALSE()),"Medium")</f>
        <v>Fast</v>
      </c>
      <c r="H92" s="5" t="n">
        <f aca="false">IFERROR(VLOOKUP(G92,SETTINGS!A14:C16,3,FALSE()),5)</f>
        <v>15</v>
      </c>
      <c r="I92" s="5" t="n">
        <f aca="false">IF(E92&gt;0,E92,H92)</f>
        <v>3</v>
      </c>
      <c r="J92" s="5" t="n">
        <f aca="false">IF(F92&gt;0,F92,H92)</f>
        <v>3</v>
      </c>
      <c r="K92" s="5" t="n">
        <f aca="false">I92/7</f>
        <v>0.428571428571429</v>
      </c>
      <c r="L92" s="5" t="n">
        <f aca="false">J92/7</f>
        <v>0.428571428571429</v>
      </c>
    </row>
    <row r="93" customFormat="false" ht="46.25" hidden="false" customHeight="false" outlineLevel="0" collapsed="false">
      <c r="A93" s="5" t="n">
        <f aca="false">ITEM_MASTER_CLEAN!A93</f>
        <v>92</v>
      </c>
      <c r="B93" s="5" t="n">
        <f aca="false">ITEM_MASTER_CLEAN!B93</f>
        <v>15426</v>
      </c>
      <c r="C93" s="5" t="str">
        <f aca="false">ITEM_MASTER_CLEAN!C93</f>
        <v>ICE CRM DBL STRAWBERRY 11407 11.4L</v>
      </c>
      <c r="D93" s="5" t="str">
        <f aca="false">ITEM_MASTER_CLEAN!D93</f>
        <v>CREME GLACEE DUR &amp; SORBETS 11.4L</v>
      </c>
      <c r="E93" s="11" t="n">
        <v>6</v>
      </c>
      <c r="F93" s="11" t="n">
        <v>1</v>
      </c>
      <c r="G93" s="5" t="str">
        <f aca="false">IFERROR(VLOOKUP(D93,SETTINGS!A20:B41,2,FALSE()),"Medium")</f>
        <v>Fast</v>
      </c>
      <c r="H93" s="5" t="n">
        <f aca="false">IFERROR(VLOOKUP(G93,SETTINGS!A14:C16,3,FALSE()),5)</f>
        <v>15</v>
      </c>
      <c r="I93" s="5" t="n">
        <f aca="false">IF(E93&gt;0,E93,H93)</f>
        <v>6</v>
      </c>
      <c r="J93" s="5" t="n">
        <f aca="false">IF(F93&gt;0,F93,H93)</f>
        <v>1</v>
      </c>
      <c r="K93" s="5" t="n">
        <f aca="false">I93/7</f>
        <v>0.857142857142857</v>
      </c>
      <c r="L93" s="5" t="n">
        <f aca="false">J93/7</f>
        <v>0.142857142857143</v>
      </c>
    </row>
    <row r="94" customFormat="false" ht="46.25" hidden="false" customHeight="false" outlineLevel="0" collapsed="false">
      <c r="A94" s="5" t="n">
        <f aca="false">ITEM_MASTER_CLEAN!A94</f>
        <v>93</v>
      </c>
      <c r="B94" s="5" t="n">
        <f aca="false">ITEM_MASTER_CLEAN!B94</f>
        <v>36846</v>
      </c>
      <c r="C94" s="5" t="str">
        <f aca="false">ITEM_MASTER_CLEAN!C94</f>
        <v>ICE CRM SALTED CARAMEL 11445 11.4L</v>
      </c>
      <c r="D94" s="5" t="str">
        <f aca="false">ITEM_MASTER_CLEAN!D94</f>
        <v>CREME GLACEE DUR &amp; SORBETS 11.4L</v>
      </c>
      <c r="E94" s="11" t="n">
        <v>3</v>
      </c>
      <c r="F94" s="11" t="n">
        <v>4</v>
      </c>
      <c r="G94" s="5" t="str">
        <f aca="false">IFERROR(VLOOKUP(D94,SETTINGS!A20:B41,2,FALSE()),"Medium")</f>
        <v>Fast</v>
      </c>
      <c r="H94" s="5" t="n">
        <f aca="false">IFERROR(VLOOKUP(G94,SETTINGS!A14:C16,3,FALSE()),5)</f>
        <v>15</v>
      </c>
      <c r="I94" s="5" t="n">
        <f aca="false">IF(E94&gt;0,E94,H94)</f>
        <v>3</v>
      </c>
      <c r="J94" s="5" t="n">
        <f aca="false">IF(F94&gt;0,F94,H94)</f>
        <v>4</v>
      </c>
      <c r="K94" s="5" t="n">
        <f aca="false">I94/7</f>
        <v>0.428571428571429</v>
      </c>
      <c r="L94" s="5" t="n">
        <f aca="false">J94/7</f>
        <v>0.571428571428571</v>
      </c>
    </row>
    <row r="95" customFormat="false" ht="46.25" hidden="false" customHeight="false" outlineLevel="0" collapsed="false">
      <c r="A95" s="5" t="n">
        <f aca="false">ITEM_MASTER_CLEAN!A95</f>
        <v>94</v>
      </c>
      <c r="B95" s="5" t="n">
        <f aca="false">ITEM_MASTER_CLEAN!B95</f>
        <v>15423</v>
      </c>
      <c r="C95" s="5" t="str">
        <f aca="false">ITEM_MASTER_CLEAN!C95</f>
        <v>ICE CREAM PISTACHIO 11416 11.4L</v>
      </c>
      <c r="D95" s="5" t="str">
        <f aca="false">ITEM_MASTER_CLEAN!D95</f>
        <v>CREME GLACEE DUR &amp; SORBETS 11.4L</v>
      </c>
      <c r="E95" s="11" t="n">
        <v>5</v>
      </c>
      <c r="F95" s="11" t="n">
        <v>2</v>
      </c>
      <c r="G95" s="5" t="str">
        <f aca="false">IFERROR(VLOOKUP(D95,SETTINGS!A20:B41,2,FALSE()),"Medium")</f>
        <v>Fast</v>
      </c>
      <c r="H95" s="5" t="n">
        <f aca="false">IFERROR(VLOOKUP(G95,SETTINGS!A14:C16,3,FALSE()),5)</f>
        <v>15</v>
      </c>
      <c r="I95" s="5" t="n">
        <f aca="false">IF(E95&gt;0,E95,H95)</f>
        <v>5</v>
      </c>
      <c r="J95" s="5" t="n">
        <f aca="false">IF(F95&gt;0,F95,H95)</f>
        <v>2</v>
      </c>
      <c r="K95" s="5" t="n">
        <f aca="false">I95/7</f>
        <v>0.714285714285714</v>
      </c>
      <c r="L95" s="5" t="n">
        <f aca="false">J95/7</f>
        <v>0.285714285714286</v>
      </c>
    </row>
    <row r="96" customFormat="false" ht="46.25" hidden="false" customHeight="false" outlineLevel="0" collapsed="false">
      <c r="A96" s="5" t="n">
        <f aca="false">ITEM_MASTER_CLEAN!A96</f>
        <v>95</v>
      </c>
      <c r="B96" s="5" t="n">
        <f aca="false">ITEM_MASTER_CLEAN!B96</f>
        <v>36824</v>
      </c>
      <c r="C96" s="5" t="str">
        <f aca="false">ITEM_MASTER_CLEAN!C96</f>
        <v>LC ICE CRM PCN/CARAM/FDG11435 11.4L</v>
      </c>
      <c r="D96" s="5" t="str">
        <f aca="false">ITEM_MASTER_CLEAN!D96</f>
        <v>CREME GLACEE DUR &amp; SORBETS 11.4L</v>
      </c>
      <c r="E96" s="11" t="n">
        <v>5</v>
      </c>
      <c r="F96" s="11" t="n">
        <v>3</v>
      </c>
      <c r="G96" s="5" t="str">
        <f aca="false">IFERROR(VLOOKUP(D96,SETTINGS!A20:B41,2,FALSE()),"Medium")</f>
        <v>Fast</v>
      </c>
      <c r="H96" s="5" t="n">
        <f aca="false">IFERROR(VLOOKUP(G96,SETTINGS!A14:C16,3,FALSE()),5)</f>
        <v>15</v>
      </c>
      <c r="I96" s="5" t="n">
        <f aca="false">IF(E96&gt;0,E96,H96)</f>
        <v>5</v>
      </c>
      <c r="J96" s="5" t="n">
        <f aca="false">IF(F96&gt;0,F96,H96)</f>
        <v>3</v>
      </c>
      <c r="K96" s="5" t="n">
        <f aca="false">I96/7</f>
        <v>0.714285714285714</v>
      </c>
      <c r="L96" s="5" t="n">
        <f aca="false">J96/7</f>
        <v>0.428571428571429</v>
      </c>
    </row>
    <row r="97" customFormat="false" ht="46.25" hidden="false" customHeight="false" outlineLevel="0" collapsed="false">
      <c r="A97" s="5" t="n">
        <f aca="false">ITEM_MASTER_CLEAN!A97</f>
        <v>96</v>
      </c>
      <c r="B97" s="5" t="n">
        <f aca="false">ITEM_MASTER_CLEAN!B97</f>
        <v>36833</v>
      </c>
      <c r="C97" s="5" t="str">
        <f aca="false">ITEM_MASTER_CLEAN!C97</f>
        <v>ICE CREAM BUBBLE GUM 11413 11.4L</v>
      </c>
      <c r="D97" s="5" t="str">
        <f aca="false">ITEM_MASTER_CLEAN!D97</f>
        <v>CREME GLACEE DUR &amp; SORBETS 11.4L</v>
      </c>
      <c r="E97" s="11" t="n">
        <v>5</v>
      </c>
      <c r="F97" s="11" t="n">
        <v>2</v>
      </c>
      <c r="G97" s="5" t="str">
        <f aca="false">IFERROR(VLOOKUP(D97,SETTINGS!A20:B41,2,FALSE()),"Medium")</f>
        <v>Fast</v>
      </c>
      <c r="H97" s="5" t="n">
        <f aca="false">IFERROR(VLOOKUP(G97,SETTINGS!A14:C16,3,FALSE()),5)</f>
        <v>15</v>
      </c>
      <c r="I97" s="5" t="n">
        <f aca="false">IF(E97&gt;0,E97,H97)</f>
        <v>5</v>
      </c>
      <c r="J97" s="5" t="n">
        <f aca="false">IF(F97&gt;0,F97,H97)</f>
        <v>2</v>
      </c>
      <c r="K97" s="5" t="n">
        <f aca="false">I97/7</f>
        <v>0.714285714285714</v>
      </c>
      <c r="L97" s="5" t="n">
        <f aca="false">J97/7</f>
        <v>0.285714285714286</v>
      </c>
    </row>
    <row r="98" customFormat="false" ht="46.25" hidden="false" customHeight="false" outlineLevel="0" collapsed="false">
      <c r="A98" s="5" t="n">
        <f aca="false">ITEM_MASTER_CLEAN!A98</f>
        <v>97</v>
      </c>
      <c r="B98" s="5" t="n">
        <f aca="false">ITEM_MASTER_CLEAN!B98</f>
        <v>32183</v>
      </c>
      <c r="C98" s="5" t="str">
        <f aca="false">ITEM_MASTER_CLEAN!C98</f>
        <v>ICE CREAM MANGO 851 11.4L</v>
      </c>
      <c r="D98" s="5" t="str">
        <f aca="false">ITEM_MASTER_CLEAN!D98</f>
        <v>CREME GLACEE DUR &amp; SORBETS 11.4L</v>
      </c>
      <c r="E98" s="11" t="n">
        <v>3</v>
      </c>
      <c r="F98" s="11" t="n">
        <v>2</v>
      </c>
      <c r="G98" s="5" t="str">
        <f aca="false">IFERROR(VLOOKUP(D98,SETTINGS!A20:B41,2,FALSE()),"Medium")</f>
        <v>Fast</v>
      </c>
      <c r="H98" s="5" t="n">
        <f aca="false">IFERROR(VLOOKUP(G98,SETTINGS!A14:C16,3,FALSE()),5)</f>
        <v>15</v>
      </c>
      <c r="I98" s="5" t="n">
        <f aca="false">IF(E98&gt;0,E98,H98)</f>
        <v>3</v>
      </c>
      <c r="J98" s="5" t="n">
        <f aca="false">IF(F98&gt;0,F98,H98)</f>
        <v>2</v>
      </c>
      <c r="K98" s="5" t="n">
        <f aca="false">I98/7</f>
        <v>0.428571428571429</v>
      </c>
      <c r="L98" s="5" t="n">
        <f aca="false">J98/7</f>
        <v>0.285714285714286</v>
      </c>
    </row>
    <row r="99" customFormat="false" ht="46.25" hidden="false" customHeight="false" outlineLevel="0" collapsed="false">
      <c r="A99" s="5" t="n">
        <f aca="false">ITEM_MASTER_CLEAN!A99</f>
        <v>98</v>
      </c>
      <c r="B99" s="5" t="n">
        <f aca="false">ITEM_MASTER_CLEAN!B99</f>
        <v>15427</v>
      </c>
      <c r="C99" s="5" t="str">
        <f aca="false">ITEM_MASTER_CLEAN!C99</f>
        <v>ICE CREAM RHUM&amp;RAISIN 11.4L</v>
      </c>
      <c r="D99" s="5" t="str">
        <f aca="false">ITEM_MASTER_CLEAN!D99</f>
        <v>CREME GLACEE DUR &amp; SORBETS 11.4L</v>
      </c>
      <c r="E99" s="11" t="n">
        <v>5</v>
      </c>
      <c r="F99" s="11" t="n">
        <v>2</v>
      </c>
      <c r="G99" s="5" t="str">
        <f aca="false">IFERROR(VLOOKUP(D99,SETTINGS!A20:B41,2,FALSE()),"Medium")</f>
        <v>Fast</v>
      </c>
      <c r="H99" s="5" t="n">
        <f aca="false">IFERROR(VLOOKUP(G99,SETTINGS!A14:C16,3,FALSE()),5)</f>
        <v>15</v>
      </c>
      <c r="I99" s="5" t="n">
        <f aca="false">IF(E99&gt;0,E99,H99)</f>
        <v>5</v>
      </c>
      <c r="J99" s="5" t="n">
        <f aca="false">IF(F99&gt;0,F99,H99)</f>
        <v>2</v>
      </c>
      <c r="K99" s="5" t="n">
        <f aca="false">I99/7</f>
        <v>0.714285714285714</v>
      </c>
      <c r="L99" s="5" t="n">
        <f aca="false">J99/7</f>
        <v>0.285714285714286</v>
      </c>
    </row>
    <row r="100" customFormat="false" ht="46.25" hidden="false" customHeight="false" outlineLevel="0" collapsed="false">
      <c r="A100" s="5" t="n">
        <f aca="false">ITEM_MASTER_CLEAN!A100</f>
        <v>99</v>
      </c>
      <c r="B100" s="5" t="n">
        <f aca="false">ITEM_MASTER_CLEAN!B100</f>
        <v>15429</v>
      </c>
      <c r="C100" s="5" t="str">
        <f aca="false">ITEM_MASTER_CLEAN!C100</f>
        <v>ICE CREAM CHERRY CHEESECAKE 11.4L</v>
      </c>
      <c r="D100" s="5" t="str">
        <f aca="false">ITEM_MASTER_CLEAN!D100</f>
        <v>CREME GLACEE DUR &amp; SORBETS 11.4L</v>
      </c>
      <c r="E100" s="11" t="n">
        <v>5</v>
      </c>
      <c r="F100" s="11" t="n">
        <v>1</v>
      </c>
      <c r="G100" s="5" t="str">
        <f aca="false">IFERROR(VLOOKUP(D100,SETTINGS!A20:B41,2,FALSE()),"Medium")</f>
        <v>Fast</v>
      </c>
      <c r="H100" s="5" t="n">
        <f aca="false">IFERROR(VLOOKUP(G100,SETTINGS!A14:C16,3,FALSE()),5)</f>
        <v>15</v>
      </c>
      <c r="I100" s="5" t="n">
        <f aca="false">IF(E100&gt;0,E100,H100)</f>
        <v>5</v>
      </c>
      <c r="J100" s="5" t="n">
        <f aca="false">IF(F100&gt;0,F100,H100)</f>
        <v>1</v>
      </c>
      <c r="K100" s="5" t="n">
        <f aca="false">I100/7</f>
        <v>0.714285714285714</v>
      </c>
      <c r="L100" s="5" t="n">
        <f aca="false">J100/7</f>
        <v>0.142857142857143</v>
      </c>
    </row>
    <row r="101" customFormat="false" ht="46.25" hidden="false" customHeight="false" outlineLevel="0" collapsed="false">
      <c r="A101" s="5" t="n">
        <f aca="false">ITEM_MASTER_CLEAN!A101</f>
        <v>100</v>
      </c>
      <c r="B101" s="5" t="n">
        <f aca="false">ITEM_MASTER_CLEAN!B101</f>
        <v>32180</v>
      </c>
      <c r="C101" s="5" t="str">
        <f aca="false">ITEM_MASTER_CLEAN!C101</f>
        <v>SORBET LEMON LIME 152 11.4L</v>
      </c>
      <c r="D101" s="5" t="str">
        <f aca="false">ITEM_MASTER_CLEAN!D101</f>
        <v>CREME GLACEE DUR &amp; SORBETS 11.4L</v>
      </c>
      <c r="E101" s="11" t="n">
        <v>2</v>
      </c>
      <c r="F101" s="11" t="n">
        <v>2</v>
      </c>
      <c r="G101" s="5" t="str">
        <f aca="false">IFERROR(VLOOKUP(D101,SETTINGS!A20:B41,2,FALSE()),"Medium")</f>
        <v>Fast</v>
      </c>
      <c r="H101" s="5" t="n">
        <f aca="false">IFERROR(VLOOKUP(G101,SETTINGS!A14:C16,3,FALSE()),5)</f>
        <v>15</v>
      </c>
      <c r="I101" s="5" t="n">
        <f aca="false">IF(E101&gt;0,E101,H101)</f>
        <v>2</v>
      </c>
      <c r="J101" s="5" t="n">
        <f aca="false">IF(F101&gt;0,F101,H101)</f>
        <v>2</v>
      </c>
      <c r="K101" s="5" t="n">
        <f aca="false">I101/7</f>
        <v>0.285714285714286</v>
      </c>
      <c r="L101" s="5" t="n">
        <f aca="false">J101/7</f>
        <v>0.285714285714286</v>
      </c>
    </row>
    <row r="102" customFormat="false" ht="46.25" hidden="false" customHeight="false" outlineLevel="0" collapsed="false">
      <c r="A102" s="5" t="n">
        <f aca="false">ITEM_MASTER_CLEAN!A102</f>
        <v>101</v>
      </c>
      <c r="B102" s="5" t="n">
        <f aca="false">ITEM_MASTER_CLEAN!B102</f>
        <v>32181</v>
      </c>
      <c r="C102" s="5" t="str">
        <f aca="false">ITEM_MASTER_CLEAN!C102</f>
        <v>SORBET STRAWBERRY 162 11.4L</v>
      </c>
      <c r="D102" s="5" t="str">
        <f aca="false">ITEM_MASTER_CLEAN!D102</f>
        <v>CREME GLACEE DUR &amp; SORBETS 11.4L</v>
      </c>
      <c r="E102" s="11" t="n">
        <v>3</v>
      </c>
      <c r="F102" s="11" t="n">
        <v>1</v>
      </c>
      <c r="G102" s="5" t="str">
        <f aca="false">IFERROR(VLOOKUP(D102,SETTINGS!A20:B41,2,FALSE()),"Medium")</f>
        <v>Fast</v>
      </c>
      <c r="H102" s="5" t="n">
        <f aca="false">IFERROR(VLOOKUP(G102,SETTINGS!A14:C16,3,FALSE()),5)</f>
        <v>15</v>
      </c>
      <c r="I102" s="5" t="n">
        <f aca="false">IF(E102&gt;0,E102,H102)</f>
        <v>3</v>
      </c>
      <c r="J102" s="5" t="n">
        <f aca="false">IF(F102&gt;0,F102,H102)</f>
        <v>1</v>
      </c>
      <c r="K102" s="5" t="n">
        <f aca="false">I102/7</f>
        <v>0.428571428571429</v>
      </c>
      <c r="L102" s="5" t="n">
        <f aca="false">J102/7</f>
        <v>0.142857142857143</v>
      </c>
    </row>
    <row r="103" customFormat="false" ht="46.25" hidden="false" customHeight="false" outlineLevel="0" collapsed="false">
      <c r="A103" s="5" t="n">
        <f aca="false">ITEM_MASTER_CLEAN!A103</f>
        <v>102</v>
      </c>
      <c r="B103" s="5" t="n">
        <f aca="false">ITEM_MASTER_CLEAN!B103</f>
        <v>32182</v>
      </c>
      <c r="C103" s="5" t="str">
        <f aca="false">ITEM_MASTER_CLEAN!C103</f>
        <v>SHERBERT WATERMELON 860 11.4L</v>
      </c>
      <c r="D103" s="5" t="str">
        <f aca="false">ITEM_MASTER_CLEAN!D103</f>
        <v>CREME GLACEE DUR &amp; SORBETS 11.4L</v>
      </c>
      <c r="E103" s="11" t="n">
        <v>1</v>
      </c>
      <c r="F103" s="11" t="n">
        <v>2</v>
      </c>
      <c r="G103" s="5" t="str">
        <f aca="false">IFERROR(VLOOKUP(D103,SETTINGS!A20:B41,2,FALSE()),"Medium")</f>
        <v>Fast</v>
      </c>
      <c r="H103" s="5" t="n">
        <f aca="false">IFERROR(VLOOKUP(G103,SETTINGS!A14:C16,3,FALSE()),5)</f>
        <v>15</v>
      </c>
      <c r="I103" s="5" t="n">
        <f aca="false">IF(E103&gt;0,E103,H103)</f>
        <v>1</v>
      </c>
      <c r="J103" s="5" t="n">
        <f aca="false">IF(F103&gt;0,F103,H103)</f>
        <v>2</v>
      </c>
      <c r="K103" s="5" t="n">
        <f aca="false">I103/7</f>
        <v>0.142857142857143</v>
      </c>
      <c r="L103" s="5" t="n">
        <f aca="false">J103/7</f>
        <v>0.285714285714286</v>
      </c>
    </row>
    <row r="104" customFormat="false" ht="46.25" hidden="false" customHeight="false" outlineLevel="0" collapsed="false">
      <c r="A104" s="5" t="n">
        <f aca="false">ITEM_MASTER_CLEAN!A104</f>
        <v>103</v>
      </c>
      <c r="B104" s="5" t="n">
        <f aca="false">ITEM_MASTER_CLEAN!B104</f>
        <v>32184</v>
      </c>
      <c r="C104" s="5" t="str">
        <f aca="false">ITEM_MASTER_CLEAN!C104</f>
        <v>SORBET PEACH 11.4L</v>
      </c>
      <c r="D104" s="5" t="str">
        <f aca="false">ITEM_MASTER_CLEAN!D104</f>
        <v>CREME GLACEE DUR &amp; SORBETS 11.4L</v>
      </c>
      <c r="E104" s="11" t="n">
        <v>3</v>
      </c>
      <c r="F104" s="11" t="n">
        <v>1</v>
      </c>
      <c r="G104" s="5" t="str">
        <f aca="false">IFERROR(VLOOKUP(D104,SETTINGS!A20:B41,2,FALSE()),"Medium")</f>
        <v>Fast</v>
      </c>
      <c r="H104" s="5" t="n">
        <f aca="false">IFERROR(VLOOKUP(G104,SETTINGS!A14:C16,3,FALSE()),5)</f>
        <v>15</v>
      </c>
      <c r="I104" s="5" t="n">
        <f aca="false">IF(E104&gt;0,E104,H104)</f>
        <v>3</v>
      </c>
      <c r="J104" s="5" t="n">
        <f aca="false">IF(F104&gt;0,F104,H104)</f>
        <v>1</v>
      </c>
      <c r="K104" s="5" t="n">
        <f aca="false">I104/7</f>
        <v>0.428571428571429</v>
      </c>
      <c r="L104" s="5" t="n">
        <f aca="false">J104/7</f>
        <v>0.142857142857143</v>
      </c>
    </row>
    <row r="105" customFormat="false" ht="35.05" hidden="false" customHeight="false" outlineLevel="0" collapsed="false">
      <c r="A105" s="5" t="n">
        <f aca="false">ITEM_MASTER_CLEAN!A105</f>
        <v>104</v>
      </c>
      <c r="B105" s="5" t="n">
        <f aca="false">ITEM_MASTER_CLEAN!B105</f>
        <v>32185</v>
      </c>
      <c r="C105" s="5" t="str">
        <f aca="false">ITEM_MASTER_CLEAN!C105</f>
        <v>MONSTER COOKIE ICE CRM BAR 8X4UN</v>
      </c>
      <c r="D105" s="5" t="str">
        <f aca="false">ITEM_MASTER_CLEAN!D105</f>
        <v>BARRES DESSERT NON-LATIERE</v>
      </c>
      <c r="E105" s="11" t="n">
        <v>1</v>
      </c>
      <c r="F105" s="11" t="n">
        <v>0</v>
      </c>
      <c r="G105" s="5" t="str">
        <f aca="false">IFERROR(VLOOKUP(D105,SETTINGS!A20:B41,2,FALSE()),"Medium")</f>
        <v>Slow</v>
      </c>
      <c r="H105" s="5" t="n">
        <f aca="false">IFERROR(VLOOKUP(G105,SETTINGS!A14:C16,3,FALSE()),5)</f>
        <v>3</v>
      </c>
      <c r="I105" s="5" t="n">
        <f aca="false">IF(E105&gt;0,E105,H105)</f>
        <v>1</v>
      </c>
      <c r="J105" s="5" t="n">
        <f aca="false">IF(F105&gt;0,F105,H105)</f>
        <v>3</v>
      </c>
      <c r="K105" s="5" t="n">
        <f aca="false">I105/7</f>
        <v>0.142857142857143</v>
      </c>
      <c r="L105" s="5" t="n">
        <f aca="false">J105/7</f>
        <v>0.428571428571429</v>
      </c>
    </row>
    <row r="106" customFormat="false" ht="35.05" hidden="false" customHeight="false" outlineLevel="0" collapsed="false">
      <c r="A106" s="5" t="n">
        <f aca="false">ITEM_MASTER_CLEAN!A106</f>
        <v>105</v>
      </c>
      <c r="B106" s="5" t="n">
        <f aca="false">ITEM_MASTER_CLEAN!B106</f>
        <v>37191</v>
      </c>
      <c r="C106" s="5" t="str">
        <f aca="false">ITEM_MASTER_CLEAN!C106</f>
        <v>BAR VEGAN CHOC SV20214 24UN</v>
      </c>
      <c r="D106" s="5" t="str">
        <f aca="false">ITEM_MASTER_CLEAN!D106</f>
        <v>BARRES DESSERT NON-LATIERE</v>
      </c>
      <c r="E106" s="11" t="n">
        <v>1</v>
      </c>
      <c r="F106" s="11" t="n">
        <v>0</v>
      </c>
      <c r="G106" s="5" t="str">
        <f aca="false">IFERROR(VLOOKUP(D106,SETTINGS!A20:B41,2,FALSE()),"Medium")</f>
        <v>Slow</v>
      </c>
      <c r="H106" s="5" t="n">
        <f aca="false">IFERROR(VLOOKUP(G106,SETTINGS!A14:C16,3,FALSE()),5)</f>
        <v>3</v>
      </c>
      <c r="I106" s="5" t="n">
        <f aca="false">IF(E106&gt;0,E106,H106)</f>
        <v>1</v>
      </c>
      <c r="J106" s="5" t="n">
        <f aca="false">IF(F106&gt;0,F106,H106)</f>
        <v>3</v>
      </c>
      <c r="K106" s="5" t="n">
        <f aca="false">I106/7</f>
        <v>0.142857142857143</v>
      </c>
      <c r="L106" s="5" t="n">
        <f aca="false">J106/7</f>
        <v>0.428571428571429</v>
      </c>
    </row>
    <row r="107" customFormat="false" ht="35.05" hidden="false" customHeight="false" outlineLevel="0" collapsed="false">
      <c r="A107" s="5" t="n">
        <f aca="false">ITEM_MASTER_CLEAN!A107</f>
        <v>106</v>
      </c>
      <c r="B107" s="5" t="n">
        <f aca="false">ITEM_MASTER_CLEAN!B107</f>
        <v>37190</v>
      </c>
      <c r="C107" s="5" t="str">
        <f aca="false">ITEM_MASTER_CLEAN!C107</f>
        <v>BAR VEGAN VANIL SV20114 24UN</v>
      </c>
      <c r="D107" s="5" t="str">
        <f aca="false">ITEM_MASTER_CLEAN!D107</f>
        <v>BARRES DESSERT NON-LATIERE</v>
      </c>
      <c r="E107" s="11" t="n">
        <v>2</v>
      </c>
      <c r="F107" s="11" t="n">
        <v>0</v>
      </c>
      <c r="G107" s="5" t="str">
        <f aca="false">IFERROR(VLOOKUP(D107,SETTINGS!A20:B41,2,FALSE()),"Medium")</f>
        <v>Slow</v>
      </c>
      <c r="H107" s="5" t="n">
        <f aca="false">IFERROR(VLOOKUP(G107,SETTINGS!A14:C16,3,FALSE()),5)</f>
        <v>3</v>
      </c>
      <c r="I107" s="5" t="n">
        <f aca="false">IF(E107&gt;0,E107,H107)</f>
        <v>2</v>
      </c>
      <c r="J107" s="5" t="n">
        <f aca="false">IF(F107&gt;0,F107,H107)</f>
        <v>3</v>
      </c>
      <c r="K107" s="5" t="n">
        <f aca="false">I107/7</f>
        <v>0.285714285714286</v>
      </c>
      <c r="L107" s="5" t="n">
        <f aca="false">J107/7</f>
        <v>0.428571428571429</v>
      </c>
    </row>
    <row r="108" customFormat="false" ht="23.85" hidden="false" customHeight="false" outlineLevel="0" collapsed="false">
      <c r="A108" s="5" t="n">
        <f aca="false">ITEM_MASTER_CLEAN!A108</f>
        <v>107</v>
      </c>
      <c r="B108" s="5" t="n">
        <f aca="false">ITEM_MASTER_CLEAN!B108</f>
        <v>12586</v>
      </c>
      <c r="C108" s="5" t="str">
        <f aca="false">ITEM_MASTER_CLEAN!C108</f>
        <v>MTY DIP 56% CHOCOLATE 6X1K</v>
      </c>
      <c r="D108" s="5" t="str">
        <f aca="false">ITEM_MASTER_CLEAN!D108</f>
        <v>DIPS / TREMPETTES</v>
      </c>
      <c r="E108" s="11" t="n">
        <v>6</v>
      </c>
      <c r="F108" s="11" t="n">
        <v>7</v>
      </c>
      <c r="G108" s="5" t="str">
        <f aca="false">IFERROR(VLOOKUP(D108,SETTINGS!A20:B41,2,FALSE()),"Medium")</f>
        <v>Fast</v>
      </c>
      <c r="H108" s="5" t="n">
        <f aca="false">IFERROR(VLOOKUP(G108,SETTINGS!A14:C16,3,FALSE()),5)</f>
        <v>15</v>
      </c>
      <c r="I108" s="5" t="n">
        <f aca="false">IF(E108&gt;0,E108,H108)</f>
        <v>6</v>
      </c>
      <c r="J108" s="5" t="n">
        <f aca="false">IF(F108&gt;0,F108,H108)</f>
        <v>7</v>
      </c>
      <c r="K108" s="5" t="n">
        <f aca="false">I108/7</f>
        <v>0.857142857142857</v>
      </c>
      <c r="L108" s="5" t="n">
        <f aca="false">J108/7</f>
        <v>1</v>
      </c>
    </row>
    <row r="109" customFormat="false" ht="23.85" hidden="false" customHeight="false" outlineLevel="0" collapsed="false">
      <c r="A109" s="5" t="n">
        <f aca="false">ITEM_MASTER_CLEAN!A109</f>
        <v>108</v>
      </c>
      <c r="B109" s="5" t="n">
        <f aca="false">ITEM_MASTER_CLEAN!B109</f>
        <v>12597</v>
      </c>
      <c r="C109" s="5" t="str">
        <f aca="false">ITEM_MASTER_CLEAN!C109</f>
        <v>MTY DIP 70% DARK CHOC 6X1K</v>
      </c>
      <c r="D109" s="5" t="str">
        <f aca="false">ITEM_MASTER_CLEAN!D109</f>
        <v>DIPS / TREMPETTES</v>
      </c>
      <c r="E109" s="11" t="n">
        <v>6</v>
      </c>
      <c r="F109" s="11" t="n">
        <v>3</v>
      </c>
      <c r="G109" s="5" t="str">
        <f aca="false">IFERROR(VLOOKUP(D109,SETTINGS!A20:B41,2,FALSE()),"Medium")</f>
        <v>Fast</v>
      </c>
      <c r="H109" s="5" t="n">
        <f aca="false">IFERROR(VLOOKUP(G109,SETTINGS!A14:C16,3,FALSE()),5)</f>
        <v>15</v>
      </c>
      <c r="I109" s="5" t="n">
        <f aca="false">IF(E109&gt;0,E109,H109)</f>
        <v>6</v>
      </c>
      <c r="J109" s="5" t="n">
        <f aca="false">IF(F109&gt;0,F109,H109)</f>
        <v>3</v>
      </c>
      <c r="K109" s="5" t="n">
        <f aca="false">I109/7</f>
        <v>0.857142857142857</v>
      </c>
      <c r="L109" s="5" t="n">
        <f aca="false">J109/7</f>
        <v>0.428571428571429</v>
      </c>
    </row>
    <row r="110" customFormat="false" ht="23.85" hidden="false" customHeight="false" outlineLevel="0" collapsed="false">
      <c r="A110" s="5" t="n">
        <f aca="false">ITEM_MASTER_CLEAN!A110</f>
        <v>109</v>
      </c>
      <c r="B110" s="5" t="n">
        <f aca="false">ITEM_MASTER_CLEAN!B110</f>
        <v>19646</v>
      </c>
      <c r="C110" s="5" t="str">
        <f aca="false">ITEM_MASTER_CLEAN!C110</f>
        <v>MTY DIP BANANA 6X1K</v>
      </c>
      <c r="D110" s="5" t="str">
        <f aca="false">ITEM_MASTER_CLEAN!D110</f>
        <v>DIPS / TREMPETTES</v>
      </c>
      <c r="E110" s="11" t="n">
        <v>8</v>
      </c>
      <c r="F110" s="11" t="n">
        <v>2</v>
      </c>
      <c r="G110" s="5" t="str">
        <f aca="false">IFERROR(VLOOKUP(D110,SETTINGS!A20:B41,2,FALSE()),"Medium")</f>
        <v>Fast</v>
      </c>
      <c r="H110" s="5" t="n">
        <f aca="false">IFERROR(VLOOKUP(G110,SETTINGS!A14:C16,3,FALSE()),5)</f>
        <v>15</v>
      </c>
      <c r="I110" s="5" t="n">
        <f aca="false">IF(E110&gt;0,E110,H110)</f>
        <v>8</v>
      </c>
      <c r="J110" s="5" t="n">
        <f aca="false">IF(F110&gt;0,F110,H110)</f>
        <v>2</v>
      </c>
      <c r="K110" s="5" t="n">
        <f aca="false">I110/7</f>
        <v>1.14285714285714</v>
      </c>
      <c r="L110" s="5" t="n">
        <f aca="false">J110/7</f>
        <v>0.285714285714286</v>
      </c>
    </row>
    <row r="111" customFormat="false" ht="23.85" hidden="false" customHeight="false" outlineLevel="0" collapsed="false">
      <c r="A111" s="5" t="n">
        <f aca="false">ITEM_MASTER_CLEAN!A111</f>
        <v>110</v>
      </c>
      <c r="B111" s="5" t="n">
        <f aca="false">ITEM_MASTER_CLEAN!B111</f>
        <v>19647</v>
      </c>
      <c r="C111" s="5" t="str">
        <f aca="false">ITEM_MASTER_CLEAN!C111</f>
        <v>MTY DIP PEANUT BUTTER 6X1K</v>
      </c>
      <c r="D111" s="5" t="str">
        <f aca="false">ITEM_MASTER_CLEAN!D111</f>
        <v>DIPS / TREMPETTES</v>
      </c>
      <c r="E111" s="11" t="n">
        <v>3</v>
      </c>
      <c r="F111" s="11" t="n">
        <v>4</v>
      </c>
      <c r="G111" s="5" t="str">
        <f aca="false">IFERROR(VLOOKUP(D111,SETTINGS!A20:B41,2,FALSE()),"Medium")</f>
        <v>Fast</v>
      </c>
      <c r="H111" s="5" t="n">
        <f aca="false">IFERROR(VLOOKUP(G111,SETTINGS!A14:C16,3,FALSE()),5)</f>
        <v>15</v>
      </c>
      <c r="I111" s="5" t="n">
        <f aca="false">IF(E111&gt;0,E111,H111)</f>
        <v>3</v>
      </c>
      <c r="J111" s="5" t="n">
        <f aca="false">IF(F111&gt;0,F111,H111)</f>
        <v>4</v>
      </c>
      <c r="K111" s="5" t="n">
        <f aca="false">I111/7</f>
        <v>0.428571428571429</v>
      </c>
      <c r="L111" s="5" t="n">
        <f aca="false">J111/7</f>
        <v>0.571428571428571</v>
      </c>
    </row>
    <row r="112" customFormat="false" ht="23.85" hidden="false" customHeight="false" outlineLevel="0" collapsed="false">
      <c r="A112" s="5" t="n">
        <f aca="false">ITEM_MASTER_CLEAN!A112</f>
        <v>111</v>
      </c>
      <c r="B112" s="5" t="n">
        <f aca="false">ITEM_MASTER_CLEAN!B112</f>
        <v>24809</v>
      </c>
      <c r="C112" s="5" t="str">
        <f aca="false">ITEM_MASTER_CLEAN!C112</f>
        <v>MTY DIP MAPLE 6X1K</v>
      </c>
      <c r="D112" s="5" t="str">
        <f aca="false">ITEM_MASTER_CLEAN!D112</f>
        <v>DIPS / TREMPETTES</v>
      </c>
      <c r="E112" s="11" t="n">
        <v>7</v>
      </c>
      <c r="F112" s="11" t="n">
        <v>4</v>
      </c>
      <c r="G112" s="5" t="str">
        <f aca="false">IFERROR(VLOOKUP(D112,SETTINGS!A20:B41,2,FALSE()),"Medium")</f>
        <v>Fast</v>
      </c>
      <c r="H112" s="5" t="n">
        <f aca="false">IFERROR(VLOOKUP(G112,SETTINGS!A14:C16,3,FALSE()),5)</f>
        <v>15</v>
      </c>
      <c r="I112" s="5" t="n">
        <f aca="false">IF(E112&gt;0,E112,H112)</f>
        <v>7</v>
      </c>
      <c r="J112" s="5" t="n">
        <f aca="false">IF(F112&gt;0,F112,H112)</f>
        <v>4</v>
      </c>
      <c r="K112" s="5" t="n">
        <f aca="false">I112/7</f>
        <v>1</v>
      </c>
      <c r="L112" s="5" t="n">
        <f aca="false">J112/7</f>
        <v>0.571428571428571</v>
      </c>
    </row>
    <row r="113" customFormat="false" ht="23.85" hidden="false" customHeight="false" outlineLevel="0" collapsed="false">
      <c r="A113" s="5" t="n">
        <f aca="false">ITEM_MASTER_CLEAN!A113</f>
        <v>112</v>
      </c>
      <c r="B113" s="5" t="n">
        <f aca="false">ITEM_MASTER_CLEAN!B113</f>
        <v>24805</v>
      </c>
      <c r="C113" s="5" t="str">
        <f aca="false">ITEM_MASTER_CLEAN!C113</f>
        <v>MTY DIP WHITE 6X1K</v>
      </c>
      <c r="D113" s="5" t="str">
        <f aca="false">ITEM_MASTER_CLEAN!D113</f>
        <v>DIPS / TREMPETTES</v>
      </c>
      <c r="E113" s="11" t="n">
        <v>5</v>
      </c>
      <c r="F113" s="11" t="n">
        <v>2</v>
      </c>
      <c r="G113" s="5" t="str">
        <f aca="false">IFERROR(VLOOKUP(D113,SETTINGS!A20:B41,2,FALSE()),"Medium")</f>
        <v>Fast</v>
      </c>
      <c r="H113" s="5" t="n">
        <f aca="false">IFERROR(VLOOKUP(G113,SETTINGS!A14:C16,3,FALSE()),5)</f>
        <v>15</v>
      </c>
      <c r="I113" s="5" t="n">
        <f aca="false">IF(E113&gt;0,E113,H113)</f>
        <v>5</v>
      </c>
      <c r="J113" s="5" t="n">
        <f aca="false">IF(F113&gt;0,F113,H113)</f>
        <v>2</v>
      </c>
      <c r="K113" s="5" t="n">
        <f aca="false">I113/7</f>
        <v>0.714285714285714</v>
      </c>
      <c r="L113" s="5" t="n">
        <f aca="false">J113/7</f>
        <v>0.285714285714286</v>
      </c>
    </row>
    <row r="114" customFormat="false" ht="23.85" hidden="false" customHeight="false" outlineLevel="0" collapsed="false">
      <c r="A114" s="5" t="n">
        <f aca="false">ITEM_MASTER_CLEAN!A114</f>
        <v>113</v>
      </c>
      <c r="B114" s="5" t="n">
        <f aca="false">ITEM_MASTER_CLEAN!B114</f>
        <v>19600</v>
      </c>
      <c r="C114" s="5" t="str">
        <f aca="false">ITEM_MASTER_CLEAN!C114</f>
        <v>MTY DIP CARAMEL ET SEL 6X1K</v>
      </c>
      <c r="D114" s="5" t="str">
        <f aca="false">ITEM_MASTER_CLEAN!D114</f>
        <v>DIPS / TREMPETTES</v>
      </c>
      <c r="E114" s="11" t="n">
        <v>6</v>
      </c>
      <c r="F114" s="11" t="n">
        <v>6</v>
      </c>
      <c r="G114" s="5" t="str">
        <f aca="false">IFERROR(VLOOKUP(D114,SETTINGS!A20:B41,2,FALSE()),"Medium")</f>
        <v>Fast</v>
      </c>
      <c r="H114" s="5" t="n">
        <f aca="false">IFERROR(VLOOKUP(G114,SETTINGS!A14:C16,3,FALSE()),5)</f>
        <v>15</v>
      </c>
      <c r="I114" s="5" t="n">
        <f aca="false">IF(E114&gt;0,E114,H114)</f>
        <v>6</v>
      </c>
      <c r="J114" s="5" t="n">
        <f aca="false">IF(F114&gt;0,F114,H114)</f>
        <v>6</v>
      </c>
      <c r="K114" s="5" t="n">
        <f aca="false">I114/7</f>
        <v>0.857142857142857</v>
      </c>
      <c r="L114" s="5" t="n">
        <f aca="false">J114/7</f>
        <v>0.857142857142857</v>
      </c>
    </row>
    <row r="115" customFormat="false" ht="23.85" hidden="false" customHeight="false" outlineLevel="0" collapsed="false">
      <c r="A115" s="5" t="n">
        <f aca="false">ITEM_MASTER_CLEAN!A115</f>
        <v>114</v>
      </c>
      <c r="B115" s="5" t="n">
        <f aca="false">ITEM_MASTER_CLEAN!B115</f>
        <v>24759</v>
      </c>
      <c r="C115" s="5" t="str">
        <f aca="false">ITEM_MASTER_CLEAN!C115</f>
        <v>MTY DIP CHOC CARAMEL PECAN 6X1K</v>
      </c>
      <c r="D115" s="5" t="str">
        <f aca="false">ITEM_MASTER_CLEAN!D115</f>
        <v>DIPS / TREMPETTES</v>
      </c>
      <c r="E115" s="11" t="n">
        <v>8</v>
      </c>
      <c r="F115" s="11" t="n">
        <v>4</v>
      </c>
      <c r="G115" s="5" t="str">
        <f aca="false">IFERROR(VLOOKUP(D115,SETTINGS!A20:B41,2,FALSE()),"Medium")</f>
        <v>Fast</v>
      </c>
      <c r="H115" s="5" t="n">
        <f aca="false">IFERROR(VLOOKUP(G115,SETTINGS!A14:C16,3,FALSE()),5)</f>
        <v>15</v>
      </c>
      <c r="I115" s="5" t="n">
        <f aca="false">IF(E115&gt;0,E115,H115)</f>
        <v>8</v>
      </c>
      <c r="J115" s="5" t="n">
        <f aca="false">IF(F115&gt;0,F115,H115)</f>
        <v>4</v>
      </c>
      <c r="K115" s="5" t="n">
        <f aca="false">I115/7</f>
        <v>1.14285714285714</v>
      </c>
      <c r="L115" s="5" t="n">
        <f aca="false">J115/7</f>
        <v>0.571428571428571</v>
      </c>
    </row>
    <row r="116" customFormat="false" ht="23.85" hidden="false" customHeight="false" outlineLevel="0" collapsed="false">
      <c r="A116" s="5" t="n">
        <f aca="false">ITEM_MASTER_CLEAN!A116</f>
        <v>115</v>
      </c>
      <c r="B116" s="5" t="n">
        <f aca="false">ITEM_MASTER_CLEAN!B116</f>
        <v>19598</v>
      </c>
      <c r="C116" s="5" t="str">
        <f aca="false">ITEM_MASTER_CLEAN!C116</f>
        <v>MTY DIP DULCE DE LECHE 6X1K</v>
      </c>
      <c r="D116" s="5" t="str">
        <f aca="false">ITEM_MASTER_CLEAN!D116</f>
        <v>DIPS / TREMPETTES</v>
      </c>
      <c r="E116" s="11" t="n">
        <v>7</v>
      </c>
      <c r="F116" s="11" t="n">
        <v>4</v>
      </c>
      <c r="G116" s="5" t="str">
        <f aca="false">IFERROR(VLOOKUP(D116,SETTINGS!A20:B41,2,FALSE()),"Medium")</f>
        <v>Fast</v>
      </c>
      <c r="H116" s="5" t="n">
        <f aca="false">IFERROR(VLOOKUP(G116,SETTINGS!A14:C16,3,FALSE()),5)</f>
        <v>15</v>
      </c>
      <c r="I116" s="5" t="n">
        <f aca="false">IF(E116&gt;0,E116,H116)</f>
        <v>7</v>
      </c>
      <c r="J116" s="5" t="n">
        <f aca="false">IF(F116&gt;0,F116,H116)</f>
        <v>4</v>
      </c>
      <c r="K116" s="5" t="n">
        <f aca="false">I116/7</f>
        <v>1</v>
      </c>
      <c r="L116" s="5" t="n">
        <f aca="false">J116/7</f>
        <v>0.571428571428571</v>
      </c>
    </row>
    <row r="117" customFormat="false" ht="23.85" hidden="false" customHeight="false" outlineLevel="0" collapsed="false">
      <c r="A117" s="5" t="n">
        <f aca="false">ITEM_MASTER_CLEAN!A117</f>
        <v>116</v>
      </c>
      <c r="B117" s="5" t="n">
        <f aca="false">ITEM_MASTER_CLEAN!B117</f>
        <v>12603</v>
      </c>
      <c r="C117" s="5" t="str">
        <f aca="false">ITEM_MASTER_CLEAN!C117</f>
        <v>MTY DIP MILK CHOCOLATE 6X1K</v>
      </c>
      <c r="D117" s="5" t="str">
        <f aca="false">ITEM_MASTER_CLEAN!D117</f>
        <v>DIPS / TREMPETTES</v>
      </c>
      <c r="E117" s="11" t="n">
        <v>7</v>
      </c>
      <c r="F117" s="11" t="n">
        <v>4</v>
      </c>
      <c r="G117" s="5" t="str">
        <f aca="false">IFERROR(VLOOKUP(D117,SETTINGS!A20:B41,2,FALSE()),"Medium")</f>
        <v>Fast</v>
      </c>
      <c r="H117" s="5" t="n">
        <f aca="false">IFERROR(VLOOKUP(G117,SETTINGS!A14:C16,3,FALSE()),5)</f>
        <v>15</v>
      </c>
      <c r="I117" s="5" t="n">
        <f aca="false">IF(E117&gt;0,E117,H117)</f>
        <v>7</v>
      </c>
      <c r="J117" s="5" t="n">
        <f aca="false">IF(F117&gt;0,F117,H117)</f>
        <v>4</v>
      </c>
      <c r="K117" s="5" t="n">
        <f aca="false">I117/7</f>
        <v>1</v>
      </c>
      <c r="L117" s="5" t="n">
        <f aca="false">J117/7</f>
        <v>0.571428571428571</v>
      </c>
    </row>
    <row r="118" customFormat="false" ht="23.85" hidden="false" customHeight="false" outlineLevel="0" collapsed="false">
      <c r="A118" s="5" t="n">
        <f aca="false">ITEM_MASTER_CLEAN!A118</f>
        <v>117</v>
      </c>
      <c r="B118" s="5" t="n">
        <f aca="false">ITEM_MASTER_CLEAN!B118</f>
        <v>24475</v>
      </c>
      <c r="C118" s="5" t="str">
        <f aca="false">ITEM_MASTER_CLEAN!C118</f>
        <v>MTY DIP IRISH CRM BAILEYS WH 6X1K</v>
      </c>
      <c r="D118" s="5" t="str">
        <f aca="false">ITEM_MASTER_CLEAN!D118</f>
        <v>DIPS / TREMPETTES</v>
      </c>
      <c r="E118" s="11" t="n">
        <v>8</v>
      </c>
      <c r="F118" s="11" t="n">
        <v>6</v>
      </c>
      <c r="G118" s="5" t="str">
        <f aca="false">IFERROR(VLOOKUP(D118,SETTINGS!A20:B41,2,FALSE()),"Medium")</f>
        <v>Fast</v>
      </c>
      <c r="H118" s="5" t="n">
        <f aca="false">IFERROR(VLOOKUP(G118,SETTINGS!A14:C16,3,FALSE()),5)</f>
        <v>15</v>
      </c>
      <c r="I118" s="5" t="n">
        <f aca="false">IF(E118&gt;0,E118,H118)</f>
        <v>8</v>
      </c>
      <c r="J118" s="5" t="n">
        <f aca="false">IF(F118&gt;0,F118,H118)</f>
        <v>6</v>
      </c>
      <c r="K118" s="5" t="n">
        <f aca="false">I118/7</f>
        <v>1.14285714285714</v>
      </c>
      <c r="L118" s="5" t="n">
        <f aca="false">J118/7</f>
        <v>0.857142857142857</v>
      </c>
    </row>
    <row r="119" customFormat="false" ht="23.85" hidden="false" customHeight="false" outlineLevel="0" collapsed="false">
      <c r="A119" s="5" t="n">
        <f aca="false">ITEM_MASTER_CLEAN!A119</f>
        <v>118</v>
      </c>
      <c r="B119" s="5" t="n">
        <f aca="false">ITEM_MASTER_CLEAN!B119</f>
        <v>12558</v>
      </c>
      <c r="C119" s="5" t="str">
        <f aca="false">ITEM_MASTER_CLEAN!C119</f>
        <v>MTY DIP ESPRESSO 6X1KG</v>
      </c>
      <c r="D119" s="5" t="str">
        <f aca="false">ITEM_MASTER_CLEAN!D119</f>
        <v>DIPS / TREMPETTES</v>
      </c>
      <c r="E119" s="11" t="n">
        <v>3</v>
      </c>
      <c r="F119" s="11" t="n">
        <v>4</v>
      </c>
      <c r="G119" s="5" t="str">
        <f aca="false">IFERROR(VLOOKUP(D119,SETTINGS!A20:B41,2,FALSE()),"Medium")</f>
        <v>Fast</v>
      </c>
      <c r="H119" s="5" t="n">
        <f aca="false">IFERROR(VLOOKUP(G119,SETTINGS!A14:C16,3,FALSE()),5)</f>
        <v>15</v>
      </c>
      <c r="I119" s="5" t="n">
        <f aca="false">IF(E119&gt;0,E119,H119)</f>
        <v>3</v>
      </c>
      <c r="J119" s="5" t="n">
        <f aca="false">IF(F119&gt;0,F119,H119)</f>
        <v>4</v>
      </c>
      <c r="K119" s="5" t="n">
        <f aca="false">I119/7</f>
        <v>0.428571428571429</v>
      </c>
      <c r="L119" s="5" t="n">
        <f aca="false">J119/7</f>
        <v>0.571428571428571</v>
      </c>
    </row>
    <row r="120" customFormat="false" ht="23.85" hidden="false" customHeight="false" outlineLevel="0" collapsed="false">
      <c r="A120" s="5" t="n">
        <f aca="false">ITEM_MASTER_CLEAN!A120</f>
        <v>119</v>
      </c>
      <c r="B120" s="5" t="n">
        <f aca="false">ITEM_MASTER_CLEAN!B120</f>
        <v>12582</v>
      </c>
      <c r="C120" s="5" t="str">
        <f aca="false">ITEM_MASTER_CLEAN!C120</f>
        <v>MTY DIP FLEUR DE SEL DARK 6X1K</v>
      </c>
      <c r="D120" s="5" t="str">
        <f aca="false">ITEM_MASTER_CLEAN!D120</f>
        <v>DIPS / TREMPETTES</v>
      </c>
      <c r="E120" s="11" t="n">
        <v>4</v>
      </c>
      <c r="F120" s="11" t="n">
        <v>4</v>
      </c>
      <c r="G120" s="5" t="str">
        <f aca="false">IFERROR(VLOOKUP(D120,SETTINGS!A20:B41,2,FALSE()),"Medium")</f>
        <v>Fast</v>
      </c>
      <c r="H120" s="5" t="n">
        <f aca="false">IFERROR(VLOOKUP(G120,SETTINGS!A14:C16,3,FALSE()),5)</f>
        <v>15</v>
      </c>
      <c r="I120" s="5" t="n">
        <f aca="false">IF(E120&gt;0,E120,H120)</f>
        <v>4</v>
      </c>
      <c r="J120" s="5" t="n">
        <f aca="false">IF(F120&gt;0,F120,H120)</f>
        <v>4</v>
      </c>
      <c r="K120" s="5" t="n">
        <f aca="false">I120/7</f>
        <v>0.571428571428571</v>
      </c>
      <c r="L120" s="5" t="n">
        <f aca="false">J120/7</f>
        <v>0.571428571428571</v>
      </c>
    </row>
    <row r="121" customFormat="false" ht="23.85" hidden="false" customHeight="false" outlineLevel="0" collapsed="false">
      <c r="A121" s="5" t="n">
        <f aca="false">ITEM_MASTER_CLEAN!A121</f>
        <v>120</v>
      </c>
      <c r="B121" s="5" t="n">
        <f aca="false">ITEM_MASTER_CLEAN!B121</f>
        <v>24435</v>
      </c>
      <c r="C121" s="5" t="str">
        <f aca="false">ITEM_MASTER_CLEAN!C121</f>
        <v>MTY DIP STRAWBERRY CREAM 6X1K</v>
      </c>
      <c r="D121" s="5" t="str">
        <f aca="false">ITEM_MASTER_CLEAN!D121</f>
        <v>DIPS / TREMPETTES</v>
      </c>
      <c r="E121" s="11" t="n">
        <v>5</v>
      </c>
      <c r="F121" s="11" t="n">
        <v>3</v>
      </c>
      <c r="G121" s="5" t="str">
        <f aca="false">IFERROR(VLOOKUP(D121,SETTINGS!A20:B41,2,FALSE()),"Medium")</f>
        <v>Fast</v>
      </c>
      <c r="H121" s="5" t="n">
        <f aca="false">IFERROR(VLOOKUP(G121,SETTINGS!A14:C16,3,FALSE()),5)</f>
        <v>15</v>
      </c>
      <c r="I121" s="5" t="n">
        <f aca="false">IF(E121&gt;0,E121,H121)</f>
        <v>5</v>
      </c>
      <c r="J121" s="5" t="n">
        <f aca="false">IF(F121&gt;0,F121,H121)</f>
        <v>3</v>
      </c>
      <c r="K121" s="5" t="n">
        <f aca="false">I121/7</f>
        <v>0.714285714285714</v>
      </c>
      <c r="L121" s="5" t="n">
        <f aca="false">J121/7</f>
        <v>0.428571428571429</v>
      </c>
    </row>
    <row r="122" customFormat="false" ht="23.85" hidden="false" customHeight="false" outlineLevel="0" collapsed="false">
      <c r="A122" s="5" t="n">
        <f aca="false">ITEM_MASTER_CLEAN!A122</f>
        <v>121</v>
      </c>
      <c r="B122" s="5" t="n">
        <f aca="false">ITEM_MASTER_CLEAN!B122</f>
        <v>24768</v>
      </c>
      <c r="C122" s="5" t="str">
        <f aca="false">ITEM_MASTER_CLEAN!C122</f>
        <v>MTY DIP CHEESE CAKE 6X1K</v>
      </c>
      <c r="D122" s="5" t="str">
        <f aca="false">ITEM_MASTER_CLEAN!D122</f>
        <v>DIPS / TREMPETTES</v>
      </c>
      <c r="E122" s="11" t="n">
        <v>4</v>
      </c>
      <c r="F122" s="11" t="n">
        <v>4</v>
      </c>
      <c r="G122" s="5" t="str">
        <f aca="false">IFERROR(VLOOKUP(D122,SETTINGS!A20:B41,2,FALSE()),"Medium")</f>
        <v>Fast</v>
      </c>
      <c r="H122" s="5" t="n">
        <f aca="false">IFERROR(VLOOKUP(G122,SETTINGS!A14:C16,3,FALSE()),5)</f>
        <v>15</v>
      </c>
      <c r="I122" s="5" t="n">
        <f aca="false">IF(E122&gt;0,E122,H122)</f>
        <v>4</v>
      </c>
      <c r="J122" s="5" t="n">
        <f aca="false">IF(F122&gt;0,F122,H122)</f>
        <v>4</v>
      </c>
      <c r="K122" s="5" t="n">
        <f aca="false">I122/7</f>
        <v>0.571428571428571</v>
      </c>
      <c r="L122" s="5" t="n">
        <f aca="false">J122/7</f>
        <v>0.571428571428571</v>
      </c>
    </row>
    <row r="123" customFormat="false" ht="23.85" hidden="false" customHeight="false" outlineLevel="0" collapsed="false">
      <c r="A123" s="5" t="n">
        <f aca="false">ITEM_MASTER_CLEAN!A123</f>
        <v>122</v>
      </c>
      <c r="B123" s="5" t="n">
        <f aca="false">ITEM_MASTER_CLEAN!B123</f>
        <v>24777</v>
      </c>
      <c r="C123" s="5" t="str">
        <f aca="false">ITEM_MASTER_CLEAN!C123</f>
        <v>MTY DIP BIRTHDAY CAKE  6X1K</v>
      </c>
      <c r="D123" s="5" t="str">
        <f aca="false">ITEM_MASTER_CLEAN!D123</f>
        <v>DIPS / TREMPETTES</v>
      </c>
      <c r="E123" s="11" t="n">
        <v>8</v>
      </c>
      <c r="F123" s="11" t="n">
        <v>2</v>
      </c>
      <c r="G123" s="5" t="str">
        <f aca="false">IFERROR(VLOOKUP(D123,SETTINGS!A20:B41,2,FALSE()),"Medium")</f>
        <v>Fast</v>
      </c>
      <c r="H123" s="5" t="n">
        <f aca="false">IFERROR(VLOOKUP(G123,SETTINGS!A14:C16,3,FALSE()),5)</f>
        <v>15</v>
      </c>
      <c r="I123" s="5" t="n">
        <f aca="false">IF(E123&gt;0,E123,H123)</f>
        <v>8</v>
      </c>
      <c r="J123" s="5" t="n">
        <f aca="false">IF(F123&gt;0,F123,H123)</f>
        <v>2</v>
      </c>
      <c r="K123" s="5" t="n">
        <f aca="false">I123/7</f>
        <v>1.14285714285714</v>
      </c>
      <c r="L123" s="5" t="n">
        <f aca="false">J123/7</f>
        <v>0.285714285714286</v>
      </c>
    </row>
    <row r="124" customFormat="false" ht="23.85" hidden="false" customHeight="false" outlineLevel="0" collapsed="false">
      <c r="A124" s="5" t="n">
        <f aca="false">ITEM_MASTER_CLEAN!A124</f>
        <v>123</v>
      </c>
      <c r="B124" s="5" t="n">
        <f aca="false">ITEM_MASTER_CLEAN!B124</f>
        <v>24766</v>
      </c>
      <c r="C124" s="5" t="str">
        <f aca="false">ITEM_MASTER_CLEAN!C124</f>
        <v>MTY DIP LEMONADE 6X1K</v>
      </c>
      <c r="D124" s="5" t="str">
        <f aca="false">ITEM_MASTER_CLEAN!D124</f>
        <v>DIPS / TREMPETTES</v>
      </c>
      <c r="E124" s="11" t="n">
        <v>3</v>
      </c>
      <c r="F124" s="11" t="n">
        <v>2</v>
      </c>
      <c r="G124" s="5" t="str">
        <f aca="false">IFERROR(VLOOKUP(D124,SETTINGS!A20:B41,2,FALSE()),"Medium")</f>
        <v>Fast</v>
      </c>
      <c r="H124" s="5" t="n">
        <f aca="false">IFERROR(VLOOKUP(G124,SETTINGS!A14:C16,3,FALSE()),5)</f>
        <v>15</v>
      </c>
      <c r="I124" s="5" t="n">
        <f aca="false">IF(E124&gt;0,E124,H124)</f>
        <v>3</v>
      </c>
      <c r="J124" s="5" t="n">
        <f aca="false">IF(F124&gt;0,F124,H124)</f>
        <v>2</v>
      </c>
      <c r="K124" s="5" t="n">
        <f aca="false">I124/7</f>
        <v>0.428571428571429</v>
      </c>
      <c r="L124" s="5" t="n">
        <f aca="false">J124/7</f>
        <v>0.285714285714286</v>
      </c>
    </row>
    <row r="125" customFormat="false" ht="23.85" hidden="false" customHeight="false" outlineLevel="0" collapsed="false">
      <c r="A125" s="5" t="n">
        <f aca="false">ITEM_MASTER_CLEAN!A125</f>
        <v>124</v>
      </c>
      <c r="B125" s="5" t="n">
        <f aca="false">ITEM_MASTER_CLEAN!B125</f>
        <v>12584</v>
      </c>
      <c r="C125" s="5" t="str">
        <f aca="false">ITEM_MASTER_CLEAN!C125</f>
        <v>MTY DIP MANGO 6X1K</v>
      </c>
      <c r="D125" s="5" t="str">
        <f aca="false">ITEM_MASTER_CLEAN!D125</f>
        <v>DIPS / TREMPETTES</v>
      </c>
      <c r="E125" s="11" t="n">
        <v>8</v>
      </c>
      <c r="F125" s="11" t="n">
        <v>6</v>
      </c>
      <c r="G125" s="5" t="str">
        <f aca="false">IFERROR(VLOOKUP(D125,SETTINGS!A20:B41,2,FALSE()),"Medium")</f>
        <v>Fast</v>
      </c>
      <c r="H125" s="5" t="n">
        <f aca="false">IFERROR(VLOOKUP(G125,SETTINGS!A14:C16,3,FALSE()),5)</f>
        <v>15</v>
      </c>
      <c r="I125" s="5" t="n">
        <f aca="false">IF(E125&gt;0,E125,H125)</f>
        <v>8</v>
      </c>
      <c r="J125" s="5" t="n">
        <f aca="false">IF(F125&gt;0,F125,H125)</f>
        <v>6</v>
      </c>
      <c r="K125" s="5" t="n">
        <f aca="false">I125/7</f>
        <v>1.14285714285714</v>
      </c>
      <c r="L125" s="5" t="n">
        <f aca="false">J125/7</f>
        <v>0.857142857142857</v>
      </c>
    </row>
    <row r="126" customFormat="false" ht="23.85" hidden="false" customHeight="false" outlineLevel="0" collapsed="false">
      <c r="A126" s="5" t="n">
        <f aca="false">ITEM_MASTER_CLEAN!A126</f>
        <v>125</v>
      </c>
      <c r="B126" s="5" t="n">
        <f aca="false">ITEM_MASTER_CLEAN!B126</f>
        <v>24763</v>
      </c>
      <c r="C126" s="5" t="str">
        <f aca="false">ITEM_MASTER_CLEAN!C126</f>
        <v>MTY MINT DARK CHOC  6X1K</v>
      </c>
      <c r="D126" s="5" t="str">
        <f aca="false">ITEM_MASTER_CLEAN!D126</f>
        <v>DIPS / TREMPETTES</v>
      </c>
      <c r="E126" s="11" t="n">
        <v>7</v>
      </c>
      <c r="F126" s="11" t="n">
        <v>3</v>
      </c>
      <c r="G126" s="5" t="str">
        <f aca="false">IFERROR(VLOOKUP(D126,SETTINGS!A20:B41,2,FALSE()),"Medium")</f>
        <v>Fast</v>
      </c>
      <c r="H126" s="5" t="n">
        <f aca="false">IFERROR(VLOOKUP(G126,SETTINGS!A14:C16,3,FALSE()),5)</f>
        <v>15</v>
      </c>
      <c r="I126" s="5" t="n">
        <f aca="false">IF(E126&gt;0,E126,H126)</f>
        <v>7</v>
      </c>
      <c r="J126" s="5" t="n">
        <f aca="false">IF(F126&gt;0,F126,H126)</f>
        <v>3</v>
      </c>
      <c r="K126" s="5" t="n">
        <f aca="false">I126/7</f>
        <v>1</v>
      </c>
      <c r="L126" s="5" t="n">
        <f aca="false">J126/7</f>
        <v>0.428571428571429</v>
      </c>
    </row>
    <row r="127" customFormat="false" ht="23.85" hidden="false" customHeight="false" outlineLevel="0" collapsed="false">
      <c r="A127" s="5" t="n">
        <f aca="false">ITEM_MASTER_CLEAN!A127</f>
        <v>126</v>
      </c>
      <c r="B127" s="5" t="n">
        <f aca="false">ITEM_MASTER_CLEAN!B127</f>
        <v>24761</v>
      </c>
      <c r="C127" s="5" t="str">
        <f aca="false">ITEM_MASTER_CLEAN!C127</f>
        <v>MTY DIP ORANGE SORBET 6X1K</v>
      </c>
      <c r="D127" s="5" t="str">
        <f aca="false">ITEM_MASTER_CLEAN!D127</f>
        <v>DIPS / TREMPETTES</v>
      </c>
      <c r="E127" s="11" t="n">
        <v>6</v>
      </c>
      <c r="F127" s="11" t="n">
        <v>6</v>
      </c>
      <c r="G127" s="5" t="str">
        <f aca="false">IFERROR(VLOOKUP(D127,SETTINGS!A20:B41,2,FALSE()),"Medium")</f>
        <v>Fast</v>
      </c>
      <c r="H127" s="5" t="n">
        <f aca="false">IFERROR(VLOOKUP(G127,SETTINGS!A14:C16,3,FALSE()),5)</f>
        <v>15</v>
      </c>
      <c r="I127" s="5" t="n">
        <f aca="false">IF(E127&gt;0,E127,H127)</f>
        <v>6</v>
      </c>
      <c r="J127" s="5" t="n">
        <f aca="false">IF(F127&gt;0,F127,H127)</f>
        <v>6</v>
      </c>
      <c r="K127" s="5" t="n">
        <f aca="false">I127/7</f>
        <v>0.857142857142857</v>
      </c>
      <c r="L127" s="5" t="n">
        <f aca="false">J127/7</f>
        <v>0.857142857142857</v>
      </c>
    </row>
    <row r="128" customFormat="false" ht="23.85" hidden="false" customHeight="false" outlineLevel="0" collapsed="false">
      <c r="A128" s="5" t="n">
        <f aca="false">ITEM_MASTER_CLEAN!A128</f>
        <v>127</v>
      </c>
      <c r="B128" s="5" t="n">
        <f aca="false">ITEM_MASTER_CLEAN!B128</f>
        <v>24822</v>
      </c>
      <c r="C128" s="5" t="str">
        <f aca="false">ITEM_MASTER_CLEAN!C128</f>
        <v>MTY DIP OREO 6X1K</v>
      </c>
      <c r="D128" s="5" t="str">
        <f aca="false">ITEM_MASTER_CLEAN!D128</f>
        <v>DIPS / TREMPETTES</v>
      </c>
      <c r="E128" s="11" t="n">
        <v>7</v>
      </c>
      <c r="F128" s="11" t="n">
        <v>3</v>
      </c>
      <c r="G128" s="5" t="str">
        <f aca="false">IFERROR(VLOOKUP(D128,SETTINGS!A20:B41,2,FALSE()),"Medium")</f>
        <v>Fast</v>
      </c>
      <c r="H128" s="5" t="n">
        <f aca="false">IFERROR(VLOOKUP(G128,SETTINGS!A14:C16,3,FALSE()),5)</f>
        <v>15</v>
      </c>
      <c r="I128" s="5" t="n">
        <f aca="false">IF(E128&gt;0,E128,H128)</f>
        <v>7</v>
      </c>
      <c r="J128" s="5" t="n">
        <f aca="false">IF(F128&gt;0,F128,H128)</f>
        <v>3</v>
      </c>
      <c r="K128" s="5" t="n">
        <f aca="false">I128/7</f>
        <v>1</v>
      </c>
      <c r="L128" s="5" t="n">
        <f aca="false">J128/7</f>
        <v>0.428571428571429</v>
      </c>
    </row>
    <row r="129" customFormat="false" ht="23.85" hidden="false" customHeight="false" outlineLevel="0" collapsed="false">
      <c r="A129" s="5" t="n">
        <f aca="false">ITEM_MASTER_CLEAN!A129</f>
        <v>128</v>
      </c>
      <c r="B129" s="5" t="n">
        <f aca="false">ITEM_MASTER_CLEAN!B129</f>
        <v>19648</v>
      </c>
      <c r="C129" s="5" t="str">
        <f aca="false">ITEM_MASTER_CLEAN!C129</f>
        <v>MTY DIP COOKIE DOUGH 6X1K</v>
      </c>
      <c r="D129" s="5" t="str">
        <f aca="false">ITEM_MASTER_CLEAN!D129</f>
        <v>DIPS / TREMPETTES</v>
      </c>
      <c r="E129" s="11" t="n">
        <v>5</v>
      </c>
      <c r="F129" s="11" t="n">
        <v>5</v>
      </c>
      <c r="G129" s="5" t="str">
        <f aca="false">IFERROR(VLOOKUP(D129,SETTINGS!A20:B41,2,FALSE()),"Medium")</f>
        <v>Fast</v>
      </c>
      <c r="H129" s="5" t="n">
        <f aca="false">IFERROR(VLOOKUP(G129,SETTINGS!A14:C16,3,FALSE()),5)</f>
        <v>15</v>
      </c>
      <c r="I129" s="5" t="n">
        <f aca="false">IF(E129&gt;0,E129,H129)</f>
        <v>5</v>
      </c>
      <c r="J129" s="5" t="n">
        <f aca="false">IF(F129&gt;0,F129,H129)</f>
        <v>5</v>
      </c>
      <c r="K129" s="5" t="n">
        <f aca="false">I129/7</f>
        <v>0.714285714285714</v>
      </c>
      <c r="L129" s="5" t="n">
        <f aca="false">J129/7</f>
        <v>0.714285714285714</v>
      </c>
    </row>
    <row r="130" customFormat="false" ht="23.85" hidden="false" customHeight="false" outlineLevel="0" collapsed="false">
      <c r="A130" s="5" t="n">
        <f aca="false">ITEM_MASTER_CLEAN!A130</f>
        <v>129</v>
      </c>
      <c r="B130" s="5" t="n">
        <f aca="false">ITEM_MASTER_CLEAN!B130</f>
        <v>24762</v>
      </c>
      <c r="C130" s="5" t="str">
        <f aca="false">ITEM_MASTER_CLEAN!C130</f>
        <v>MTY DIP PISTACHIO 6X1K</v>
      </c>
      <c r="D130" s="5" t="str">
        <f aca="false">ITEM_MASTER_CLEAN!D130</f>
        <v>DIPS / TREMPETTES</v>
      </c>
      <c r="E130" s="11" t="n">
        <v>3</v>
      </c>
      <c r="F130" s="11" t="n">
        <v>2</v>
      </c>
      <c r="G130" s="5" t="str">
        <f aca="false">IFERROR(VLOOKUP(D130,SETTINGS!A20:B41,2,FALSE()),"Medium")</f>
        <v>Fast</v>
      </c>
      <c r="H130" s="5" t="n">
        <f aca="false">IFERROR(VLOOKUP(G130,SETTINGS!A14:C16,3,FALSE()),5)</f>
        <v>15</v>
      </c>
      <c r="I130" s="5" t="n">
        <f aca="false">IF(E130&gt;0,E130,H130)</f>
        <v>3</v>
      </c>
      <c r="J130" s="5" t="n">
        <f aca="false">IF(F130&gt;0,F130,H130)</f>
        <v>2</v>
      </c>
      <c r="K130" s="5" t="n">
        <f aca="false">I130/7</f>
        <v>0.428571428571429</v>
      </c>
      <c r="L130" s="5" t="n">
        <f aca="false">J130/7</f>
        <v>0.285714285714286</v>
      </c>
    </row>
    <row r="131" customFormat="false" ht="23.85" hidden="false" customHeight="false" outlineLevel="0" collapsed="false">
      <c r="A131" s="5" t="n">
        <f aca="false">ITEM_MASTER_CLEAN!A131</f>
        <v>130</v>
      </c>
      <c r="B131" s="5" t="n">
        <f aca="false">ITEM_MASTER_CLEAN!B131</f>
        <v>19649</v>
      </c>
      <c r="C131" s="5" t="str">
        <f aca="false">ITEM_MASTER_CLEAN!C131</f>
        <v>MTY DIP PRALINE/HAZLENUT 6X1K</v>
      </c>
      <c r="D131" s="5" t="str">
        <f aca="false">ITEM_MASTER_CLEAN!D131</f>
        <v>DIPS / TREMPETTES</v>
      </c>
      <c r="E131" s="11" t="n">
        <v>8</v>
      </c>
      <c r="F131" s="11" t="n">
        <v>2</v>
      </c>
      <c r="G131" s="5" t="str">
        <f aca="false">IFERROR(VLOOKUP(D131,SETTINGS!A20:B41,2,FALSE()),"Medium")</f>
        <v>Fast</v>
      </c>
      <c r="H131" s="5" t="n">
        <f aca="false">IFERROR(VLOOKUP(G131,SETTINGS!A14:C16,3,FALSE()),5)</f>
        <v>15</v>
      </c>
      <c r="I131" s="5" t="n">
        <f aca="false">IF(E131&gt;0,E131,H131)</f>
        <v>8</v>
      </c>
      <c r="J131" s="5" t="n">
        <f aca="false">IF(F131&gt;0,F131,H131)</f>
        <v>2</v>
      </c>
      <c r="K131" s="5" t="n">
        <f aca="false">I131/7</f>
        <v>1.14285714285714</v>
      </c>
      <c r="L131" s="5" t="n">
        <f aca="false">J131/7</f>
        <v>0.285714285714286</v>
      </c>
    </row>
    <row r="132" customFormat="false" ht="23.85" hidden="false" customHeight="false" outlineLevel="0" collapsed="false">
      <c r="A132" s="5" t="n">
        <f aca="false">ITEM_MASTER_CLEAN!A132</f>
        <v>131</v>
      </c>
      <c r="B132" s="5" t="n">
        <f aca="false">ITEM_MASTER_CLEAN!B132</f>
        <v>19594</v>
      </c>
      <c r="C132" s="5" t="str">
        <f aca="false">ITEM_MASTER_CLEAN!C132</f>
        <v>MTY DIP RED VELVET 6X1K</v>
      </c>
      <c r="D132" s="5" t="str">
        <f aca="false">ITEM_MASTER_CLEAN!D132</f>
        <v>DIPS / TREMPETTES</v>
      </c>
      <c r="E132" s="11" t="n">
        <v>5</v>
      </c>
      <c r="F132" s="11" t="n">
        <v>6</v>
      </c>
      <c r="G132" s="5" t="str">
        <f aca="false">IFERROR(VLOOKUP(D132,SETTINGS!A20:B41,2,FALSE()),"Medium")</f>
        <v>Fast</v>
      </c>
      <c r="H132" s="5" t="n">
        <f aca="false">IFERROR(VLOOKUP(G132,SETTINGS!A14:C16,3,FALSE()),5)</f>
        <v>15</v>
      </c>
      <c r="I132" s="5" t="n">
        <f aca="false">IF(E132&gt;0,E132,H132)</f>
        <v>5</v>
      </c>
      <c r="J132" s="5" t="n">
        <f aca="false">IF(F132&gt;0,F132,H132)</f>
        <v>6</v>
      </c>
      <c r="K132" s="5" t="n">
        <f aca="false">I132/7</f>
        <v>0.714285714285714</v>
      </c>
      <c r="L132" s="5" t="n">
        <f aca="false">J132/7</f>
        <v>0.857142857142857</v>
      </c>
    </row>
    <row r="133" customFormat="false" ht="23.85" hidden="false" customHeight="false" outlineLevel="0" collapsed="false">
      <c r="A133" s="5" t="n">
        <f aca="false">ITEM_MASTER_CLEAN!A133</f>
        <v>132</v>
      </c>
      <c r="B133" s="5" t="n">
        <f aca="false">ITEM_MASTER_CLEAN!B133</f>
        <v>24434</v>
      </c>
      <c r="C133" s="5" t="str">
        <f aca="false">ITEM_MASTER_CLEAN!C133</f>
        <v>MTY DIP SMORES 6X1K</v>
      </c>
      <c r="D133" s="5" t="str">
        <f aca="false">ITEM_MASTER_CLEAN!D133</f>
        <v>DIPS / TREMPETTES</v>
      </c>
      <c r="E133" s="11" t="n">
        <v>7</v>
      </c>
      <c r="F133" s="11" t="n">
        <v>4</v>
      </c>
      <c r="G133" s="5" t="str">
        <f aca="false">IFERROR(VLOOKUP(D133,SETTINGS!A20:B41,2,FALSE()),"Medium")</f>
        <v>Fast</v>
      </c>
      <c r="H133" s="5" t="n">
        <f aca="false">IFERROR(VLOOKUP(G133,SETTINGS!A14:C16,3,FALSE()),5)</f>
        <v>15</v>
      </c>
      <c r="I133" s="5" t="n">
        <f aca="false">IF(E133&gt;0,E133,H133)</f>
        <v>7</v>
      </c>
      <c r="J133" s="5" t="n">
        <f aca="false">IF(F133&gt;0,F133,H133)</f>
        <v>4</v>
      </c>
      <c r="K133" s="5" t="n">
        <f aca="false">I133/7</f>
        <v>1</v>
      </c>
      <c r="L133" s="5" t="n">
        <f aca="false">J133/7</f>
        <v>0.571428571428571</v>
      </c>
    </row>
    <row r="134" customFormat="false" ht="23.85" hidden="false" customHeight="false" outlineLevel="0" collapsed="false">
      <c r="A134" s="5" t="n">
        <f aca="false">ITEM_MASTER_CLEAN!A134</f>
        <v>133</v>
      </c>
      <c r="B134" s="5" t="n">
        <f aca="false">ITEM_MASTER_CLEAN!B134</f>
        <v>19651</v>
      </c>
      <c r="C134" s="5" t="str">
        <f aca="false">ITEM_MASTER_CLEAN!C134</f>
        <v>MTY DIP BUENO 6X1K</v>
      </c>
      <c r="D134" s="5" t="str">
        <f aca="false">ITEM_MASTER_CLEAN!D134</f>
        <v>DIPS / TREMPETTES</v>
      </c>
      <c r="E134" s="11" t="n">
        <v>7</v>
      </c>
      <c r="F134" s="11" t="n">
        <v>6</v>
      </c>
      <c r="G134" s="5" t="str">
        <f aca="false">IFERROR(VLOOKUP(D134,SETTINGS!A20:B41,2,FALSE()),"Medium")</f>
        <v>Fast</v>
      </c>
      <c r="H134" s="5" t="n">
        <f aca="false">IFERROR(VLOOKUP(G134,SETTINGS!A14:C16,3,FALSE()),5)</f>
        <v>15</v>
      </c>
      <c r="I134" s="5" t="n">
        <f aca="false">IF(E134&gt;0,E134,H134)</f>
        <v>7</v>
      </c>
      <c r="J134" s="5" t="n">
        <f aca="false">IF(F134&gt;0,F134,H134)</f>
        <v>6</v>
      </c>
      <c r="K134" s="5" t="n">
        <f aca="false">I134/7</f>
        <v>1</v>
      </c>
      <c r="L134" s="5" t="n">
        <f aca="false">J134/7</f>
        <v>0.857142857142857</v>
      </c>
    </row>
    <row r="135" customFormat="false" ht="23.85" hidden="false" customHeight="false" outlineLevel="0" collapsed="false">
      <c r="A135" s="5" t="n">
        <f aca="false">ITEM_MASTER_CLEAN!A135</f>
        <v>134</v>
      </c>
      <c r="B135" s="5" t="n">
        <f aca="false">ITEM_MASTER_CLEAN!B135</f>
        <v>19652</v>
      </c>
      <c r="C135" s="5" t="str">
        <f aca="false">ITEM_MASTER_CLEAN!C135</f>
        <v>MTY DIP LOTUS BISCOFF 6X1K</v>
      </c>
      <c r="D135" s="5" t="str">
        <f aca="false">ITEM_MASTER_CLEAN!D135</f>
        <v>DIPS / TREMPETTES</v>
      </c>
      <c r="E135" s="11" t="n">
        <v>5</v>
      </c>
      <c r="F135" s="11" t="n">
        <v>4</v>
      </c>
      <c r="G135" s="5" t="str">
        <f aca="false">IFERROR(VLOOKUP(D135,SETTINGS!A20:B41,2,FALSE()),"Medium")</f>
        <v>Fast</v>
      </c>
      <c r="H135" s="5" t="n">
        <f aca="false">IFERROR(VLOOKUP(G135,SETTINGS!A14:C16,3,FALSE()),5)</f>
        <v>15</v>
      </c>
      <c r="I135" s="5" t="n">
        <f aca="false">IF(E135&gt;0,E135,H135)</f>
        <v>5</v>
      </c>
      <c r="J135" s="5" t="n">
        <f aca="false">IF(F135&gt;0,F135,H135)</f>
        <v>4</v>
      </c>
      <c r="K135" s="5" t="n">
        <f aca="false">I135/7</f>
        <v>0.714285714285714</v>
      </c>
      <c r="L135" s="5" t="n">
        <f aca="false">J135/7</f>
        <v>0.571428571428571</v>
      </c>
    </row>
    <row r="136" customFormat="false" ht="23.85" hidden="false" customHeight="false" outlineLevel="0" collapsed="false">
      <c r="A136" s="5" t="n">
        <f aca="false">ITEM_MASTER_CLEAN!A136</f>
        <v>135</v>
      </c>
      <c r="B136" s="5" t="n">
        <f aca="false">ITEM_MASTER_CLEAN!B136</f>
        <v>24775</v>
      </c>
      <c r="C136" s="5" t="str">
        <f aca="false">ITEM_MASTER_CLEAN!C136</f>
        <v>MTY LIQUIFIANT 6X700G</v>
      </c>
      <c r="D136" s="5" t="str">
        <f aca="false">ITEM_MASTER_CLEAN!D136</f>
        <v>DIPS / TREMPETTES</v>
      </c>
      <c r="E136" s="11" t="n">
        <v>4</v>
      </c>
      <c r="F136" s="11" t="n">
        <v>3</v>
      </c>
      <c r="G136" s="5" t="str">
        <f aca="false">IFERROR(VLOOKUP(D136,SETTINGS!A20:B41,2,FALSE()),"Medium")</f>
        <v>Fast</v>
      </c>
      <c r="H136" s="5" t="n">
        <f aca="false">IFERROR(VLOOKUP(G136,SETTINGS!A14:C16,3,FALSE()),5)</f>
        <v>15</v>
      </c>
      <c r="I136" s="5" t="n">
        <f aca="false">IF(E136&gt;0,E136,H136)</f>
        <v>4</v>
      </c>
      <c r="J136" s="5" t="n">
        <f aca="false">IF(F136&gt;0,F136,H136)</f>
        <v>3</v>
      </c>
      <c r="K136" s="5" t="n">
        <f aca="false">I136/7</f>
        <v>0.571428571428571</v>
      </c>
      <c r="L136" s="5" t="n">
        <f aca="false">J136/7</f>
        <v>0.428571428571429</v>
      </c>
    </row>
    <row r="137" customFormat="false" ht="23.85" hidden="false" customHeight="false" outlineLevel="0" collapsed="false">
      <c r="A137" s="5" t="n">
        <f aca="false">ITEM_MASTER_CLEAN!A137</f>
        <v>136</v>
      </c>
      <c r="B137" s="5" t="n">
        <f aca="false">ITEM_MASTER_CLEAN!B137</f>
        <v>50346</v>
      </c>
      <c r="C137" s="5" t="str">
        <f aca="false">ITEM_MASTER_CLEAN!C137</f>
        <v>MTY CONE SOFT #55 SML 920</v>
      </c>
      <c r="D137" s="5" t="str">
        <f aca="false">ITEM_MASTER_CLEAN!D137</f>
        <v>CORNET / CONE</v>
      </c>
      <c r="E137" s="11" t="n">
        <v>5</v>
      </c>
      <c r="F137" s="11" t="n">
        <v>3</v>
      </c>
      <c r="G137" s="5" t="str">
        <f aca="false">IFERROR(VLOOKUP(D137,SETTINGS!A20:B41,2,FALSE()),"Medium")</f>
        <v>Fast</v>
      </c>
      <c r="H137" s="5" t="n">
        <f aca="false">IFERROR(VLOOKUP(G137,SETTINGS!A14:C16,3,FALSE()),5)</f>
        <v>15</v>
      </c>
      <c r="I137" s="5" t="n">
        <f aca="false">IF(E137&gt;0,E137,H137)</f>
        <v>5</v>
      </c>
      <c r="J137" s="5" t="n">
        <f aca="false">IF(F137&gt;0,F137,H137)</f>
        <v>3</v>
      </c>
      <c r="K137" s="5" t="n">
        <f aca="false">I137/7</f>
        <v>0.714285714285714</v>
      </c>
      <c r="L137" s="5" t="n">
        <f aca="false">J137/7</f>
        <v>0.428571428571429</v>
      </c>
    </row>
    <row r="138" customFormat="false" ht="23.85" hidden="false" customHeight="false" outlineLevel="0" collapsed="false">
      <c r="A138" s="5" t="n">
        <f aca="false">ITEM_MASTER_CLEAN!A138</f>
        <v>137</v>
      </c>
      <c r="B138" s="5" t="n">
        <f aca="false">ITEM_MASTER_CLEAN!B138</f>
        <v>50335</v>
      </c>
      <c r="C138" s="5" t="str">
        <f aca="false">ITEM_MASTER_CLEAN!C138</f>
        <v>MTY CONE SOFT REG #59 10X100UN</v>
      </c>
      <c r="D138" s="5" t="str">
        <f aca="false">ITEM_MASTER_CLEAN!D138</f>
        <v>CORNET / CONE</v>
      </c>
      <c r="E138" s="11" t="n">
        <v>10</v>
      </c>
      <c r="F138" s="11" t="n">
        <v>5</v>
      </c>
      <c r="G138" s="5" t="str">
        <f aca="false">IFERROR(VLOOKUP(D138,SETTINGS!A20:B41,2,FALSE()),"Medium")</f>
        <v>Fast</v>
      </c>
      <c r="H138" s="5" t="n">
        <f aca="false">IFERROR(VLOOKUP(G138,SETTINGS!A14:C16,3,FALSE()),5)</f>
        <v>15</v>
      </c>
      <c r="I138" s="5" t="n">
        <f aca="false">IF(E138&gt;0,E138,H138)</f>
        <v>10</v>
      </c>
      <c r="J138" s="5" t="n">
        <f aca="false">IF(F138&gt;0,F138,H138)</f>
        <v>5</v>
      </c>
      <c r="K138" s="5" t="n">
        <f aca="false">I138/7</f>
        <v>1.42857142857143</v>
      </c>
      <c r="L138" s="5" t="n">
        <f aca="false">J138/7</f>
        <v>0.714285714285714</v>
      </c>
    </row>
    <row r="139" customFormat="false" ht="23.85" hidden="false" customHeight="false" outlineLevel="0" collapsed="false">
      <c r="A139" s="5" t="n">
        <f aca="false">ITEM_MASTER_CLEAN!A139</f>
        <v>138</v>
      </c>
      <c r="B139" s="5" t="n">
        <f aca="false">ITEM_MASTER_CLEAN!B139</f>
        <v>34437</v>
      </c>
      <c r="C139" s="5" t="str">
        <f aca="false">ITEM_MASTER_CLEAN!C139</f>
        <v>CONE SUGAR #52 200UN</v>
      </c>
      <c r="D139" s="5" t="str">
        <f aca="false">ITEM_MASTER_CLEAN!D139</f>
        <v>CORNET / CONE</v>
      </c>
      <c r="E139" s="11" t="n">
        <v>5</v>
      </c>
      <c r="F139" s="11" t="n">
        <v>6</v>
      </c>
      <c r="G139" s="5" t="str">
        <f aca="false">IFERROR(VLOOKUP(D139,SETTINGS!A20:B41,2,FALSE()),"Medium")</f>
        <v>Fast</v>
      </c>
      <c r="H139" s="5" t="n">
        <f aca="false">IFERROR(VLOOKUP(G139,SETTINGS!A14:C16,3,FALSE()),5)</f>
        <v>15</v>
      </c>
      <c r="I139" s="5" t="n">
        <f aca="false">IF(E139&gt;0,E139,H139)</f>
        <v>5</v>
      </c>
      <c r="J139" s="5" t="n">
        <f aca="false">IF(F139&gt;0,F139,H139)</f>
        <v>6</v>
      </c>
      <c r="K139" s="5" t="n">
        <f aca="false">I139/7</f>
        <v>0.714285714285714</v>
      </c>
      <c r="L139" s="5" t="n">
        <f aca="false">J139/7</f>
        <v>0.857142857142857</v>
      </c>
    </row>
    <row r="140" customFormat="false" ht="23.85" hidden="false" customHeight="false" outlineLevel="0" collapsed="false">
      <c r="A140" s="5" t="n">
        <f aca="false">ITEM_MASTER_CLEAN!A140</f>
        <v>139</v>
      </c>
      <c r="B140" s="5" t="n">
        <f aca="false">ITEM_MASTER_CLEAN!B140</f>
        <v>50332</v>
      </c>
      <c r="C140" s="5" t="str">
        <f aca="false">ITEM_MASTER_CLEAN!C140</f>
        <v>WAFFLE CONE #60 312UN</v>
      </c>
      <c r="D140" s="5" t="str">
        <f aca="false">ITEM_MASTER_CLEAN!D140</f>
        <v>CORNET / CONE</v>
      </c>
      <c r="E140" s="11" t="n">
        <v>6</v>
      </c>
      <c r="F140" s="11" t="n">
        <v>4</v>
      </c>
      <c r="G140" s="5" t="str">
        <f aca="false">IFERROR(VLOOKUP(D140,SETTINGS!A20:B41,2,FALSE()),"Medium")</f>
        <v>Fast</v>
      </c>
      <c r="H140" s="5" t="n">
        <f aca="false">IFERROR(VLOOKUP(G140,SETTINGS!A14:C16,3,FALSE()),5)</f>
        <v>15</v>
      </c>
      <c r="I140" s="5" t="n">
        <f aca="false">IF(E140&gt;0,E140,H140)</f>
        <v>6</v>
      </c>
      <c r="J140" s="5" t="n">
        <f aca="false">IF(F140&gt;0,F140,H140)</f>
        <v>4</v>
      </c>
      <c r="K140" s="5" t="n">
        <f aca="false">I140/7</f>
        <v>0.857142857142857</v>
      </c>
      <c r="L140" s="5" t="n">
        <f aca="false">J140/7</f>
        <v>0.571428571428571</v>
      </c>
    </row>
    <row r="141" customFormat="false" ht="23.85" hidden="false" customHeight="false" outlineLevel="0" collapsed="false">
      <c r="A141" s="5" t="n">
        <f aca="false">ITEM_MASTER_CLEAN!A141</f>
        <v>140</v>
      </c>
      <c r="B141" s="5" t="n">
        <f aca="false">ITEM_MASTER_CLEAN!B141</f>
        <v>14929</v>
      </c>
      <c r="C141" s="5" t="str">
        <f aca="false">ITEM_MASTER_CLEAN!C141</f>
        <v>BISC OREO GRINDED 24X450G</v>
      </c>
      <c r="D141" s="5" t="str">
        <f aca="false">ITEM_MASTER_CLEAN!D141</f>
        <v>TOPPINGS / GARNITURES</v>
      </c>
      <c r="E141" s="11" t="n">
        <v>4</v>
      </c>
      <c r="F141" s="11" t="n">
        <v>1</v>
      </c>
      <c r="G141" s="5" t="str">
        <f aca="false">IFERROR(VLOOKUP(D141,SETTINGS!A20:B41,2,FALSE()),"Medium")</f>
        <v>Fast</v>
      </c>
      <c r="H141" s="5" t="n">
        <f aca="false">IFERROR(VLOOKUP(G141,SETTINGS!A14:C16,3,FALSE()),5)</f>
        <v>15</v>
      </c>
      <c r="I141" s="5" t="n">
        <f aca="false">IF(E141&gt;0,E141,H141)</f>
        <v>4</v>
      </c>
      <c r="J141" s="5" t="n">
        <f aca="false">IF(F141&gt;0,F141,H141)</f>
        <v>1</v>
      </c>
      <c r="K141" s="5" t="n">
        <f aca="false">I141/7</f>
        <v>0.571428571428571</v>
      </c>
      <c r="L141" s="5" t="n">
        <f aca="false">J141/7</f>
        <v>0.142857142857143</v>
      </c>
    </row>
    <row r="142" customFormat="false" ht="23.85" hidden="false" customHeight="false" outlineLevel="0" collapsed="false">
      <c r="A142" s="5" t="n">
        <f aca="false">ITEM_MASTER_CLEAN!A142</f>
        <v>141</v>
      </c>
      <c r="B142" s="5" t="n">
        <f aca="false">ITEM_MASTER_CLEAN!B142</f>
        <v>61647</v>
      </c>
      <c r="C142" s="5" t="str">
        <f aca="false">ITEM_MASTER_CLEAN!C142</f>
        <v>CANDY COTTON CANDY PCS 80252 10LB</v>
      </c>
      <c r="D142" s="5" t="str">
        <f aca="false">ITEM_MASTER_CLEAN!D142</f>
        <v>TOPPINGS / GARNITURES</v>
      </c>
      <c r="E142" s="11" t="n">
        <v>5</v>
      </c>
      <c r="F142" s="11" t="n">
        <v>3</v>
      </c>
      <c r="G142" s="5" t="str">
        <f aca="false">IFERROR(VLOOKUP(D142,SETTINGS!A20:B41,2,FALSE()),"Medium")</f>
        <v>Fast</v>
      </c>
      <c r="H142" s="5" t="n">
        <f aca="false">IFERROR(VLOOKUP(G142,SETTINGS!A14:C16,3,FALSE()),5)</f>
        <v>15</v>
      </c>
      <c r="I142" s="5" t="n">
        <f aca="false">IF(E142&gt;0,E142,H142)</f>
        <v>5</v>
      </c>
      <c r="J142" s="5" t="n">
        <f aca="false">IF(F142&gt;0,F142,H142)</f>
        <v>3</v>
      </c>
      <c r="K142" s="5" t="n">
        <f aca="false">I142/7</f>
        <v>0.714285714285714</v>
      </c>
      <c r="L142" s="5" t="n">
        <f aca="false">J142/7</f>
        <v>0.428571428571429</v>
      </c>
    </row>
    <row r="143" customFormat="false" ht="23.85" hidden="false" customHeight="false" outlineLevel="0" collapsed="false">
      <c r="A143" s="5" t="n">
        <f aca="false">ITEM_MASTER_CLEAN!A143</f>
        <v>142</v>
      </c>
      <c r="B143" s="5" t="n">
        <f aca="false">ITEM_MASTER_CLEAN!B143</f>
        <v>23656</v>
      </c>
      <c r="C143" s="5" t="str">
        <f aca="false">ITEM_MASTER_CLEAN!C143</f>
        <v>CANDY GUMMIE BEAR ASS'T 1X1.5K</v>
      </c>
      <c r="D143" s="5" t="str">
        <f aca="false">ITEM_MASTER_CLEAN!D143</f>
        <v>TOPPINGS / GARNITURES</v>
      </c>
      <c r="E143" s="11" t="n">
        <v>4</v>
      </c>
      <c r="F143" s="11" t="n">
        <v>1</v>
      </c>
      <c r="G143" s="5" t="str">
        <f aca="false">IFERROR(VLOOKUP(D143,SETTINGS!A20:B41,2,FALSE()),"Medium")</f>
        <v>Fast</v>
      </c>
      <c r="H143" s="5" t="n">
        <f aca="false">IFERROR(VLOOKUP(G143,SETTINGS!A14:C16,3,FALSE()),5)</f>
        <v>15</v>
      </c>
      <c r="I143" s="5" t="n">
        <f aca="false">IF(E143&gt;0,E143,H143)</f>
        <v>4</v>
      </c>
      <c r="J143" s="5" t="n">
        <f aca="false">IF(F143&gt;0,F143,H143)</f>
        <v>1</v>
      </c>
      <c r="K143" s="5" t="n">
        <f aca="false">I143/7</f>
        <v>0.571428571428571</v>
      </c>
      <c r="L143" s="5" t="n">
        <f aca="false">J143/7</f>
        <v>0.142857142857143</v>
      </c>
    </row>
    <row r="144" customFormat="false" ht="23.85" hidden="false" customHeight="false" outlineLevel="0" collapsed="false">
      <c r="A144" s="5" t="n">
        <f aca="false">ITEM_MASTER_CLEAN!A144</f>
        <v>143</v>
      </c>
      <c r="B144" s="5" t="n">
        <f aca="false">ITEM_MASTER_CLEAN!B144</f>
        <v>61654</v>
      </c>
      <c r="C144" s="5" t="str">
        <f aca="false">ITEM_MASTER_CLEAN!C144</f>
        <v>CANDY NERDS RAINBOW N390-100 2X5LB</v>
      </c>
      <c r="D144" s="5" t="str">
        <f aca="false">ITEM_MASTER_CLEAN!D144</f>
        <v>TOPPINGS / GARNITURES</v>
      </c>
      <c r="E144" s="11" t="n">
        <v>3</v>
      </c>
      <c r="F144" s="11" t="n">
        <v>1</v>
      </c>
      <c r="G144" s="5" t="str">
        <f aca="false">IFERROR(VLOOKUP(D144,SETTINGS!A20:B41,2,FALSE()),"Medium")</f>
        <v>Fast</v>
      </c>
      <c r="H144" s="5" t="n">
        <f aca="false">IFERROR(VLOOKUP(G144,SETTINGS!A14:C16,3,FALSE()),5)</f>
        <v>15</v>
      </c>
      <c r="I144" s="5" t="n">
        <f aca="false">IF(E144&gt;0,E144,H144)</f>
        <v>3</v>
      </c>
      <c r="J144" s="5" t="n">
        <f aca="false">IF(F144&gt;0,F144,H144)</f>
        <v>1</v>
      </c>
      <c r="K144" s="5" t="n">
        <f aca="false">I144/7</f>
        <v>0.428571428571429</v>
      </c>
      <c r="L144" s="5" t="n">
        <f aca="false">J144/7</f>
        <v>0.142857142857143</v>
      </c>
    </row>
    <row r="145" customFormat="false" ht="23.85" hidden="false" customHeight="false" outlineLevel="0" collapsed="false">
      <c r="A145" s="5" t="n">
        <f aca="false">ITEM_MASTER_CLEAN!A145</f>
        <v>144</v>
      </c>
      <c r="B145" s="5" t="n">
        <f aca="false">ITEM_MASTER_CLEAN!B145</f>
        <v>14624</v>
      </c>
      <c r="C145" s="5" t="str">
        <f aca="false">ITEM_MASTER_CLEAN!C145</f>
        <v>CRUMB GRAHAM DARE 5K</v>
      </c>
      <c r="D145" s="5" t="str">
        <f aca="false">ITEM_MASTER_CLEAN!D145</f>
        <v>TOPPINGS / GARNITURES</v>
      </c>
      <c r="E145" s="11" t="n">
        <v>3</v>
      </c>
      <c r="F145" s="11" t="n">
        <v>2</v>
      </c>
      <c r="G145" s="5" t="str">
        <f aca="false">IFERROR(VLOOKUP(D145,SETTINGS!A20:B41,2,FALSE()),"Medium")</f>
        <v>Fast</v>
      </c>
      <c r="H145" s="5" t="n">
        <f aca="false">IFERROR(VLOOKUP(G145,SETTINGS!A14:C16,3,FALSE()),5)</f>
        <v>15</v>
      </c>
      <c r="I145" s="5" t="n">
        <f aca="false">IF(E145&gt;0,E145,H145)</f>
        <v>3</v>
      </c>
      <c r="J145" s="5" t="n">
        <f aca="false">IF(F145&gt;0,F145,H145)</f>
        <v>2</v>
      </c>
      <c r="K145" s="5" t="n">
        <f aca="false">I145/7</f>
        <v>0.428571428571429</v>
      </c>
      <c r="L145" s="5" t="n">
        <f aca="false">J145/7</f>
        <v>0.285714285714286</v>
      </c>
    </row>
    <row r="146" customFormat="false" ht="23.85" hidden="false" customHeight="false" outlineLevel="0" collapsed="false">
      <c r="A146" s="5" t="n">
        <f aca="false">ITEM_MASTER_CLEAN!A146</f>
        <v>145</v>
      </c>
      <c r="B146" s="5" t="n">
        <f aca="false">ITEM_MASTER_CLEAN!B146</f>
        <v>11692</v>
      </c>
      <c r="C146" s="5" t="str">
        <f aca="false">ITEM_MASTER_CLEAN!C146</f>
        <v>CHOC KIT KAT CRUSHED 4X907G</v>
      </c>
      <c r="D146" s="5" t="str">
        <f aca="false">ITEM_MASTER_CLEAN!D146</f>
        <v>TOPPINGS / GARNITURES</v>
      </c>
      <c r="E146" s="11" t="n">
        <v>5</v>
      </c>
      <c r="F146" s="11" t="n">
        <v>4</v>
      </c>
      <c r="G146" s="5" t="str">
        <f aca="false">IFERROR(VLOOKUP(D146,SETTINGS!A20:B41,2,FALSE()),"Medium")</f>
        <v>Fast</v>
      </c>
      <c r="H146" s="5" t="n">
        <f aca="false">IFERROR(VLOOKUP(G146,SETTINGS!A14:C16,3,FALSE()),5)</f>
        <v>15</v>
      </c>
      <c r="I146" s="5" t="n">
        <f aca="false">IF(E146&gt;0,E146,H146)</f>
        <v>5</v>
      </c>
      <c r="J146" s="5" t="n">
        <f aca="false">IF(F146&gt;0,F146,H146)</f>
        <v>4</v>
      </c>
      <c r="K146" s="5" t="n">
        <f aca="false">I146/7</f>
        <v>0.714285714285714</v>
      </c>
      <c r="L146" s="5" t="n">
        <f aca="false">J146/7</f>
        <v>0.571428571428571</v>
      </c>
    </row>
    <row r="147" customFormat="false" ht="23.85" hidden="false" customHeight="false" outlineLevel="0" collapsed="false">
      <c r="A147" s="5" t="n">
        <f aca="false">ITEM_MASTER_CLEAN!A147</f>
        <v>146</v>
      </c>
      <c r="B147" s="5" t="n">
        <f aca="false">ITEM_MASTER_CLEAN!B147</f>
        <v>62812</v>
      </c>
      <c r="C147" s="5" t="str">
        <f aca="false">ITEM_MASTER_CLEAN!C147</f>
        <v>CHOC SKOR BITE BULK 413 4X1.36K</v>
      </c>
      <c r="D147" s="5" t="str">
        <f aca="false">ITEM_MASTER_CLEAN!D147</f>
        <v>TOPPINGS / GARNITURES</v>
      </c>
      <c r="E147" s="11" t="n">
        <v>2</v>
      </c>
      <c r="F147" s="11" t="n">
        <v>4</v>
      </c>
      <c r="G147" s="5" t="str">
        <f aca="false">IFERROR(VLOOKUP(D147,SETTINGS!A20:B41,2,FALSE()),"Medium")</f>
        <v>Fast</v>
      </c>
      <c r="H147" s="5" t="n">
        <f aca="false">IFERROR(VLOOKUP(G147,SETTINGS!A14:C16,3,FALSE()),5)</f>
        <v>15</v>
      </c>
      <c r="I147" s="5" t="n">
        <f aca="false">IF(E147&gt;0,E147,H147)</f>
        <v>2</v>
      </c>
      <c r="J147" s="5" t="n">
        <f aca="false">IF(F147&gt;0,F147,H147)</f>
        <v>4</v>
      </c>
      <c r="K147" s="5" t="n">
        <f aca="false">I147/7</f>
        <v>0.285714285714286</v>
      </c>
      <c r="L147" s="5" t="n">
        <f aca="false">J147/7</f>
        <v>0.571428571428571</v>
      </c>
    </row>
    <row r="148" customFormat="false" ht="23.85" hidden="false" customHeight="false" outlineLevel="0" collapsed="false">
      <c r="A148" s="5" t="n">
        <f aca="false">ITEM_MASTER_CLEAN!A148</f>
        <v>147</v>
      </c>
      <c r="B148" s="5" t="n">
        <f aca="false">ITEM_MASTER_CLEAN!B148</f>
        <v>44503</v>
      </c>
      <c r="C148" s="5" t="str">
        <f aca="false">ITEM_MASTER_CLEAN!C148</f>
        <v>CHOC SMARTIES CRUSHED BULK 10X1.1K</v>
      </c>
      <c r="D148" s="5" t="str">
        <f aca="false">ITEM_MASTER_CLEAN!D148</f>
        <v>TOPPINGS / GARNITURES</v>
      </c>
      <c r="E148" s="11" t="n">
        <v>2</v>
      </c>
      <c r="F148" s="11" t="n">
        <v>3</v>
      </c>
      <c r="G148" s="5" t="str">
        <f aca="false">IFERROR(VLOOKUP(D148,SETTINGS!A20:B41,2,FALSE()),"Medium")</f>
        <v>Fast</v>
      </c>
      <c r="H148" s="5" t="n">
        <f aca="false">IFERROR(VLOOKUP(G148,SETTINGS!A14:C16,3,FALSE()),5)</f>
        <v>15</v>
      </c>
      <c r="I148" s="5" t="n">
        <f aca="false">IF(E148&gt;0,E148,H148)</f>
        <v>2</v>
      </c>
      <c r="J148" s="5" t="n">
        <f aca="false">IF(F148&gt;0,F148,H148)</f>
        <v>3</v>
      </c>
      <c r="K148" s="5" t="n">
        <f aca="false">I148/7</f>
        <v>0.285714285714286</v>
      </c>
      <c r="L148" s="5" t="n">
        <f aca="false">J148/7</f>
        <v>0.428571428571429</v>
      </c>
    </row>
    <row r="149" customFormat="false" ht="23.85" hidden="false" customHeight="false" outlineLevel="0" collapsed="false">
      <c r="A149" s="5" t="n">
        <f aca="false">ITEM_MASTER_CLEAN!A149</f>
        <v>148</v>
      </c>
      <c r="B149" s="5" t="n">
        <f aca="false">ITEM_MASTER_CLEAN!B149</f>
        <v>37163</v>
      </c>
      <c r="C149" s="5" t="str">
        <f aca="false">ITEM_MASTER_CLEAN!C149</f>
        <v>MAPLE NUGGET SUGAR 4065 1X1K</v>
      </c>
      <c r="D149" s="5" t="str">
        <f aca="false">ITEM_MASTER_CLEAN!D149</f>
        <v>TOPPINGS / GARNITURES</v>
      </c>
      <c r="E149" s="11" t="n">
        <v>6</v>
      </c>
      <c r="F149" s="11" t="n">
        <v>1</v>
      </c>
      <c r="G149" s="5" t="str">
        <f aca="false">IFERROR(VLOOKUP(D149,SETTINGS!A20:B41,2,FALSE()),"Medium")</f>
        <v>Fast</v>
      </c>
      <c r="H149" s="5" t="n">
        <f aca="false">IFERROR(VLOOKUP(G149,SETTINGS!A14:C16,3,FALSE()),5)</f>
        <v>15</v>
      </c>
      <c r="I149" s="5" t="n">
        <f aca="false">IF(E149&gt;0,E149,H149)</f>
        <v>6</v>
      </c>
      <c r="J149" s="5" t="n">
        <f aca="false">IF(F149&gt;0,F149,H149)</f>
        <v>1</v>
      </c>
      <c r="K149" s="5" t="n">
        <f aca="false">I149/7</f>
        <v>0.857142857142857</v>
      </c>
      <c r="L149" s="5" t="n">
        <f aca="false">J149/7</f>
        <v>0.142857142857143</v>
      </c>
    </row>
    <row r="150" customFormat="false" ht="23.85" hidden="false" customHeight="false" outlineLevel="0" collapsed="false">
      <c r="A150" s="5" t="n">
        <f aca="false">ITEM_MASTER_CLEAN!A150</f>
        <v>149</v>
      </c>
      <c r="B150" s="5" t="n">
        <f aca="false">ITEM_MASTER_CLEAN!B150</f>
        <v>32978</v>
      </c>
      <c r="C150" s="5" t="str">
        <f aca="false">ITEM_MASTER_CLEAN!C150</f>
        <v>NUTS ALMOND DICED 10658 25LB</v>
      </c>
      <c r="D150" s="5" t="str">
        <f aca="false">ITEM_MASTER_CLEAN!D150</f>
        <v>TOPPINGS / GARNITURES</v>
      </c>
      <c r="E150" s="11" t="n">
        <v>2</v>
      </c>
      <c r="F150" s="11" t="n">
        <v>4</v>
      </c>
      <c r="G150" s="5" t="str">
        <f aca="false">IFERROR(VLOOKUP(D150,SETTINGS!A20:B41,2,FALSE()),"Medium")</f>
        <v>Fast</v>
      </c>
      <c r="H150" s="5" t="n">
        <f aca="false">IFERROR(VLOOKUP(G150,SETTINGS!A14:C16,3,FALSE()),5)</f>
        <v>15</v>
      </c>
      <c r="I150" s="5" t="n">
        <f aca="false">IF(E150&gt;0,E150,H150)</f>
        <v>2</v>
      </c>
      <c r="J150" s="5" t="n">
        <f aca="false">IF(F150&gt;0,F150,H150)</f>
        <v>4</v>
      </c>
      <c r="K150" s="5" t="n">
        <f aca="false">I150/7</f>
        <v>0.285714285714286</v>
      </c>
      <c r="L150" s="5" t="n">
        <f aca="false">J150/7</f>
        <v>0.571428571428571</v>
      </c>
    </row>
    <row r="151" customFormat="false" ht="23.85" hidden="false" customHeight="false" outlineLevel="0" collapsed="false">
      <c r="A151" s="5" t="n">
        <f aca="false">ITEM_MASTER_CLEAN!A151</f>
        <v>150</v>
      </c>
      <c r="B151" s="5" t="n">
        <f aca="false">ITEM_MASTER_CLEAN!B151</f>
        <v>61496</v>
      </c>
      <c r="C151" s="5" t="str">
        <f aca="false">ITEM_MASTER_CLEAN!C151</f>
        <v>NUTS PEANUT CRSHD RSTED 3X1K</v>
      </c>
      <c r="D151" s="5" t="str">
        <f aca="false">ITEM_MASTER_CLEAN!D151</f>
        <v>TOPPINGS / GARNITURES</v>
      </c>
      <c r="E151" s="11" t="n">
        <v>3</v>
      </c>
      <c r="F151" s="11" t="n">
        <v>4</v>
      </c>
      <c r="G151" s="5" t="str">
        <f aca="false">IFERROR(VLOOKUP(D151,SETTINGS!A20:B41,2,FALSE()),"Medium")</f>
        <v>Fast</v>
      </c>
      <c r="H151" s="5" t="n">
        <f aca="false">IFERROR(VLOOKUP(G151,SETTINGS!A14:C16,3,FALSE()),5)</f>
        <v>15</v>
      </c>
      <c r="I151" s="5" t="n">
        <f aca="false">IF(E151&gt;0,E151,H151)</f>
        <v>3</v>
      </c>
      <c r="J151" s="5" t="n">
        <f aca="false">IF(F151&gt;0,F151,H151)</f>
        <v>4</v>
      </c>
      <c r="K151" s="5" t="n">
        <f aca="false">I151/7</f>
        <v>0.428571428571429</v>
      </c>
      <c r="L151" s="5" t="n">
        <f aca="false">J151/7</f>
        <v>0.571428571428571</v>
      </c>
    </row>
    <row r="152" customFormat="false" ht="23.85" hidden="false" customHeight="false" outlineLevel="0" collapsed="false">
      <c r="A152" s="5" t="n">
        <f aca="false">ITEM_MASTER_CLEAN!A152</f>
        <v>151</v>
      </c>
      <c r="B152" s="5" t="n">
        <f aca="false">ITEM_MASTER_CLEAN!B152</f>
        <v>32981</v>
      </c>
      <c r="C152" s="5" t="str">
        <f aca="false">ITEM_MASTER_CLEAN!C152</f>
        <v>COCONUT SHREDDED SWEET 10780 25LB</v>
      </c>
      <c r="D152" s="5" t="str">
        <f aca="false">ITEM_MASTER_CLEAN!D152</f>
        <v>TOPPINGS / GARNITURES</v>
      </c>
      <c r="E152" s="11" t="n">
        <v>4</v>
      </c>
      <c r="F152" s="11" t="n">
        <v>1</v>
      </c>
      <c r="G152" s="5" t="str">
        <f aca="false">IFERROR(VLOOKUP(D152,SETTINGS!A20:B41,2,FALSE()),"Medium")</f>
        <v>Fast</v>
      </c>
      <c r="H152" s="5" t="n">
        <f aca="false">IFERROR(VLOOKUP(G152,SETTINGS!A14:C16,3,FALSE()),5)</f>
        <v>15</v>
      </c>
      <c r="I152" s="5" t="n">
        <f aca="false">IF(E152&gt;0,E152,H152)</f>
        <v>4</v>
      </c>
      <c r="J152" s="5" t="n">
        <f aca="false">IF(F152&gt;0,F152,H152)</f>
        <v>1</v>
      </c>
      <c r="K152" s="5" t="n">
        <f aca="false">I152/7</f>
        <v>0.571428571428571</v>
      </c>
      <c r="L152" s="5" t="n">
        <f aca="false">J152/7</f>
        <v>0.142857142857143</v>
      </c>
    </row>
    <row r="153" customFormat="false" ht="23.85" hidden="false" customHeight="false" outlineLevel="0" collapsed="false">
      <c r="A153" s="5" t="n">
        <f aca="false">ITEM_MASTER_CLEAN!A153</f>
        <v>152</v>
      </c>
      <c r="B153" s="5" t="n">
        <f aca="false">ITEM_MASTER_CLEAN!B153</f>
        <v>15058</v>
      </c>
      <c r="C153" s="5" t="str">
        <f aca="false">ITEM_MASTER_CLEAN!C153</f>
        <v>NUT HAZELNUT RSTD 3X1K</v>
      </c>
      <c r="D153" s="5" t="str">
        <f aca="false">ITEM_MASTER_CLEAN!D153</f>
        <v>TOPPINGS / GARNITURES</v>
      </c>
      <c r="E153" s="11" t="n">
        <v>4</v>
      </c>
      <c r="F153" s="11" t="n">
        <v>2</v>
      </c>
      <c r="G153" s="5" t="str">
        <f aca="false">IFERROR(VLOOKUP(D153,SETTINGS!A20:B41,2,FALSE()),"Medium")</f>
        <v>Fast</v>
      </c>
      <c r="H153" s="5" t="n">
        <f aca="false">IFERROR(VLOOKUP(G153,SETTINGS!A14:C16,3,FALSE()),5)</f>
        <v>15</v>
      </c>
      <c r="I153" s="5" t="n">
        <f aca="false">IF(E153&gt;0,E153,H153)</f>
        <v>4</v>
      </c>
      <c r="J153" s="5" t="n">
        <f aca="false">IF(F153&gt;0,F153,H153)</f>
        <v>2</v>
      </c>
      <c r="K153" s="5" t="n">
        <f aca="false">I153/7</f>
        <v>0.571428571428571</v>
      </c>
      <c r="L153" s="5" t="n">
        <f aca="false">J153/7</f>
        <v>0.285714285714286</v>
      </c>
    </row>
    <row r="154" customFormat="false" ht="23.85" hidden="false" customHeight="false" outlineLevel="0" collapsed="false">
      <c r="A154" s="5" t="n">
        <f aca="false">ITEM_MASTER_CLEAN!A154</f>
        <v>153</v>
      </c>
      <c r="B154" s="5" t="n">
        <f aca="false">ITEM_MASTER_CLEAN!B154</f>
        <v>40251</v>
      </c>
      <c r="C154" s="5" t="str">
        <f aca="false">ITEM_MASTER_CLEAN!C154</f>
        <v>NUT PISTACHIO N/SHELL 1KG</v>
      </c>
      <c r="D154" s="5" t="str">
        <f aca="false">ITEM_MASTER_CLEAN!D154</f>
        <v>TOPPINGS / GARNITURES</v>
      </c>
      <c r="E154" s="11" t="n">
        <v>5</v>
      </c>
      <c r="F154" s="11" t="n">
        <v>2</v>
      </c>
      <c r="G154" s="5" t="str">
        <f aca="false">IFERROR(VLOOKUP(D154,SETTINGS!A20:B41,2,FALSE()),"Medium")</f>
        <v>Fast</v>
      </c>
      <c r="H154" s="5" t="n">
        <f aca="false">IFERROR(VLOOKUP(G154,SETTINGS!A14:C16,3,FALSE()),5)</f>
        <v>15</v>
      </c>
      <c r="I154" s="5" t="n">
        <f aca="false">IF(E154&gt;0,E154,H154)</f>
        <v>5</v>
      </c>
      <c r="J154" s="5" t="n">
        <f aca="false">IF(F154&gt;0,F154,H154)</f>
        <v>2</v>
      </c>
      <c r="K154" s="5" t="n">
        <f aca="false">I154/7</f>
        <v>0.714285714285714</v>
      </c>
      <c r="L154" s="5" t="n">
        <f aca="false">J154/7</f>
        <v>0.285714285714286</v>
      </c>
    </row>
    <row r="155" customFormat="false" ht="23.85" hidden="false" customHeight="false" outlineLevel="0" collapsed="false">
      <c r="A155" s="5" t="n">
        <f aca="false">ITEM_MASTER_CLEAN!A155</f>
        <v>154</v>
      </c>
      <c r="B155" s="5" t="n">
        <f aca="false">ITEM_MASTER_CLEAN!B155</f>
        <v>34732</v>
      </c>
      <c r="C155" s="5" t="str">
        <f aca="false">ITEM_MASTER_CLEAN!C155</f>
        <v>PRETZEL MINI PRT5204 20LB</v>
      </c>
      <c r="D155" s="5" t="str">
        <f aca="false">ITEM_MASTER_CLEAN!D155</f>
        <v>TOPPINGS / GARNITURES</v>
      </c>
      <c r="E155" s="11" t="n">
        <v>6</v>
      </c>
      <c r="F155" s="11" t="n">
        <v>1</v>
      </c>
      <c r="G155" s="5" t="str">
        <f aca="false">IFERROR(VLOOKUP(D155,SETTINGS!A20:B41,2,FALSE()),"Medium")</f>
        <v>Fast</v>
      </c>
      <c r="H155" s="5" t="n">
        <f aca="false">IFERROR(VLOOKUP(G155,SETTINGS!A14:C16,3,FALSE()),5)</f>
        <v>15</v>
      </c>
      <c r="I155" s="5" t="n">
        <f aca="false">IF(E155&gt;0,E155,H155)</f>
        <v>6</v>
      </c>
      <c r="J155" s="5" t="n">
        <f aca="false">IF(F155&gt;0,F155,H155)</f>
        <v>1</v>
      </c>
      <c r="K155" s="5" t="n">
        <f aca="false">I155/7</f>
        <v>0.857142857142857</v>
      </c>
      <c r="L155" s="5" t="n">
        <f aca="false">J155/7</f>
        <v>0.142857142857143</v>
      </c>
    </row>
    <row r="156" customFormat="false" ht="23.85" hidden="false" customHeight="false" outlineLevel="0" collapsed="false">
      <c r="A156" s="5" t="n">
        <f aca="false">ITEM_MASTER_CLEAN!A156</f>
        <v>155</v>
      </c>
      <c r="B156" s="5" t="n">
        <f aca="false">ITEM_MASTER_CLEAN!B156</f>
        <v>61580</v>
      </c>
      <c r="C156" s="5" t="str">
        <f aca="false">ITEM_MASTER_CLEAN!C156</f>
        <v>SPRINKLES CHOCOLATE K 3K</v>
      </c>
      <c r="D156" s="5" t="str">
        <f aca="false">ITEM_MASTER_CLEAN!D156</f>
        <v>TOPPINGS / GARNITURES</v>
      </c>
      <c r="E156" s="11" t="n">
        <v>3</v>
      </c>
      <c r="F156" s="11" t="n">
        <v>2</v>
      </c>
      <c r="G156" s="5" t="str">
        <f aca="false">IFERROR(VLOOKUP(D156,SETTINGS!A20:B41,2,FALSE()),"Medium")</f>
        <v>Fast</v>
      </c>
      <c r="H156" s="5" t="n">
        <f aca="false">IFERROR(VLOOKUP(G156,SETTINGS!A14:C16,3,FALSE()),5)</f>
        <v>15</v>
      </c>
      <c r="I156" s="5" t="n">
        <f aca="false">IF(E156&gt;0,E156,H156)</f>
        <v>3</v>
      </c>
      <c r="J156" s="5" t="n">
        <f aca="false">IF(F156&gt;0,F156,H156)</f>
        <v>2</v>
      </c>
      <c r="K156" s="5" t="n">
        <f aca="false">I156/7</f>
        <v>0.428571428571429</v>
      </c>
      <c r="L156" s="5" t="n">
        <f aca="false">J156/7</f>
        <v>0.285714285714286</v>
      </c>
    </row>
    <row r="157" customFormat="false" ht="23.85" hidden="false" customHeight="false" outlineLevel="0" collapsed="false">
      <c r="A157" s="5" t="n">
        <f aca="false">ITEM_MASTER_CLEAN!A157</f>
        <v>156</v>
      </c>
      <c r="B157" s="5" t="n">
        <f aca="false">ITEM_MASTER_CLEAN!B157</f>
        <v>61581</v>
      </c>
      <c r="C157" s="5" t="str">
        <f aca="false">ITEM_MASTER_CLEAN!C157</f>
        <v>SPRINKLES RAINBOW 3K</v>
      </c>
      <c r="D157" s="5" t="str">
        <f aca="false">ITEM_MASTER_CLEAN!D157</f>
        <v>TOPPINGS / GARNITURES</v>
      </c>
      <c r="E157" s="11" t="n">
        <v>6</v>
      </c>
      <c r="F157" s="11" t="n">
        <v>1</v>
      </c>
      <c r="G157" s="5" t="str">
        <f aca="false">IFERROR(VLOOKUP(D157,SETTINGS!A20:B41,2,FALSE()),"Medium")</f>
        <v>Fast</v>
      </c>
      <c r="H157" s="5" t="n">
        <f aca="false">IFERROR(VLOOKUP(G157,SETTINGS!A14:C16,3,FALSE()),5)</f>
        <v>15</v>
      </c>
      <c r="I157" s="5" t="n">
        <f aca="false">IF(E157&gt;0,E157,H157)</f>
        <v>6</v>
      </c>
      <c r="J157" s="5" t="n">
        <f aca="false">IF(F157&gt;0,F157,H157)</f>
        <v>1</v>
      </c>
      <c r="K157" s="5" t="n">
        <f aca="false">I157/7</f>
        <v>0.857142857142857</v>
      </c>
      <c r="L157" s="5" t="n">
        <f aca="false">J157/7</f>
        <v>0.142857142857143</v>
      </c>
    </row>
    <row r="158" customFormat="false" ht="23.85" hidden="false" customHeight="false" outlineLevel="0" collapsed="false">
      <c r="A158" s="5" t="n">
        <f aca="false">ITEM_MASTER_CLEAN!A158</f>
        <v>157</v>
      </c>
      <c r="B158" s="5" t="n">
        <f aca="false">ITEM_MASTER_CLEAN!B158</f>
        <v>67089</v>
      </c>
      <c r="C158" s="5" t="str">
        <f aca="false">ITEM_MASTER_CLEAN!C158</f>
        <v>SYRUP VANILLA MONIN K 750ML</v>
      </c>
      <c r="D158" s="5" t="str">
        <f aca="false">ITEM_MASTER_CLEAN!D158</f>
        <v>SYROP POUR CAFE</v>
      </c>
      <c r="E158" s="11" t="n">
        <v>1</v>
      </c>
      <c r="F158" s="11" t="n">
        <v>2</v>
      </c>
      <c r="G158" s="5" t="str">
        <f aca="false">IFERROR(VLOOKUP(D158,SETTINGS!A20:B41,2,FALSE()),"Medium")</f>
        <v>Medium</v>
      </c>
      <c r="H158" s="5" t="n">
        <f aca="false">IFERROR(VLOOKUP(G158,SETTINGS!A14:C16,3,FALSE()),5)</f>
        <v>8</v>
      </c>
      <c r="I158" s="5" t="n">
        <f aca="false">IF(E158&gt;0,E158,H158)</f>
        <v>1</v>
      </c>
      <c r="J158" s="5" t="n">
        <f aca="false">IF(F158&gt;0,F158,H158)</f>
        <v>2</v>
      </c>
      <c r="K158" s="5" t="n">
        <f aca="false">I158/7</f>
        <v>0.142857142857143</v>
      </c>
      <c r="L158" s="5" t="n">
        <f aca="false">J158/7</f>
        <v>0.285714285714286</v>
      </c>
    </row>
    <row r="159" customFormat="false" ht="23.85" hidden="false" customHeight="false" outlineLevel="0" collapsed="false">
      <c r="A159" s="5" t="n">
        <f aca="false">ITEM_MASTER_CLEAN!A159</f>
        <v>158</v>
      </c>
      <c r="B159" s="5" t="n">
        <f aca="false">ITEM_MASTER_CLEAN!B159</f>
        <v>67123</v>
      </c>
      <c r="C159" s="5" t="str">
        <f aca="false">ITEM_MASTER_CLEAN!C159</f>
        <v>SYRUP PUR CANE SUG MONIN 750ML</v>
      </c>
      <c r="D159" s="5" t="str">
        <f aca="false">ITEM_MASTER_CLEAN!D159</f>
        <v>SYROP POUR CAFE</v>
      </c>
      <c r="E159" s="11" t="n">
        <v>2</v>
      </c>
      <c r="F159" s="11" t="n">
        <v>1</v>
      </c>
      <c r="G159" s="5" t="str">
        <f aca="false">IFERROR(VLOOKUP(D159,SETTINGS!A20:B41,2,FALSE()),"Medium")</f>
        <v>Medium</v>
      </c>
      <c r="H159" s="5" t="n">
        <f aca="false">IFERROR(VLOOKUP(G159,SETTINGS!A14:C16,3,FALSE()),5)</f>
        <v>8</v>
      </c>
      <c r="I159" s="5" t="n">
        <f aca="false">IF(E159&gt;0,E159,H159)</f>
        <v>2</v>
      </c>
      <c r="J159" s="5" t="n">
        <f aca="false">IF(F159&gt;0,F159,H159)</f>
        <v>1</v>
      </c>
      <c r="K159" s="5" t="n">
        <f aca="false">I159/7</f>
        <v>0.285714285714286</v>
      </c>
      <c r="L159" s="5" t="n">
        <f aca="false">J159/7</f>
        <v>0.142857142857143</v>
      </c>
    </row>
    <row r="160" customFormat="false" ht="23.85" hidden="false" customHeight="false" outlineLevel="0" collapsed="false">
      <c r="A160" s="5" t="n">
        <f aca="false">ITEM_MASTER_CLEAN!A160</f>
        <v>159</v>
      </c>
      <c r="B160" s="5" t="n">
        <f aca="false">ITEM_MASTER_CLEAN!B160</f>
        <v>67121</v>
      </c>
      <c r="C160" s="5" t="str">
        <f aca="false">ITEM_MASTER_CLEAN!C160</f>
        <v>SYRUP MOJITO MONIN 750ML</v>
      </c>
      <c r="D160" s="5" t="str">
        <f aca="false">ITEM_MASTER_CLEAN!D160</f>
        <v>SYROP POUR CAFE</v>
      </c>
      <c r="E160" s="11" t="n">
        <v>3</v>
      </c>
      <c r="F160" s="11" t="n">
        <v>2</v>
      </c>
      <c r="G160" s="5" t="str">
        <f aca="false">IFERROR(VLOOKUP(D160,SETTINGS!A20:B41,2,FALSE()),"Medium")</f>
        <v>Medium</v>
      </c>
      <c r="H160" s="5" t="n">
        <f aca="false">IFERROR(VLOOKUP(G160,SETTINGS!A14:C16,3,FALSE()),5)</f>
        <v>8</v>
      </c>
      <c r="I160" s="5" t="n">
        <f aca="false">IF(E160&gt;0,E160,H160)</f>
        <v>3</v>
      </c>
      <c r="J160" s="5" t="n">
        <f aca="false">IF(F160&gt;0,F160,H160)</f>
        <v>2</v>
      </c>
      <c r="K160" s="5" t="n">
        <f aca="false">I160/7</f>
        <v>0.428571428571429</v>
      </c>
      <c r="L160" s="5" t="n">
        <f aca="false">J160/7</f>
        <v>0.285714285714286</v>
      </c>
    </row>
    <row r="161" customFormat="false" ht="23.85" hidden="false" customHeight="false" outlineLevel="0" collapsed="false">
      <c r="A161" s="5" t="n">
        <f aca="false">ITEM_MASTER_CLEAN!A161</f>
        <v>160</v>
      </c>
      <c r="B161" s="5" t="n">
        <f aca="false">ITEM_MASTER_CLEAN!B161</f>
        <v>67094</v>
      </c>
      <c r="C161" s="5" t="str">
        <f aca="false">ITEM_MASTER_CLEAN!C161</f>
        <v>PUMP SYRUP MONIN 750ML(WHITE) 1</v>
      </c>
      <c r="D161" s="5" t="str">
        <f aca="false">ITEM_MASTER_CLEAN!D161</f>
        <v>SYROP POUR CAFE</v>
      </c>
      <c r="E161" s="11" t="n">
        <v>1</v>
      </c>
      <c r="F161" s="11" t="n">
        <v>2</v>
      </c>
      <c r="G161" s="5" t="str">
        <f aca="false">IFERROR(VLOOKUP(D161,SETTINGS!A20:B41,2,FALSE()),"Medium")</f>
        <v>Medium</v>
      </c>
      <c r="H161" s="5" t="n">
        <f aca="false">IFERROR(VLOOKUP(G161,SETTINGS!A14:C16,3,FALSE()),5)</f>
        <v>8</v>
      </c>
      <c r="I161" s="5" t="n">
        <f aca="false">IF(E161&gt;0,E161,H161)</f>
        <v>1</v>
      </c>
      <c r="J161" s="5" t="n">
        <f aca="false">IF(F161&gt;0,F161,H161)</f>
        <v>2</v>
      </c>
      <c r="K161" s="5" t="n">
        <f aca="false">I161/7</f>
        <v>0.142857142857143</v>
      </c>
      <c r="L161" s="5" t="n">
        <f aca="false">J161/7</f>
        <v>0.285714285714286</v>
      </c>
    </row>
    <row r="162" customFormat="false" ht="23.85" hidden="false" customHeight="false" outlineLevel="0" collapsed="false">
      <c r="A162" s="5" t="n">
        <f aca="false">ITEM_MASTER_CLEAN!A162</f>
        <v>161</v>
      </c>
      <c r="B162" s="5" t="n">
        <f aca="false">ITEM_MASTER_CLEAN!B162</f>
        <v>67106</v>
      </c>
      <c r="C162" s="5" t="str">
        <f aca="false">ITEM_MASTER_CLEAN!C162</f>
        <v>COFF ICED CONCENTRATE M-FT216F 4X1L</v>
      </c>
      <c r="D162" s="5" t="str">
        <f aca="false">ITEM_MASTER_CLEAN!D162</f>
        <v>SYROP POUR CAFE</v>
      </c>
      <c r="E162" s="11" t="n">
        <v>1</v>
      </c>
      <c r="F162" s="11" t="n">
        <v>2</v>
      </c>
      <c r="G162" s="5" t="str">
        <f aca="false">IFERROR(VLOOKUP(D162,SETTINGS!A20:B41,2,FALSE()),"Medium")</f>
        <v>Medium</v>
      </c>
      <c r="H162" s="5" t="n">
        <f aca="false">IFERROR(VLOOKUP(G162,SETTINGS!A14:C16,3,FALSE()),5)</f>
        <v>8</v>
      </c>
      <c r="I162" s="5" t="n">
        <f aca="false">IF(E162&gt;0,E162,H162)</f>
        <v>1</v>
      </c>
      <c r="J162" s="5" t="n">
        <f aca="false">IF(F162&gt;0,F162,H162)</f>
        <v>2</v>
      </c>
      <c r="K162" s="5" t="n">
        <f aca="false">I162/7</f>
        <v>0.142857142857143</v>
      </c>
      <c r="L162" s="5" t="n">
        <f aca="false">J162/7</f>
        <v>0.285714285714286</v>
      </c>
    </row>
    <row r="163" customFormat="false" ht="15" hidden="false" customHeight="false" outlineLevel="0" collapsed="false">
      <c r="A163" s="5" t="n">
        <f aca="false">ITEM_MASTER_CLEAN!A163</f>
        <v>162</v>
      </c>
      <c r="B163" s="5" t="n">
        <f aca="false">ITEM_MASTER_CLEAN!B163</f>
        <v>25645</v>
      </c>
      <c r="C163" s="5" t="str">
        <f aca="false">ITEM_MASTER_CLEAN!C163</f>
        <v>WATER ESKA NATURAL SPRING 24X500ML</v>
      </c>
      <c r="D163" s="5" t="str">
        <f aca="false">ITEM_MASTER_CLEAN!D163</f>
        <v>BEVERAGES</v>
      </c>
      <c r="E163" s="11" t="n">
        <v>6</v>
      </c>
      <c r="F163" s="11" t="n">
        <v>4</v>
      </c>
      <c r="G163" s="5" t="str">
        <f aca="false">IFERROR(VLOOKUP(D163,SETTINGS!A20:B41,2,FALSE()),"Medium")</f>
        <v>Fast</v>
      </c>
      <c r="H163" s="5" t="n">
        <f aca="false">IFERROR(VLOOKUP(G163,SETTINGS!A14:C16,3,FALSE()),5)</f>
        <v>15</v>
      </c>
      <c r="I163" s="5" t="n">
        <f aca="false">IF(E163&gt;0,E163,H163)</f>
        <v>6</v>
      </c>
      <c r="J163" s="5" t="n">
        <f aca="false">IF(F163&gt;0,F163,H163)</f>
        <v>4</v>
      </c>
      <c r="K163" s="5" t="n">
        <f aca="false">I163/7</f>
        <v>0.857142857142857</v>
      </c>
      <c r="L163" s="5" t="n">
        <f aca="false">J163/7</f>
        <v>0.571428571428571</v>
      </c>
    </row>
    <row r="164" customFormat="false" ht="15" hidden="false" customHeight="false" outlineLevel="0" collapsed="false">
      <c r="A164" s="5" t="n">
        <f aca="false">ITEM_MASTER_CLEAN!A164</f>
        <v>163</v>
      </c>
      <c r="B164" s="5" t="n">
        <f aca="false">ITEM_MASTER_CLEAN!B164</f>
        <v>724574</v>
      </c>
      <c r="C164" s="5" t="str">
        <f aca="false">ITEM_MASTER_CLEAN!C164</f>
        <v>BEV RED BULL SUGAR FREE 24X250ML</v>
      </c>
      <c r="D164" s="5" t="str">
        <f aca="false">ITEM_MASTER_CLEAN!D164</f>
        <v>BEVERAGES</v>
      </c>
      <c r="E164" s="11" t="n">
        <v>5</v>
      </c>
      <c r="F164" s="11" t="n">
        <v>2</v>
      </c>
      <c r="G164" s="5" t="str">
        <f aca="false">IFERROR(VLOOKUP(D164,SETTINGS!A20:B41,2,FALSE()),"Medium")</f>
        <v>Fast</v>
      </c>
      <c r="H164" s="5" t="n">
        <f aca="false">IFERROR(VLOOKUP(G164,SETTINGS!A14:C16,3,FALSE()),5)</f>
        <v>15</v>
      </c>
      <c r="I164" s="5" t="n">
        <f aca="false">IF(E164&gt;0,E164,H164)</f>
        <v>5</v>
      </c>
      <c r="J164" s="5" t="n">
        <f aca="false">IF(F164&gt;0,F164,H164)</f>
        <v>2</v>
      </c>
      <c r="K164" s="5" t="n">
        <f aca="false">I164/7</f>
        <v>0.714285714285714</v>
      </c>
      <c r="L164" s="5" t="n">
        <f aca="false">J164/7</f>
        <v>0.285714285714286</v>
      </c>
    </row>
    <row r="165" customFormat="false" ht="15" hidden="false" customHeight="false" outlineLevel="0" collapsed="false">
      <c r="A165" s="5" t="n">
        <f aca="false">ITEM_MASTER_CLEAN!A165</f>
        <v>164</v>
      </c>
      <c r="B165" s="5" t="n">
        <f aca="false">ITEM_MASTER_CLEAN!B165</f>
        <v>724573</v>
      </c>
      <c r="C165" s="5" t="str">
        <f aca="false">ITEM_MASTER_CLEAN!C165</f>
        <v>BEV RED BULL 24X250ML</v>
      </c>
      <c r="D165" s="5" t="str">
        <f aca="false">ITEM_MASTER_CLEAN!D165</f>
        <v>BEVERAGES</v>
      </c>
      <c r="E165" s="11" t="n">
        <v>8</v>
      </c>
      <c r="F165" s="11" t="n">
        <v>5</v>
      </c>
      <c r="G165" s="5" t="str">
        <f aca="false">IFERROR(VLOOKUP(D165,SETTINGS!A20:B41,2,FALSE()),"Medium")</f>
        <v>Fast</v>
      </c>
      <c r="H165" s="5" t="n">
        <f aca="false">IFERROR(VLOOKUP(G165,SETTINGS!A14:C16,3,FALSE()),5)</f>
        <v>15</v>
      </c>
      <c r="I165" s="5" t="n">
        <f aca="false">IF(E165&gt;0,E165,H165)</f>
        <v>8</v>
      </c>
      <c r="J165" s="5" t="n">
        <f aca="false">IF(F165&gt;0,F165,H165)</f>
        <v>5</v>
      </c>
      <c r="K165" s="5" t="n">
        <f aca="false">I165/7</f>
        <v>1.14285714285714</v>
      </c>
      <c r="L165" s="5" t="n">
        <f aca="false">J165/7</f>
        <v>0.714285714285714</v>
      </c>
    </row>
    <row r="166" customFormat="false" ht="15" hidden="false" customHeight="false" outlineLevel="0" collapsed="false">
      <c r="A166" s="5" t="n">
        <f aca="false">ITEM_MASTER_CLEAN!A166</f>
        <v>165</v>
      </c>
      <c r="B166" s="5" t="n">
        <f aca="false">ITEM_MASTER_CLEAN!B166</f>
        <v>724571</v>
      </c>
      <c r="C166" s="5" t="str">
        <f aca="false">ITEM_MASTER_CLEAN!C166</f>
        <v>BEV RED BULL WATERMELON 24X250ML</v>
      </c>
      <c r="D166" s="5" t="str">
        <f aca="false">ITEM_MASTER_CLEAN!D166</f>
        <v>BEVERAGES</v>
      </c>
      <c r="E166" s="11" t="n">
        <v>7</v>
      </c>
      <c r="F166" s="11" t="n">
        <v>5</v>
      </c>
      <c r="G166" s="5" t="str">
        <f aca="false">IFERROR(VLOOKUP(D166,SETTINGS!A20:B41,2,FALSE()),"Medium")</f>
        <v>Fast</v>
      </c>
      <c r="H166" s="5" t="n">
        <f aca="false">IFERROR(VLOOKUP(G166,SETTINGS!A14:C16,3,FALSE()),5)</f>
        <v>15</v>
      </c>
      <c r="I166" s="5" t="n">
        <f aca="false">IF(E166&gt;0,E166,H166)</f>
        <v>7</v>
      </c>
      <c r="J166" s="5" t="n">
        <f aca="false">IF(F166&gt;0,F166,H166)</f>
        <v>5</v>
      </c>
      <c r="K166" s="5" t="n">
        <f aca="false">I166/7</f>
        <v>1</v>
      </c>
      <c r="L166" s="5" t="n">
        <f aca="false">J166/7</f>
        <v>0.714285714285714</v>
      </c>
    </row>
    <row r="167" customFormat="false" ht="46.25" hidden="false" customHeight="false" outlineLevel="0" collapsed="false">
      <c r="A167" s="5" t="n">
        <f aca="false">ITEM_MASTER_CLEAN!A167</f>
        <v>166</v>
      </c>
      <c r="B167" s="5" t="n">
        <f aca="false">ITEM_MASTER_CLEAN!B167</f>
        <v>45164</v>
      </c>
      <c r="C167" s="5" t="str">
        <f aca="false">ITEM_MASTER_CLEAN!C167</f>
        <v>POPPING BOBBA MANGO 2X3.1K</v>
      </c>
      <c r="D167" s="5" t="str">
        <f aca="false">ITEM_MASTER_CLEAN!D167</f>
        <v>BREUVAGES D'ETE -SUMMER DRINKS</v>
      </c>
      <c r="E167" s="11" t="n">
        <v>2</v>
      </c>
      <c r="F167" s="11" t="n">
        <v>4</v>
      </c>
      <c r="G167" s="5" t="str">
        <f aca="false">IFERROR(VLOOKUP(D167,SETTINGS!A20:B41,2,FALSE()),"Medium")</f>
        <v>Medium</v>
      </c>
      <c r="H167" s="5" t="n">
        <f aca="false">IFERROR(VLOOKUP(G167,SETTINGS!A14:C16,3,FALSE()),5)</f>
        <v>8</v>
      </c>
      <c r="I167" s="5" t="n">
        <f aca="false">IF(E167&gt;0,E167,H167)</f>
        <v>2</v>
      </c>
      <c r="J167" s="5" t="n">
        <f aca="false">IF(F167&gt;0,F167,H167)</f>
        <v>4</v>
      </c>
      <c r="K167" s="5" t="n">
        <f aca="false">I167/7</f>
        <v>0.285714285714286</v>
      </c>
      <c r="L167" s="5" t="n">
        <f aca="false">J167/7</f>
        <v>0.571428571428571</v>
      </c>
    </row>
    <row r="168" customFormat="false" ht="46.25" hidden="false" customHeight="false" outlineLevel="0" collapsed="false">
      <c r="A168" s="5" t="n">
        <f aca="false">ITEM_MASTER_CLEAN!A168</f>
        <v>167</v>
      </c>
      <c r="B168" s="5" t="n">
        <f aca="false">ITEM_MASTER_CLEAN!B168</f>
        <v>52266</v>
      </c>
      <c r="C168" s="5" t="str">
        <f aca="false">ITEM_MASTER_CLEAN!C168</f>
        <v>POPPING BOBBA STRAWBERRY 2X3.1K</v>
      </c>
      <c r="D168" s="5" t="str">
        <f aca="false">ITEM_MASTER_CLEAN!D168</f>
        <v>BREUVAGES D'ETE -SUMMER DRINKS</v>
      </c>
      <c r="E168" s="11" t="n">
        <v>2</v>
      </c>
      <c r="F168" s="11" t="n">
        <v>3</v>
      </c>
      <c r="G168" s="5" t="str">
        <f aca="false">IFERROR(VLOOKUP(D168,SETTINGS!A20:B41,2,FALSE()),"Medium")</f>
        <v>Medium</v>
      </c>
      <c r="H168" s="5" t="n">
        <f aca="false">IFERROR(VLOOKUP(G168,SETTINGS!A14:C16,3,FALSE()),5)</f>
        <v>8</v>
      </c>
      <c r="I168" s="5" t="n">
        <f aca="false">IF(E168&gt;0,E168,H168)</f>
        <v>2</v>
      </c>
      <c r="J168" s="5" t="n">
        <f aca="false">IF(F168&gt;0,F168,H168)</f>
        <v>3</v>
      </c>
      <c r="K168" s="5" t="n">
        <f aca="false">I168/7</f>
        <v>0.285714285714286</v>
      </c>
      <c r="L168" s="5" t="n">
        <f aca="false">J168/7</f>
        <v>0.428571428571429</v>
      </c>
    </row>
    <row r="169" customFormat="false" ht="46.25" hidden="false" customHeight="false" outlineLevel="0" collapsed="false">
      <c r="A169" s="5" t="n">
        <f aca="false">ITEM_MASTER_CLEAN!A169</f>
        <v>168</v>
      </c>
      <c r="B169" s="5" t="n">
        <f aca="false">ITEM_MASTER_CLEAN!B169</f>
        <v>39813</v>
      </c>
      <c r="C169" s="5" t="str">
        <f aca="false">ITEM_MASTER_CLEAN!C169</f>
        <v>LADIP SMOOTH MAN/PCH(SUNRIZE)40X135</v>
      </c>
      <c r="D169" s="5" t="str">
        <f aca="false">ITEM_MASTER_CLEAN!D169</f>
        <v>BREUVAGES D'ETE -SUMMER DRINKS</v>
      </c>
      <c r="E169" s="11" t="n">
        <v>5</v>
      </c>
      <c r="F169" s="11" t="n">
        <v>1</v>
      </c>
      <c r="G169" s="5" t="str">
        <f aca="false">IFERROR(VLOOKUP(D169,SETTINGS!A20:B41,2,FALSE()),"Medium")</f>
        <v>Medium</v>
      </c>
      <c r="H169" s="5" t="n">
        <f aca="false">IFERROR(VLOOKUP(G169,SETTINGS!A14:C16,3,FALSE()),5)</f>
        <v>8</v>
      </c>
      <c r="I169" s="5" t="n">
        <f aca="false">IF(E169&gt;0,E169,H169)</f>
        <v>5</v>
      </c>
      <c r="J169" s="5" t="n">
        <f aca="false">IF(F169&gt;0,F169,H169)</f>
        <v>1</v>
      </c>
      <c r="K169" s="5" t="n">
        <f aca="false">I169/7</f>
        <v>0.714285714285714</v>
      </c>
      <c r="L169" s="5" t="n">
        <f aca="false">J169/7</f>
        <v>0.142857142857143</v>
      </c>
    </row>
    <row r="170" customFormat="false" ht="46.25" hidden="false" customHeight="false" outlineLevel="0" collapsed="false">
      <c r="A170" s="5" t="n">
        <f aca="false">ITEM_MASTER_CLEAN!A170</f>
        <v>169</v>
      </c>
      <c r="B170" s="5" t="n">
        <f aca="false">ITEM_MASTER_CLEAN!B170</f>
        <v>39814</v>
      </c>
      <c r="C170" s="5" t="str">
        <f aca="false">ITEM_MASTER_CLEAN!C170</f>
        <v>LADIP SMOOTHIE MAN/KIWI(AZUR)40X135</v>
      </c>
      <c r="D170" s="5" t="str">
        <f aca="false">ITEM_MASTER_CLEAN!D170</f>
        <v>BREUVAGES D'ETE -SUMMER DRINKS</v>
      </c>
      <c r="E170" s="11" t="n">
        <v>2</v>
      </c>
      <c r="F170" s="11" t="n">
        <v>3</v>
      </c>
      <c r="G170" s="5" t="str">
        <f aca="false">IFERROR(VLOOKUP(D170,SETTINGS!A20:B41,2,FALSE()),"Medium")</f>
        <v>Medium</v>
      </c>
      <c r="H170" s="5" t="n">
        <f aca="false">IFERROR(VLOOKUP(G170,SETTINGS!A14:C16,3,FALSE()),5)</f>
        <v>8</v>
      </c>
      <c r="I170" s="5" t="n">
        <f aca="false">IF(E170&gt;0,E170,H170)</f>
        <v>2</v>
      </c>
      <c r="J170" s="5" t="n">
        <f aca="false">IF(F170&gt;0,F170,H170)</f>
        <v>3</v>
      </c>
      <c r="K170" s="5" t="n">
        <f aca="false">I170/7</f>
        <v>0.285714285714286</v>
      </c>
      <c r="L170" s="5" t="n">
        <f aca="false">J170/7</f>
        <v>0.428571428571429</v>
      </c>
    </row>
    <row r="171" customFormat="false" ht="46.25" hidden="false" customHeight="false" outlineLevel="0" collapsed="false">
      <c r="A171" s="5" t="n">
        <f aca="false">ITEM_MASTER_CLEAN!A171</f>
        <v>170</v>
      </c>
      <c r="B171" s="5" t="n">
        <f aca="false">ITEM_MASTER_CLEAN!B171</f>
        <v>32548</v>
      </c>
      <c r="C171" s="5" t="str">
        <f aca="false">ITEM_MASTER_CLEAN!C171</f>
        <v>JCE LEMON REALEMON K 2X3.8L</v>
      </c>
      <c r="D171" s="5" t="str">
        <f aca="false">ITEM_MASTER_CLEAN!D171</f>
        <v>BREUVAGES D'ETE -SUMMER DRINKS</v>
      </c>
      <c r="E171" s="11" t="n">
        <v>5</v>
      </c>
      <c r="F171" s="11" t="n">
        <v>2</v>
      </c>
      <c r="G171" s="5" t="str">
        <f aca="false">IFERROR(VLOOKUP(D171,SETTINGS!A20:B41,2,FALSE()),"Medium")</f>
        <v>Medium</v>
      </c>
      <c r="H171" s="5" t="n">
        <f aca="false">IFERROR(VLOOKUP(G171,SETTINGS!A14:C16,3,FALSE()),5)</f>
        <v>8</v>
      </c>
      <c r="I171" s="5" t="n">
        <f aca="false">IF(E171&gt;0,E171,H171)</f>
        <v>5</v>
      </c>
      <c r="J171" s="5" t="n">
        <f aca="false">IF(F171&gt;0,F171,H171)</f>
        <v>2</v>
      </c>
      <c r="K171" s="5" t="n">
        <f aca="false">I171/7</f>
        <v>0.714285714285714</v>
      </c>
      <c r="L171" s="5" t="n">
        <f aca="false">J171/7</f>
        <v>0.285714285714286</v>
      </c>
    </row>
    <row r="172" customFormat="false" ht="46.25" hidden="false" customHeight="false" outlineLevel="0" collapsed="false">
      <c r="A172" s="5" t="n">
        <f aca="false">ITEM_MASTER_CLEAN!A172</f>
        <v>171</v>
      </c>
      <c r="B172" s="5" t="n">
        <f aca="false">ITEM_MASTER_CLEAN!B172</f>
        <v>67168</v>
      </c>
      <c r="C172" s="5" t="str">
        <f aca="false">ITEM_MASTER_CLEAN!C172</f>
        <v>SYRUP MANGO M-FR032F 1L</v>
      </c>
      <c r="D172" s="5" t="str">
        <f aca="false">ITEM_MASTER_CLEAN!D172</f>
        <v>BREUVAGES D'ETE -SUMMER DRINKS</v>
      </c>
      <c r="E172" s="11" t="n">
        <v>3</v>
      </c>
      <c r="F172" s="11" t="n">
        <v>1</v>
      </c>
      <c r="G172" s="5" t="str">
        <f aca="false">IFERROR(VLOOKUP(D172,SETTINGS!A20:B41,2,FALSE()),"Medium")</f>
        <v>Medium</v>
      </c>
      <c r="H172" s="5" t="n">
        <f aca="false">IFERROR(VLOOKUP(G172,SETTINGS!A14:C16,3,FALSE()),5)</f>
        <v>8</v>
      </c>
      <c r="I172" s="5" t="n">
        <f aca="false">IF(E172&gt;0,E172,H172)</f>
        <v>3</v>
      </c>
      <c r="J172" s="5" t="n">
        <f aca="false">IF(F172&gt;0,F172,H172)</f>
        <v>1</v>
      </c>
      <c r="K172" s="5" t="n">
        <f aca="false">I172/7</f>
        <v>0.428571428571429</v>
      </c>
      <c r="L172" s="5" t="n">
        <f aca="false">J172/7</f>
        <v>0.142857142857143</v>
      </c>
    </row>
    <row r="173" customFormat="false" ht="46.25" hidden="false" customHeight="false" outlineLevel="0" collapsed="false">
      <c r="A173" s="5" t="n">
        <f aca="false">ITEM_MASTER_CLEAN!A173</f>
        <v>172</v>
      </c>
      <c r="B173" s="5" t="n">
        <f aca="false">ITEM_MASTER_CLEAN!B173</f>
        <v>67154</v>
      </c>
      <c r="C173" s="5" t="str">
        <f aca="false">ITEM_MASTER_CLEAN!C173</f>
        <v>SYRUP PASSION FRUIT 1L</v>
      </c>
      <c r="D173" s="5" t="str">
        <f aca="false">ITEM_MASTER_CLEAN!D173</f>
        <v>BREUVAGES D'ETE -SUMMER DRINKS</v>
      </c>
      <c r="E173" s="11" t="n">
        <v>3</v>
      </c>
      <c r="F173" s="11" t="n">
        <v>3</v>
      </c>
      <c r="G173" s="5" t="str">
        <f aca="false">IFERROR(VLOOKUP(D173,SETTINGS!A20:B41,2,FALSE()),"Medium")</f>
        <v>Medium</v>
      </c>
      <c r="H173" s="5" t="n">
        <f aca="false">IFERROR(VLOOKUP(G173,SETTINGS!A14:C16,3,FALSE()),5)</f>
        <v>8</v>
      </c>
      <c r="I173" s="5" t="n">
        <f aca="false">IF(E173&gt;0,E173,H173)</f>
        <v>3</v>
      </c>
      <c r="J173" s="5" t="n">
        <f aca="false">IF(F173&gt;0,F173,H173)</f>
        <v>3</v>
      </c>
      <c r="K173" s="5" t="n">
        <f aca="false">I173/7</f>
        <v>0.428571428571429</v>
      </c>
      <c r="L173" s="5" t="n">
        <f aca="false">J173/7</f>
        <v>0.428571428571429</v>
      </c>
    </row>
    <row r="174" customFormat="false" ht="46.25" hidden="false" customHeight="false" outlineLevel="0" collapsed="false">
      <c r="A174" s="5" t="n">
        <f aca="false">ITEM_MASTER_CLEAN!A174</f>
        <v>173</v>
      </c>
      <c r="B174" s="5" t="n">
        <f aca="false">ITEM_MASTER_CLEAN!B174</f>
        <v>67132</v>
      </c>
      <c r="C174" s="5" t="str">
        <f aca="false">ITEM_MASTER_CLEAN!C174</f>
        <v>SYRUP BLUE CURACAO M-AR007A  750ML</v>
      </c>
      <c r="D174" s="5" t="str">
        <f aca="false">ITEM_MASTER_CLEAN!D174</f>
        <v>BREUVAGES D'ETE -SUMMER DRINKS</v>
      </c>
      <c r="E174" s="11" t="n">
        <v>5</v>
      </c>
      <c r="F174" s="11" t="n">
        <v>3</v>
      </c>
      <c r="G174" s="5" t="str">
        <f aca="false">IFERROR(VLOOKUP(D174,SETTINGS!A20:B41,2,FALSE()),"Medium")</f>
        <v>Medium</v>
      </c>
      <c r="H174" s="5" t="n">
        <f aca="false">IFERROR(VLOOKUP(G174,SETTINGS!A14:C16,3,FALSE()),5)</f>
        <v>8</v>
      </c>
      <c r="I174" s="5" t="n">
        <f aca="false">IF(E174&gt;0,E174,H174)</f>
        <v>5</v>
      </c>
      <c r="J174" s="5" t="n">
        <f aca="false">IF(F174&gt;0,F174,H174)</f>
        <v>3</v>
      </c>
      <c r="K174" s="5" t="n">
        <f aca="false">I174/7</f>
        <v>0.714285714285714</v>
      </c>
      <c r="L174" s="5" t="n">
        <f aca="false">J174/7</f>
        <v>0.428571428571429</v>
      </c>
    </row>
    <row r="175" customFormat="false" ht="46.25" hidden="false" customHeight="false" outlineLevel="0" collapsed="false">
      <c r="A175" s="5" t="n">
        <f aca="false">ITEM_MASTER_CLEAN!A175</f>
        <v>174</v>
      </c>
      <c r="B175" s="5" t="n">
        <f aca="false">ITEM_MASTER_CLEAN!B175</f>
        <v>61661</v>
      </c>
      <c r="C175" s="5" t="str">
        <f aca="false">ITEM_MASTER_CLEAN!C175</f>
        <v>SYRUP RUBY RD GRFRUIT MONIN 1L</v>
      </c>
      <c r="D175" s="5" t="str">
        <f aca="false">ITEM_MASTER_CLEAN!D175</f>
        <v>BREUVAGES D'ETE -SUMMER DRINKS</v>
      </c>
      <c r="E175" s="11" t="n">
        <v>5</v>
      </c>
      <c r="F175" s="11" t="n">
        <v>1</v>
      </c>
      <c r="G175" s="5" t="str">
        <f aca="false">IFERROR(VLOOKUP(D175,SETTINGS!A20:B41,2,FALSE()),"Medium")</f>
        <v>Medium</v>
      </c>
      <c r="H175" s="5" t="n">
        <f aca="false">IFERROR(VLOOKUP(G175,SETTINGS!A14:C16,3,FALSE()),5)</f>
        <v>8</v>
      </c>
      <c r="I175" s="5" t="n">
        <f aca="false">IF(E175&gt;0,E175,H175)</f>
        <v>5</v>
      </c>
      <c r="J175" s="5" t="n">
        <f aca="false">IF(F175&gt;0,F175,H175)</f>
        <v>1</v>
      </c>
      <c r="K175" s="5" t="n">
        <f aca="false">I175/7</f>
        <v>0.714285714285714</v>
      </c>
      <c r="L175" s="5" t="n">
        <f aca="false">J175/7</f>
        <v>0.142857142857143</v>
      </c>
    </row>
    <row r="176" customFormat="false" ht="46.25" hidden="false" customHeight="false" outlineLevel="0" collapsed="false">
      <c r="A176" s="5" t="n">
        <f aca="false">ITEM_MASTER_CLEAN!A176</f>
        <v>175</v>
      </c>
      <c r="B176" s="5" t="n">
        <f aca="false">ITEM_MASTER_CLEAN!B176</f>
        <v>67085</v>
      </c>
      <c r="C176" s="5" t="str">
        <f aca="false">ITEM_MASTER_CLEAN!C176</f>
        <v>SYRUP STRAWBERRY MONIN K 750ML</v>
      </c>
      <c r="D176" s="5" t="str">
        <f aca="false">ITEM_MASTER_CLEAN!D176</f>
        <v>BREUVAGES D'ETE -SUMMER DRINKS</v>
      </c>
      <c r="E176" s="11" t="n">
        <v>3</v>
      </c>
      <c r="F176" s="11" t="n">
        <v>4</v>
      </c>
      <c r="G176" s="5" t="str">
        <f aca="false">IFERROR(VLOOKUP(D176,SETTINGS!A20:B41,2,FALSE()),"Medium")</f>
        <v>Medium</v>
      </c>
      <c r="H176" s="5" t="n">
        <f aca="false">IFERROR(VLOOKUP(G176,SETTINGS!A14:C16,3,FALSE()),5)</f>
        <v>8</v>
      </c>
      <c r="I176" s="5" t="n">
        <f aca="false">IF(E176&gt;0,E176,H176)</f>
        <v>3</v>
      </c>
      <c r="J176" s="5" t="n">
        <f aca="false">IF(F176&gt;0,F176,H176)</f>
        <v>4</v>
      </c>
      <c r="K176" s="5" t="n">
        <f aca="false">I176/7</f>
        <v>0.428571428571429</v>
      </c>
      <c r="L176" s="5" t="n">
        <f aca="false">J176/7</f>
        <v>0.571428571428571</v>
      </c>
    </row>
    <row r="177" customFormat="false" ht="46.25" hidden="false" customHeight="false" outlineLevel="0" collapsed="false">
      <c r="A177" s="5" t="n">
        <f aca="false">ITEM_MASTER_CLEAN!A177</f>
        <v>176</v>
      </c>
      <c r="B177" s="5" t="n">
        <f aca="false">ITEM_MASTER_CLEAN!B177</f>
        <v>67063</v>
      </c>
      <c r="C177" s="5" t="str">
        <f aca="false">ITEM_MASTER_CLEAN!C177</f>
        <v>SYRUP DRAGON FRUIT M-FR298F   1L</v>
      </c>
      <c r="D177" s="5" t="str">
        <f aca="false">ITEM_MASTER_CLEAN!D177</f>
        <v>BREUVAGES D'ETE -SUMMER DRINKS</v>
      </c>
      <c r="E177" s="11" t="n">
        <v>2</v>
      </c>
      <c r="F177" s="11" t="n">
        <v>1</v>
      </c>
      <c r="G177" s="5" t="str">
        <f aca="false">IFERROR(VLOOKUP(D177,SETTINGS!A20:B41,2,FALSE()),"Medium")</f>
        <v>Medium</v>
      </c>
      <c r="H177" s="5" t="n">
        <f aca="false">IFERROR(VLOOKUP(G177,SETTINGS!A14:C16,3,FALSE()),5)</f>
        <v>8</v>
      </c>
      <c r="I177" s="5" t="n">
        <f aca="false">IF(E177&gt;0,E177,H177)</f>
        <v>2</v>
      </c>
      <c r="J177" s="5" t="n">
        <f aca="false">IF(F177&gt;0,F177,H177)</f>
        <v>1</v>
      </c>
      <c r="K177" s="5" t="n">
        <f aca="false">I177/7</f>
        <v>0.285714285714286</v>
      </c>
      <c r="L177" s="5" t="n">
        <f aca="false">J177/7</f>
        <v>0.142857142857143</v>
      </c>
    </row>
    <row r="178" customFormat="false" ht="46.25" hidden="false" customHeight="false" outlineLevel="0" collapsed="false">
      <c r="A178" s="5" t="n">
        <f aca="false">ITEM_MASTER_CLEAN!A178</f>
        <v>177</v>
      </c>
      <c r="B178" s="5" t="n">
        <f aca="false">ITEM_MASTER_CLEAN!B178</f>
        <v>61739</v>
      </c>
      <c r="C178" s="5" t="str">
        <f aca="false">ITEM_MASTER_CLEAN!C178</f>
        <v>SYRUP HIBISCUS MONIN 1L</v>
      </c>
      <c r="D178" s="5" t="str">
        <f aca="false">ITEM_MASTER_CLEAN!D178</f>
        <v>BREUVAGES D'ETE -SUMMER DRINKS</v>
      </c>
      <c r="E178" s="11" t="n">
        <v>5</v>
      </c>
      <c r="F178" s="11" t="n">
        <v>1</v>
      </c>
      <c r="G178" s="5" t="str">
        <f aca="false">IFERROR(VLOOKUP(D178,SETTINGS!A20:B41,2,FALSE()),"Medium")</f>
        <v>Medium</v>
      </c>
      <c r="H178" s="5" t="n">
        <f aca="false">IFERROR(VLOOKUP(G178,SETTINGS!A14:C16,3,FALSE()),5)</f>
        <v>8</v>
      </c>
      <c r="I178" s="5" t="n">
        <f aca="false">IF(E178&gt;0,E178,H178)</f>
        <v>5</v>
      </c>
      <c r="J178" s="5" t="n">
        <f aca="false">IF(F178&gt;0,F178,H178)</f>
        <v>1</v>
      </c>
      <c r="K178" s="5" t="n">
        <f aca="false">I178/7</f>
        <v>0.714285714285714</v>
      </c>
      <c r="L178" s="5" t="n">
        <f aca="false">J178/7</f>
        <v>0.142857142857143</v>
      </c>
    </row>
    <row r="179" customFormat="false" ht="46.25" hidden="false" customHeight="false" outlineLevel="0" collapsed="false">
      <c r="A179" s="5" t="n">
        <f aca="false">ITEM_MASTER_CLEAN!A179</f>
        <v>178</v>
      </c>
      <c r="B179" s="5" t="n">
        <f aca="false">ITEM_MASTER_CLEAN!B179</f>
        <v>39817</v>
      </c>
      <c r="C179" s="5" t="str">
        <f aca="false">ITEM_MASTER_CLEAN!C179</f>
        <v>LADIP SMOOTH VANILLA/MAPLE 40X150G</v>
      </c>
      <c r="D179" s="5" t="str">
        <f aca="false">ITEM_MASTER_CLEAN!D179</f>
        <v>BREUVAGES D'ETE -SUMMER DRINKS</v>
      </c>
      <c r="E179" s="11" t="n">
        <v>3</v>
      </c>
      <c r="F179" s="11" t="n">
        <v>4</v>
      </c>
      <c r="G179" s="5" t="str">
        <f aca="false">IFERROR(VLOOKUP(D179,SETTINGS!A20:B41,2,FALSE()),"Medium")</f>
        <v>Medium</v>
      </c>
      <c r="H179" s="5" t="n">
        <f aca="false">IFERROR(VLOOKUP(G179,SETTINGS!A14:C16,3,FALSE()),5)</f>
        <v>8</v>
      </c>
      <c r="I179" s="5" t="n">
        <f aca="false">IF(E179&gt;0,E179,H179)</f>
        <v>3</v>
      </c>
      <c r="J179" s="5" t="n">
        <f aca="false">IF(F179&gt;0,F179,H179)</f>
        <v>4</v>
      </c>
      <c r="K179" s="5" t="n">
        <f aca="false">I179/7</f>
        <v>0.428571428571429</v>
      </c>
      <c r="L179" s="5" t="n">
        <f aca="false">J179/7</f>
        <v>0.571428571428571</v>
      </c>
    </row>
    <row r="180" customFormat="false" ht="46.25" hidden="false" customHeight="false" outlineLevel="0" collapsed="false">
      <c r="A180" s="5" t="n">
        <f aca="false">ITEM_MASTER_CLEAN!A180</f>
        <v>179</v>
      </c>
      <c r="B180" s="5" t="n">
        <f aca="false">ITEM_MASTER_CLEAN!B180</f>
        <v>67088</v>
      </c>
      <c r="C180" s="5" t="str">
        <f aca="false">ITEM_MASTER_CLEAN!C180</f>
        <v>SYRUP PEACH MONIN K 750ML</v>
      </c>
      <c r="D180" s="5" t="str">
        <f aca="false">ITEM_MASTER_CLEAN!D180</f>
        <v>BREUVAGES D'ETE -SUMMER DRINKS</v>
      </c>
      <c r="E180" s="11" t="n">
        <v>4</v>
      </c>
      <c r="F180" s="11" t="n">
        <v>2</v>
      </c>
      <c r="G180" s="5" t="str">
        <f aca="false">IFERROR(VLOOKUP(D180,SETTINGS!A20:B41,2,FALSE()),"Medium")</f>
        <v>Medium</v>
      </c>
      <c r="H180" s="5" t="n">
        <f aca="false">IFERROR(VLOOKUP(G180,SETTINGS!A14:C16,3,FALSE()),5)</f>
        <v>8</v>
      </c>
      <c r="I180" s="5" t="n">
        <f aca="false">IF(E180&gt;0,E180,H180)</f>
        <v>4</v>
      </c>
      <c r="J180" s="5" t="n">
        <f aca="false">IF(F180&gt;0,F180,H180)</f>
        <v>2</v>
      </c>
      <c r="K180" s="5" t="n">
        <f aca="false">I180/7</f>
        <v>0.571428571428571</v>
      </c>
      <c r="L180" s="5" t="n">
        <f aca="false">J180/7</f>
        <v>0.285714285714286</v>
      </c>
    </row>
    <row r="181" customFormat="false" ht="46.25" hidden="false" customHeight="false" outlineLevel="0" collapsed="false">
      <c r="A181" s="5" t="n">
        <f aca="false">ITEM_MASTER_CLEAN!A181</f>
        <v>180</v>
      </c>
      <c r="B181" s="5" t="n">
        <f aca="false">ITEM_MASTER_CLEAN!B181</f>
        <v>67094</v>
      </c>
      <c r="C181" s="5" t="str">
        <f aca="false">ITEM_MASTER_CLEAN!C181</f>
        <v>PUMP SYRUP MONIN 750ML(WHITE) 1</v>
      </c>
      <c r="D181" s="5" t="str">
        <f aca="false">ITEM_MASTER_CLEAN!D181</f>
        <v>BREUVAGES D'ETE -SUMMER DRINKS</v>
      </c>
      <c r="E181" s="11" t="n">
        <v>5</v>
      </c>
      <c r="F181" s="11" t="n">
        <v>2</v>
      </c>
      <c r="G181" s="5" t="str">
        <f aca="false">IFERROR(VLOOKUP(D181,SETTINGS!A20:B41,2,FALSE()),"Medium")</f>
        <v>Medium</v>
      </c>
      <c r="H181" s="5" t="n">
        <f aca="false">IFERROR(VLOOKUP(G181,SETTINGS!A14:C16,3,FALSE()),5)</f>
        <v>8</v>
      </c>
      <c r="I181" s="5" t="n">
        <f aca="false">IF(E181&gt;0,E181,H181)</f>
        <v>5</v>
      </c>
      <c r="J181" s="5" t="n">
        <f aca="false">IF(F181&gt;0,F181,H181)</f>
        <v>2</v>
      </c>
      <c r="K181" s="5" t="n">
        <f aca="false">I181/7</f>
        <v>0.714285714285714</v>
      </c>
      <c r="L181" s="5" t="n">
        <f aca="false">J181/7</f>
        <v>0.285714285714286</v>
      </c>
    </row>
    <row r="182" customFormat="false" ht="46.25" hidden="false" customHeight="false" outlineLevel="0" collapsed="false">
      <c r="A182" s="5" t="n">
        <f aca="false">ITEM_MASTER_CLEAN!A182</f>
        <v>181</v>
      </c>
      <c r="B182" s="5" t="n">
        <f aca="false">ITEM_MASTER_CLEAN!B182</f>
        <v>38527</v>
      </c>
      <c r="C182" s="5" t="str">
        <f aca="false">ITEM_MASTER_CLEAN!C182</f>
        <v>PUMP FOR SYRUP 1L X1</v>
      </c>
      <c r="D182" s="5" t="str">
        <f aca="false">ITEM_MASTER_CLEAN!D182</f>
        <v>BREUVAGES D'ETE -SUMMER DRINKS</v>
      </c>
      <c r="E182" s="11" t="n">
        <v>2</v>
      </c>
      <c r="F182" s="11" t="n">
        <v>3</v>
      </c>
      <c r="G182" s="5" t="str">
        <f aca="false">IFERROR(VLOOKUP(D182,SETTINGS!A20:B41,2,FALSE()),"Medium")</f>
        <v>Medium</v>
      </c>
      <c r="H182" s="5" t="n">
        <f aca="false">IFERROR(VLOOKUP(G182,SETTINGS!A14:C16,3,FALSE()),5)</f>
        <v>8</v>
      </c>
      <c r="I182" s="5" t="n">
        <f aca="false">IF(E182&gt;0,E182,H182)</f>
        <v>2</v>
      </c>
      <c r="J182" s="5" t="n">
        <f aca="false">IF(F182&gt;0,F182,H182)</f>
        <v>3</v>
      </c>
      <c r="K182" s="5" t="n">
        <f aca="false">I182/7</f>
        <v>0.285714285714286</v>
      </c>
      <c r="L182" s="5" t="n">
        <f aca="false">J182/7</f>
        <v>0.428571428571429</v>
      </c>
    </row>
    <row r="183" customFormat="false" ht="46.25" hidden="false" customHeight="false" outlineLevel="0" collapsed="false">
      <c r="A183" s="5" t="n">
        <f aca="false">ITEM_MASTER_CLEAN!A183</f>
        <v>182</v>
      </c>
      <c r="B183" s="5" t="n">
        <f aca="false">ITEM_MASTER_CLEAN!B183</f>
        <v>67112</v>
      </c>
      <c r="C183" s="5" t="str">
        <f aca="false">ITEM_MASTER_CLEAN!C183</f>
        <v>SYRUP STRAWBERRY WILD MONIN 1L</v>
      </c>
      <c r="D183" s="5" t="str">
        <f aca="false">ITEM_MASTER_CLEAN!D183</f>
        <v>BREUVAGES D'ETE -SUMMER DRINKS</v>
      </c>
      <c r="E183" s="11" t="n">
        <v>3</v>
      </c>
      <c r="F183" s="11" t="n">
        <v>3</v>
      </c>
      <c r="G183" s="5" t="str">
        <f aca="false">IFERROR(VLOOKUP(D183,SETTINGS!A20:B41,2,FALSE()),"Medium")</f>
        <v>Medium</v>
      </c>
      <c r="H183" s="5" t="n">
        <f aca="false">IFERROR(VLOOKUP(G183,SETTINGS!A14:C16,3,FALSE()),5)</f>
        <v>8</v>
      </c>
      <c r="I183" s="5" t="n">
        <f aca="false">IF(E183&gt;0,E183,H183)</f>
        <v>3</v>
      </c>
      <c r="J183" s="5" t="n">
        <f aca="false">IF(F183&gt;0,F183,H183)</f>
        <v>3</v>
      </c>
      <c r="K183" s="5" t="n">
        <f aca="false">I183/7</f>
        <v>0.428571428571429</v>
      </c>
      <c r="L183" s="5" t="n">
        <f aca="false">J183/7</f>
        <v>0.428571428571429</v>
      </c>
    </row>
    <row r="184" customFormat="false" ht="46.25" hidden="false" customHeight="false" outlineLevel="0" collapsed="false">
      <c r="A184" s="5" t="n">
        <f aca="false">ITEM_MASTER_CLEAN!A184</f>
        <v>183</v>
      </c>
      <c r="B184" s="5" t="n">
        <f aca="false">ITEM_MASTER_CLEAN!B184</f>
        <v>61558</v>
      </c>
      <c r="C184" s="5" t="str">
        <f aca="false">ITEM_MASTER_CLEAN!C184</f>
        <v>STRAW 8.5" BBL/TEA 12MM WH/PAP 2M</v>
      </c>
      <c r="D184" s="5" t="str">
        <f aca="false">ITEM_MASTER_CLEAN!D184</f>
        <v>BREUVAGES D'ETE -SUMMER DRINKS</v>
      </c>
      <c r="E184" s="11" t="n">
        <v>3</v>
      </c>
      <c r="F184" s="11" t="n">
        <v>1</v>
      </c>
      <c r="G184" s="5" t="str">
        <f aca="false">IFERROR(VLOOKUP(D184,SETTINGS!A20:B41,2,FALSE()),"Medium")</f>
        <v>Medium</v>
      </c>
      <c r="H184" s="5" t="n">
        <f aca="false">IFERROR(VLOOKUP(G184,SETTINGS!A14:C16,3,FALSE()),5)</f>
        <v>8</v>
      </c>
      <c r="I184" s="5" t="n">
        <f aca="false">IF(E184&gt;0,E184,H184)</f>
        <v>3</v>
      </c>
      <c r="J184" s="5" t="n">
        <f aca="false">IF(F184&gt;0,F184,H184)</f>
        <v>1</v>
      </c>
      <c r="K184" s="5" t="n">
        <f aca="false">I184/7</f>
        <v>0.428571428571429</v>
      </c>
      <c r="L184" s="5" t="n">
        <f aca="false">J184/7</f>
        <v>0.142857142857143</v>
      </c>
    </row>
    <row r="185" customFormat="false" ht="23.85" hidden="false" customHeight="false" outlineLevel="0" collapsed="false">
      <c r="A185" s="5" t="n">
        <f aca="false">ITEM_MASTER_CLEAN!A185</f>
        <v>184</v>
      </c>
      <c r="B185" s="5" t="n">
        <f aca="false">ITEM_MASTER_CLEAN!B185</f>
        <v>50046</v>
      </c>
      <c r="C185" s="5" t="str">
        <f aca="false">ITEM_MASTER_CLEAN!C185</f>
        <v>SLUSH BASE RTU 5+1 2X4L</v>
      </c>
      <c r="D185" s="5" t="str">
        <f aca="false">ITEM_MASTER_CLEAN!D185</f>
        <v>BASE POUR SLUSH</v>
      </c>
      <c r="E185" s="11" t="n">
        <v>2</v>
      </c>
      <c r="F185" s="11" t="n">
        <v>1</v>
      </c>
      <c r="G185" s="5" t="str">
        <f aca="false">IFERROR(VLOOKUP(D185,SETTINGS!A20:B41,2,FALSE()),"Medium")</f>
        <v>Medium</v>
      </c>
      <c r="H185" s="5" t="n">
        <f aca="false">IFERROR(VLOOKUP(G185,SETTINGS!A14:C16,3,FALSE()),5)</f>
        <v>8</v>
      </c>
      <c r="I185" s="5" t="n">
        <f aca="false">IF(E185&gt;0,E185,H185)</f>
        <v>2</v>
      </c>
      <c r="J185" s="5" t="n">
        <f aca="false">IF(F185&gt;0,F185,H185)</f>
        <v>1</v>
      </c>
      <c r="K185" s="5" t="n">
        <f aca="false">I185/7</f>
        <v>0.285714285714286</v>
      </c>
      <c r="L185" s="5" t="n">
        <f aca="false">J185/7</f>
        <v>0.142857142857143</v>
      </c>
    </row>
    <row r="186" customFormat="false" ht="23.85" hidden="false" customHeight="false" outlineLevel="0" collapsed="false">
      <c r="A186" s="5" t="n">
        <f aca="false">ITEM_MASTER_CLEAN!A186</f>
        <v>185</v>
      </c>
      <c r="B186" s="5" t="n">
        <f aca="false">ITEM_MASTER_CLEAN!B186</f>
        <v>97477</v>
      </c>
      <c r="C186" s="5" t="str">
        <f aca="false">ITEM_MASTER_CLEAN!C186</f>
        <v>9 SLUSH CONC.BUBBLE GUM  2X4L</v>
      </c>
      <c r="D186" s="5" t="str">
        <f aca="false">ITEM_MASTER_CLEAN!D186</f>
        <v>BASE POUR SLUSH</v>
      </c>
      <c r="E186" s="11" t="n">
        <v>3</v>
      </c>
      <c r="F186" s="11" t="n">
        <v>1</v>
      </c>
      <c r="G186" s="5" t="str">
        <f aca="false">IFERROR(VLOOKUP(D186,SETTINGS!A20:B41,2,FALSE()),"Medium")</f>
        <v>Medium</v>
      </c>
      <c r="H186" s="5" t="n">
        <f aca="false">IFERROR(VLOOKUP(G186,SETTINGS!A14:C16,3,FALSE()),5)</f>
        <v>8</v>
      </c>
      <c r="I186" s="5" t="n">
        <f aca="false">IF(E186&gt;0,E186,H186)</f>
        <v>3</v>
      </c>
      <c r="J186" s="5" t="n">
        <f aca="false">IF(F186&gt;0,F186,H186)</f>
        <v>1</v>
      </c>
      <c r="K186" s="5" t="n">
        <f aca="false">I186/7</f>
        <v>0.428571428571429</v>
      </c>
      <c r="L186" s="5" t="n">
        <f aca="false">J186/7</f>
        <v>0.142857142857143</v>
      </c>
    </row>
    <row r="187" customFormat="false" ht="23.85" hidden="false" customHeight="false" outlineLevel="0" collapsed="false">
      <c r="A187" s="5" t="n">
        <f aca="false">ITEM_MASTER_CLEAN!A187</f>
        <v>186</v>
      </c>
      <c r="B187" s="5" t="n">
        <f aca="false">ITEM_MASTER_CLEAN!B187</f>
        <v>50142</v>
      </c>
      <c r="C187" s="5" t="str">
        <f aca="false">ITEM_MASTER_CLEAN!C187</f>
        <v>9 SLUSH CONC.PEACH 3133024 2X4L</v>
      </c>
      <c r="D187" s="5" t="str">
        <f aca="false">ITEM_MASTER_CLEAN!D187</f>
        <v>BASE POUR SLUSH</v>
      </c>
      <c r="E187" s="11" t="n">
        <v>3</v>
      </c>
      <c r="F187" s="11" t="n">
        <v>2</v>
      </c>
      <c r="G187" s="5" t="str">
        <f aca="false">IFERROR(VLOOKUP(D187,SETTINGS!A20:B41,2,FALSE()),"Medium")</f>
        <v>Medium</v>
      </c>
      <c r="H187" s="5" t="n">
        <f aca="false">IFERROR(VLOOKUP(G187,SETTINGS!A14:C16,3,FALSE()),5)</f>
        <v>8</v>
      </c>
      <c r="I187" s="5" t="n">
        <f aca="false">IF(E187&gt;0,E187,H187)</f>
        <v>3</v>
      </c>
      <c r="J187" s="5" t="n">
        <f aca="false">IF(F187&gt;0,F187,H187)</f>
        <v>2</v>
      </c>
      <c r="K187" s="5" t="n">
        <f aca="false">I187/7</f>
        <v>0.428571428571429</v>
      </c>
      <c r="L187" s="5" t="n">
        <f aca="false">J187/7</f>
        <v>0.285714285714286</v>
      </c>
    </row>
    <row r="188" customFormat="false" ht="23.85" hidden="false" customHeight="false" outlineLevel="0" collapsed="false">
      <c r="A188" s="5" t="n">
        <f aca="false">ITEM_MASTER_CLEAN!A188</f>
        <v>187</v>
      </c>
      <c r="B188" s="5" t="n">
        <f aca="false">ITEM_MASTER_CLEAN!B188</f>
        <v>43369</v>
      </c>
      <c r="C188" s="5" t="str">
        <f aca="false">ITEM_MASTER_CLEAN!C188</f>
        <v>DIPP BAG COOKIE GREASPRF  PTD 1M</v>
      </c>
      <c r="D188" s="5" t="str">
        <f aca="false">ITEM_MASTER_CLEAN!D188</f>
        <v>EMBALLAGE LA DIPERIE</v>
      </c>
      <c r="E188" s="11" t="n">
        <v>7</v>
      </c>
      <c r="F188" s="11" t="n">
        <v>6</v>
      </c>
      <c r="G188" s="5" t="str">
        <f aca="false">IFERROR(VLOOKUP(D188,SETTINGS!A20:B41,2,FALSE()),"Medium")</f>
        <v>Fast</v>
      </c>
      <c r="H188" s="5" t="n">
        <f aca="false">IFERROR(VLOOKUP(G188,SETTINGS!A14:C16,3,FALSE()),5)</f>
        <v>15</v>
      </c>
      <c r="I188" s="5" t="n">
        <f aca="false">IF(E188&gt;0,E188,H188)</f>
        <v>7</v>
      </c>
      <c r="J188" s="5" t="n">
        <f aca="false">IF(F188&gt;0,F188,H188)</f>
        <v>6</v>
      </c>
      <c r="K188" s="5" t="n">
        <f aca="false">I188/7</f>
        <v>1</v>
      </c>
      <c r="L188" s="5" t="n">
        <f aca="false">J188/7</f>
        <v>0.857142857142857</v>
      </c>
    </row>
    <row r="189" customFormat="false" ht="23.85" hidden="false" customHeight="false" outlineLevel="0" collapsed="false">
      <c r="A189" s="5" t="n">
        <f aca="false">ITEM_MASTER_CLEAN!A189</f>
        <v>188</v>
      </c>
      <c r="B189" s="5" t="n">
        <f aca="false">ITEM_MASTER_CLEAN!B189</f>
        <v>61763</v>
      </c>
      <c r="C189" s="5" t="str">
        <f aca="false">ITEM_MASTER_CLEAN!C189</f>
        <v>DIP BOX BLUE/DONUT 25X15X10  125</v>
      </c>
      <c r="D189" s="5" t="str">
        <f aca="false">ITEM_MASTER_CLEAN!D189</f>
        <v>EMBALLAGE LA DIPERIE</v>
      </c>
      <c r="E189" s="11" t="n">
        <v>3</v>
      </c>
      <c r="F189" s="11" t="n">
        <v>2</v>
      </c>
      <c r="G189" s="5" t="str">
        <f aca="false">IFERROR(VLOOKUP(D189,SETTINGS!A20:B41,2,FALSE()),"Medium")</f>
        <v>Fast</v>
      </c>
      <c r="H189" s="5" t="n">
        <f aca="false">IFERROR(VLOOKUP(G189,SETTINGS!A14:C16,3,FALSE()),5)</f>
        <v>15</v>
      </c>
      <c r="I189" s="5" t="n">
        <f aca="false">IF(E189&gt;0,E189,H189)</f>
        <v>3</v>
      </c>
      <c r="J189" s="5" t="n">
        <f aca="false">IF(F189&gt;0,F189,H189)</f>
        <v>2</v>
      </c>
      <c r="K189" s="5" t="n">
        <f aca="false">I189/7</f>
        <v>0.428571428571429</v>
      </c>
      <c r="L189" s="5" t="n">
        <f aca="false">J189/7</f>
        <v>0.285714285714286</v>
      </c>
    </row>
    <row r="190" customFormat="false" ht="23.85" hidden="false" customHeight="false" outlineLevel="0" collapsed="false">
      <c r="A190" s="5" t="n">
        <f aca="false">ITEM_MASTER_CLEAN!A190</f>
        <v>189</v>
      </c>
      <c r="B190" s="5" t="n">
        <f aca="false">ITEM_MASTER_CLEAN!B190</f>
        <v>35182</v>
      </c>
      <c r="C190" s="5" t="str">
        <f aca="false">ITEM_MASTER_CLEAN!C190</f>
        <v>DIPP BOWL 6 OZ S605T-168259 1M</v>
      </c>
      <c r="D190" s="5" t="str">
        <f aca="false">ITEM_MASTER_CLEAN!D190</f>
        <v>EMBALLAGE LA DIPERIE</v>
      </c>
      <c r="E190" s="11" t="n">
        <v>3</v>
      </c>
      <c r="F190" s="11" t="n">
        <v>5</v>
      </c>
      <c r="G190" s="5" t="str">
        <f aca="false">IFERROR(VLOOKUP(D190,SETTINGS!A20:B41,2,FALSE()),"Medium")</f>
        <v>Fast</v>
      </c>
      <c r="H190" s="5" t="n">
        <f aca="false">IFERROR(VLOOKUP(G190,SETTINGS!A14:C16,3,FALSE()),5)</f>
        <v>15</v>
      </c>
      <c r="I190" s="5" t="n">
        <f aca="false">IF(E190&gt;0,E190,H190)</f>
        <v>3</v>
      </c>
      <c r="J190" s="5" t="n">
        <f aca="false">IF(F190&gt;0,F190,H190)</f>
        <v>5</v>
      </c>
      <c r="K190" s="5" t="n">
        <f aca="false">I190/7</f>
        <v>0.428571428571429</v>
      </c>
      <c r="L190" s="5" t="n">
        <f aca="false">J190/7</f>
        <v>0.714285714285714</v>
      </c>
    </row>
    <row r="191" customFormat="false" ht="23.85" hidden="false" customHeight="false" outlineLevel="0" collapsed="false">
      <c r="A191" s="5" t="n">
        <f aca="false">ITEM_MASTER_CLEAN!A191</f>
        <v>190</v>
      </c>
      <c r="B191" s="5" t="n">
        <f aca="false">ITEM_MASTER_CLEAN!B191</f>
        <v>68687</v>
      </c>
      <c r="C191" s="5" t="str">
        <f aca="false">ITEM_MASTER_CLEAN!C191</f>
        <v>Couv 6oz</v>
      </c>
      <c r="D191" s="5" t="str">
        <f aca="false">ITEM_MASTER_CLEAN!D191</f>
        <v>EMBALLAGE LA DIPERIE</v>
      </c>
      <c r="E191" s="11" t="n">
        <v>10</v>
      </c>
      <c r="F191" s="11" t="n">
        <v>2</v>
      </c>
      <c r="G191" s="5" t="str">
        <f aca="false">IFERROR(VLOOKUP(D191,SETTINGS!A20:B41,2,FALSE()),"Medium")</f>
        <v>Fast</v>
      </c>
      <c r="H191" s="5" t="n">
        <f aca="false">IFERROR(VLOOKUP(G191,SETTINGS!A14:C16,3,FALSE()),5)</f>
        <v>15</v>
      </c>
      <c r="I191" s="5" t="n">
        <f aca="false">IF(E191&gt;0,E191,H191)</f>
        <v>10</v>
      </c>
      <c r="J191" s="5" t="n">
        <f aca="false">IF(F191&gt;0,F191,H191)</f>
        <v>2</v>
      </c>
      <c r="K191" s="5" t="n">
        <f aca="false">I191/7</f>
        <v>1.42857142857143</v>
      </c>
      <c r="L191" s="5" t="n">
        <f aca="false">J191/7</f>
        <v>0.285714285714286</v>
      </c>
    </row>
    <row r="192" customFormat="false" ht="23.85" hidden="false" customHeight="false" outlineLevel="0" collapsed="false">
      <c r="A192" s="5" t="n">
        <f aca="false">ITEM_MASTER_CLEAN!A192</f>
        <v>191</v>
      </c>
      <c r="B192" s="5" t="n">
        <f aca="false">ITEM_MASTER_CLEAN!B192</f>
        <v>35171</v>
      </c>
      <c r="C192" s="5" t="str">
        <f aca="false">ITEM_MASTER_CLEAN!C192</f>
        <v>DIPP BOWL 8OZ VS608-168260 1M</v>
      </c>
      <c r="D192" s="5" t="str">
        <f aca="false">ITEM_MASTER_CLEAN!D192</f>
        <v>EMBALLAGE LA DIPERIE</v>
      </c>
      <c r="E192" s="11" t="n">
        <v>8</v>
      </c>
      <c r="F192" s="11" t="n">
        <v>7</v>
      </c>
      <c r="G192" s="5" t="str">
        <f aca="false">IFERROR(VLOOKUP(D192,SETTINGS!A20:B41,2,FALSE()),"Medium")</f>
        <v>Fast</v>
      </c>
      <c r="H192" s="5" t="n">
        <f aca="false">IFERROR(VLOOKUP(G192,SETTINGS!A14:C16,3,FALSE()),5)</f>
        <v>15</v>
      </c>
      <c r="I192" s="5" t="n">
        <f aca="false">IF(E192&gt;0,E192,H192)</f>
        <v>8</v>
      </c>
      <c r="J192" s="5" t="n">
        <f aca="false">IF(F192&gt;0,F192,H192)</f>
        <v>7</v>
      </c>
      <c r="K192" s="5" t="n">
        <f aca="false">I192/7</f>
        <v>1.14285714285714</v>
      </c>
      <c r="L192" s="5" t="n">
        <f aca="false">J192/7</f>
        <v>1</v>
      </c>
    </row>
    <row r="193" customFormat="false" ht="23.85" hidden="false" customHeight="false" outlineLevel="0" collapsed="false">
      <c r="A193" s="5" t="n">
        <f aca="false">ITEM_MASTER_CLEAN!A193</f>
        <v>192</v>
      </c>
      <c r="B193" s="5" t="n">
        <f aca="false">ITEM_MASTER_CLEAN!B193</f>
        <v>35176</v>
      </c>
      <c r="C193" s="5" t="str">
        <f aca="false">ITEM_MASTER_CLEAN!C193</f>
        <v>couv / Lid  8oz</v>
      </c>
      <c r="D193" s="5" t="str">
        <f aca="false">ITEM_MASTER_CLEAN!D193</f>
        <v>EMBALLAGE LA DIPERIE</v>
      </c>
      <c r="E193" s="11" t="n">
        <v>4</v>
      </c>
      <c r="F193" s="11" t="n">
        <v>4</v>
      </c>
      <c r="G193" s="5" t="str">
        <f aca="false">IFERROR(VLOOKUP(D193,SETTINGS!A20:B41,2,FALSE()),"Medium")</f>
        <v>Fast</v>
      </c>
      <c r="H193" s="5" t="n">
        <f aca="false">IFERROR(VLOOKUP(G193,SETTINGS!A14:C16,3,FALSE()),5)</f>
        <v>15</v>
      </c>
      <c r="I193" s="5" t="n">
        <f aca="false">IF(E193&gt;0,E193,H193)</f>
        <v>4</v>
      </c>
      <c r="J193" s="5" t="n">
        <f aca="false">IF(F193&gt;0,F193,H193)</f>
        <v>4</v>
      </c>
      <c r="K193" s="5" t="n">
        <f aca="false">I193/7</f>
        <v>0.571428571428571</v>
      </c>
      <c r="L193" s="5" t="n">
        <f aca="false">J193/7</f>
        <v>0.571428571428571</v>
      </c>
    </row>
    <row r="194" customFormat="false" ht="23.85" hidden="false" customHeight="false" outlineLevel="0" collapsed="false">
      <c r="A194" s="5" t="n">
        <f aca="false">ITEM_MASTER_CLEAN!A194</f>
        <v>193</v>
      </c>
      <c r="B194" s="5" t="n">
        <f aca="false">ITEM_MASTER_CLEAN!B194</f>
        <v>35026</v>
      </c>
      <c r="C194" s="5" t="str">
        <f aca="false">ITEM_MASTER_CLEAN!C194</f>
        <v>Dipp Bowl 12oz 1M</v>
      </c>
      <c r="D194" s="5" t="str">
        <f aca="false">ITEM_MASTER_CLEAN!D194</f>
        <v>EMBALLAGE LA DIPERIE</v>
      </c>
      <c r="E194" s="11" t="n">
        <v>5</v>
      </c>
      <c r="F194" s="11" t="n">
        <v>4</v>
      </c>
      <c r="G194" s="5" t="str">
        <f aca="false">IFERROR(VLOOKUP(D194,SETTINGS!A20:B41,2,FALSE()),"Medium")</f>
        <v>Fast</v>
      </c>
      <c r="H194" s="5" t="n">
        <f aca="false">IFERROR(VLOOKUP(G194,SETTINGS!A14:C16,3,FALSE()),5)</f>
        <v>15</v>
      </c>
      <c r="I194" s="5" t="n">
        <f aca="false">IF(E194&gt;0,E194,H194)</f>
        <v>5</v>
      </c>
      <c r="J194" s="5" t="n">
        <f aca="false">IF(F194&gt;0,F194,H194)</f>
        <v>4</v>
      </c>
      <c r="K194" s="5" t="n">
        <f aca="false">I194/7</f>
        <v>0.714285714285714</v>
      </c>
      <c r="L194" s="5" t="n">
        <f aca="false">J194/7</f>
        <v>0.571428571428571</v>
      </c>
    </row>
    <row r="195" customFormat="false" ht="23.85" hidden="false" customHeight="false" outlineLevel="0" collapsed="false">
      <c r="A195" s="5" t="n">
        <f aca="false">ITEM_MASTER_CLEAN!A195</f>
        <v>194</v>
      </c>
      <c r="B195" s="5" t="n">
        <f aca="false">ITEM_MASTER_CLEAN!B195</f>
        <v>35226</v>
      </c>
      <c r="C195" s="5" t="str">
        <f aca="false">ITEM_MASTER_CLEAN!C195</f>
        <v>Lid for 12oz Bowl</v>
      </c>
      <c r="D195" s="5" t="str">
        <f aca="false">ITEM_MASTER_CLEAN!D195</f>
        <v>EMBALLAGE LA DIPERIE</v>
      </c>
      <c r="E195" s="11" t="n">
        <v>4</v>
      </c>
      <c r="F195" s="11" t="n">
        <v>5</v>
      </c>
      <c r="G195" s="5" t="str">
        <f aca="false">IFERROR(VLOOKUP(D195,SETTINGS!A20:B41,2,FALSE()),"Medium")</f>
        <v>Fast</v>
      </c>
      <c r="H195" s="5" t="n">
        <f aca="false">IFERROR(VLOOKUP(G195,SETTINGS!A14:C16,3,FALSE()),5)</f>
        <v>15</v>
      </c>
      <c r="I195" s="5" t="n">
        <f aca="false">IF(E195&gt;0,E195,H195)</f>
        <v>4</v>
      </c>
      <c r="J195" s="5" t="n">
        <f aca="false">IF(F195&gt;0,F195,H195)</f>
        <v>5</v>
      </c>
      <c r="K195" s="5" t="n">
        <f aca="false">I195/7</f>
        <v>0.571428571428571</v>
      </c>
      <c r="L195" s="5" t="n">
        <f aca="false">J195/7</f>
        <v>0.714285714285714</v>
      </c>
    </row>
    <row r="196" customFormat="false" ht="23.85" hidden="false" customHeight="false" outlineLevel="0" collapsed="false">
      <c r="A196" s="5" t="n">
        <f aca="false">ITEM_MASTER_CLEAN!A196</f>
        <v>195</v>
      </c>
      <c r="B196" s="5" t="n">
        <f aca="false">ITEM_MASTER_CLEAN!B196</f>
        <v>33728</v>
      </c>
      <c r="C196" s="5" t="str">
        <f aca="false">ITEM_MASTER_CLEAN!C196</f>
        <v>DIPP CUP 10 OZ PAP RAZZLE PRT  1M</v>
      </c>
      <c r="D196" s="5" t="str">
        <f aca="false">ITEM_MASTER_CLEAN!D196</f>
        <v>EMBALLAGE LA DIPERIE</v>
      </c>
      <c r="E196" s="11" t="n">
        <v>3</v>
      </c>
      <c r="F196" s="11" t="n">
        <v>2</v>
      </c>
      <c r="G196" s="5" t="str">
        <f aca="false">IFERROR(VLOOKUP(D196,SETTINGS!A20:B41,2,FALSE()),"Medium")</f>
        <v>Fast</v>
      </c>
      <c r="H196" s="5" t="n">
        <f aca="false">IFERROR(VLOOKUP(G196,SETTINGS!A14:C16,3,FALSE()),5)</f>
        <v>15</v>
      </c>
      <c r="I196" s="5" t="n">
        <f aca="false">IF(E196&gt;0,E196,H196)</f>
        <v>3</v>
      </c>
      <c r="J196" s="5" t="n">
        <f aca="false">IF(F196&gt;0,F196,H196)</f>
        <v>2</v>
      </c>
      <c r="K196" s="5" t="n">
        <f aca="false">I196/7</f>
        <v>0.428571428571429</v>
      </c>
      <c r="L196" s="5" t="n">
        <f aca="false">J196/7</f>
        <v>0.285714285714286</v>
      </c>
    </row>
    <row r="197" customFormat="false" ht="23.85" hidden="false" customHeight="false" outlineLevel="0" collapsed="false">
      <c r="A197" s="5" t="n">
        <f aca="false">ITEM_MASTER_CLEAN!A197</f>
        <v>196</v>
      </c>
      <c r="B197" s="5" t="n">
        <f aca="false">ITEM_MASTER_CLEAN!B197</f>
        <v>33729</v>
      </c>
      <c r="C197" s="5" t="str">
        <f aca="false">ITEM_MASTER_CLEAN!C197</f>
        <v>Lid Razzle/Coffee  white 1000</v>
      </c>
      <c r="D197" s="5" t="str">
        <f aca="false">ITEM_MASTER_CLEAN!D197</f>
        <v>EMBALLAGE LA DIPERIE</v>
      </c>
      <c r="E197" s="11" t="n">
        <v>6</v>
      </c>
      <c r="F197" s="11" t="n">
        <v>4</v>
      </c>
      <c r="G197" s="5" t="str">
        <f aca="false">IFERROR(VLOOKUP(D197,SETTINGS!A20:B41,2,FALSE()),"Medium")</f>
        <v>Fast</v>
      </c>
      <c r="H197" s="5" t="n">
        <f aca="false">IFERROR(VLOOKUP(G197,SETTINGS!A14:C16,3,FALSE()),5)</f>
        <v>15</v>
      </c>
      <c r="I197" s="5" t="n">
        <f aca="false">IF(E197&gt;0,E197,H197)</f>
        <v>6</v>
      </c>
      <c r="J197" s="5" t="n">
        <f aca="false">IF(F197&gt;0,F197,H197)</f>
        <v>4</v>
      </c>
      <c r="K197" s="5" t="n">
        <f aca="false">I197/7</f>
        <v>0.857142857142857</v>
      </c>
      <c r="L197" s="5" t="n">
        <f aca="false">J197/7</f>
        <v>0.571428571428571</v>
      </c>
    </row>
    <row r="198" customFormat="false" ht="23.85" hidden="false" customHeight="false" outlineLevel="0" collapsed="false">
      <c r="A198" s="5" t="n">
        <f aca="false">ITEM_MASTER_CLEAN!A198</f>
        <v>197</v>
      </c>
      <c r="B198" s="5" t="n">
        <f aca="false">ITEM_MASTER_CLEAN!B198</f>
        <v>66985</v>
      </c>
      <c r="C198" s="5" t="str">
        <f aca="false">ITEM_MASTER_CLEAN!C198</f>
        <v>Lid Razzle Dome Clr 1000</v>
      </c>
      <c r="D198" s="5" t="str">
        <f aca="false">ITEM_MASTER_CLEAN!D198</f>
        <v>EMBALLAGE LA DIPERIE</v>
      </c>
      <c r="E198" s="11" t="n">
        <v>4</v>
      </c>
      <c r="F198" s="11" t="n">
        <v>3</v>
      </c>
      <c r="G198" s="5" t="str">
        <f aca="false">IFERROR(VLOOKUP(D198,SETTINGS!A20:B41,2,FALSE()),"Medium")</f>
        <v>Fast</v>
      </c>
      <c r="H198" s="5" t="n">
        <f aca="false">IFERROR(VLOOKUP(G198,SETTINGS!A14:C16,3,FALSE()),5)</f>
        <v>15</v>
      </c>
      <c r="I198" s="5" t="n">
        <f aca="false">IF(E198&gt;0,E198,H198)</f>
        <v>4</v>
      </c>
      <c r="J198" s="5" t="n">
        <f aca="false">IF(F198&gt;0,F198,H198)</f>
        <v>3</v>
      </c>
      <c r="K198" s="5" t="n">
        <f aca="false">I198/7</f>
        <v>0.571428571428571</v>
      </c>
      <c r="L198" s="5" t="n">
        <f aca="false">J198/7</f>
        <v>0.428571428571429</v>
      </c>
    </row>
    <row r="199" customFormat="false" ht="23.85" hidden="false" customHeight="false" outlineLevel="0" collapsed="false">
      <c r="A199" s="5" t="n">
        <f aca="false">ITEM_MASTER_CLEAN!A199</f>
        <v>198</v>
      </c>
      <c r="B199" s="5" t="n">
        <f aca="false">ITEM_MASTER_CLEAN!B199</f>
        <v>63343</v>
      </c>
      <c r="C199" s="5" t="str">
        <f aca="false">ITEM_MASTER_CLEAN!C199</f>
        <v>CAKE DOME COMBO CLR 10"X5" 100</v>
      </c>
      <c r="D199" s="5" t="str">
        <f aca="false">ITEM_MASTER_CLEAN!D199</f>
        <v>EMBALLAGES GENERIC</v>
      </c>
      <c r="E199" s="11" t="n">
        <v>2</v>
      </c>
      <c r="F199" s="11" t="n">
        <v>4</v>
      </c>
      <c r="G199" s="5" t="str">
        <f aca="false">IFERROR(VLOOKUP(D199,SETTINGS!A20:B41,2,FALSE()),"Medium")</f>
        <v>Medium</v>
      </c>
      <c r="H199" s="5" t="n">
        <f aca="false">IFERROR(VLOOKUP(G199,SETTINGS!A14:C16,3,FALSE()),5)</f>
        <v>8</v>
      </c>
      <c r="I199" s="5" t="n">
        <f aca="false">IF(E199&gt;0,E199,H199)</f>
        <v>2</v>
      </c>
      <c r="J199" s="5" t="n">
        <f aca="false">IF(F199&gt;0,F199,H199)</f>
        <v>4</v>
      </c>
      <c r="K199" s="5" t="n">
        <f aca="false">I199/7</f>
        <v>0.285714285714286</v>
      </c>
      <c r="L199" s="5" t="n">
        <f aca="false">J199/7</f>
        <v>0.571428571428571</v>
      </c>
    </row>
    <row r="200" customFormat="false" ht="23.85" hidden="false" customHeight="false" outlineLevel="0" collapsed="false">
      <c r="A200" s="5" t="n">
        <f aca="false">ITEM_MASTER_CLEAN!A200</f>
        <v>199</v>
      </c>
      <c r="B200" s="5" t="n">
        <f aca="false">ITEM_MASTER_CLEAN!B200</f>
        <v>35113</v>
      </c>
      <c r="C200" s="5" t="str">
        <f aca="false">ITEM_MASTER_CLEAN!C200</f>
        <v>STICKS POPSICLE WOOD  1X1M</v>
      </c>
      <c r="D200" s="5" t="str">
        <f aca="false">ITEM_MASTER_CLEAN!D200</f>
        <v>EMBALLAGES GENERIC</v>
      </c>
      <c r="E200" s="11" t="n">
        <v>5</v>
      </c>
      <c r="F200" s="11" t="n">
        <v>2</v>
      </c>
      <c r="G200" s="5" t="str">
        <f aca="false">IFERROR(VLOOKUP(D200,SETTINGS!A20:B41,2,FALSE()),"Medium")</f>
        <v>Medium</v>
      </c>
      <c r="H200" s="5" t="n">
        <f aca="false">IFERROR(VLOOKUP(G200,SETTINGS!A14:C16,3,FALSE()),5)</f>
        <v>8</v>
      </c>
      <c r="I200" s="5" t="n">
        <f aca="false">IF(E200&gt;0,E200,H200)</f>
        <v>5</v>
      </c>
      <c r="J200" s="5" t="n">
        <f aca="false">IF(F200&gt;0,F200,H200)</f>
        <v>2</v>
      </c>
      <c r="K200" s="5" t="n">
        <f aca="false">I200/7</f>
        <v>0.714285714285714</v>
      </c>
      <c r="L200" s="5" t="n">
        <f aca="false">J200/7</f>
        <v>0.285714285714286</v>
      </c>
    </row>
    <row r="201" customFormat="false" ht="23.85" hidden="false" customHeight="false" outlineLevel="0" collapsed="false">
      <c r="A201" s="5" t="n">
        <f aca="false">ITEM_MASTER_CLEAN!A201</f>
        <v>200</v>
      </c>
      <c r="B201" s="5" t="n">
        <f aca="false">ITEM_MASTER_CLEAN!B201</f>
        <v>26324</v>
      </c>
      <c r="C201" s="5" t="str">
        <f aca="false">ITEM_MASTER_CLEAN!C201</f>
        <v>Cont Gauffre 6x6 500 units</v>
      </c>
      <c r="D201" s="5" t="str">
        <f aca="false">ITEM_MASTER_CLEAN!D201</f>
        <v>EMBALLAGES GENERIC</v>
      </c>
      <c r="E201" s="11" t="n">
        <v>3</v>
      </c>
      <c r="F201" s="11" t="n">
        <v>4</v>
      </c>
      <c r="G201" s="5" t="str">
        <f aca="false">IFERROR(VLOOKUP(D201,SETTINGS!A20:B41,2,FALSE()),"Medium")</f>
        <v>Medium</v>
      </c>
      <c r="H201" s="5" t="n">
        <f aca="false">IFERROR(VLOOKUP(G201,SETTINGS!A14:C16,3,FALSE()),5)</f>
        <v>8</v>
      </c>
      <c r="I201" s="5" t="n">
        <f aca="false">IF(E201&gt;0,E201,H201)</f>
        <v>3</v>
      </c>
      <c r="J201" s="5" t="n">
        <f aca="false">IF(F201&gt;0,F201,H201)</f>
        <v>4</v>
      </c>
      <c r="K201" s="5" t="n">
        <f aca="false">I201/7</f>
        <v>0.428571428571429</v>
      </c>
      <c r="L201" s="5" t="n">
        <f aca="false">J201/7</f>
        <v>0.571428571428571</v>
      </c>
    </row>
    <row r="202" customFormat="false" ht="23.85" hidden="false" customHeight="false" outlineLevel="0" collapsed="false">
      <c r="A202" s="5" t="n">
        <f aca="false">ITEM_MASTER_CLEAN!A202</f>
        <v>201</v>
      </c>
      <c r="B202" s="5" t="n">
        <f aca="false">ITEM_MASTER_CLEAN!B202</f>
        <v>26325</v>
      </c>
      <c r="C202" s="5" t="str">
        <f aca="false">ITEM_MASTER_CLEAN!C202</f>
        <v>Cont crepe 9"x6"x3"  250 units</v>
      </c>
      <c r="D202" s="5" t="str">
        <f aca="false">ITEM_MASTER_CLEAN!D202</f>
        <v>EMBALLAGES GENERIC</v>
      </c>
      <c r="E202" s="11" t="n">
        <v>4</v>
      </c>
      <c r="F202" s="11" t="n">
        <v>3</v>
      </c>
      <c r="G202" s="5" t="str">
        <f aca="false">IFERROR(VLOOKUP(D202,SETTINGS!A20:B41,2,FALSE()),"Medium")</f>
        <v>Medium</v>
      </c>
      <c r="H202" s="5" t="n">
        <f aca="false">IFERROR(VLOOKUP(G202,SETTINGS!A14:C16,3,FALSE()),5)</f>
        <v>8</v>
      </c>
      <c r="I202" s="5" t="n">
        <f aca="false">IF(E202&gt;0,E202,H202)</f>
        <v>4</v>
      </c>
      <c r="J202" s="5" t="n">
        <f aca="false">IF(F202&gt;0,F202,H202)</f>
        <v>3</v>
      </c>
      <c r="K202" s="5" t="n">
        <f aca="false">I202/7</f>
        <v>0.571428571428571</v>
      </c>
      <c r="L202" s="5" t="n">
        <f aca="false">J202/7</f>
        <v>0.428571428571429</v>
      </c>
    </row>
    <row r="203" customFormat="false" ht="23.85" hidden="false" customHeight="false" outlineLevel="0" collapsed="false">
      <c r="A203" s="5" t="n">
        <f aca="false">ITEM_MASTER_CLEAN!A203</f>
        <v>202</v>
      </c>
      <c r="B203" s="5" t="n">
        <f aca="false">ITEM_MASTER_CLEAN!B203</f>
        <v>17159</v>
      </c>
      <c r="C203" s="5" t="str">
        <f aca="false">ITEM_MASTER_CLEAN!C203</f>
        <v>Cont ChsCake slc tray 800un</v>
      </c>
      <c r="D203" s="5" t="str">
        <f aca="false">ITEM_MASTER_CLEAN!D203</f>
        <v>EMBALLAGES GENERIC</v>
      </c>
      <c r="E203" s="11" t="n">
        <v>5</v>
      </c>
      <c r="F203" s="11" t="n">
        <v>2</v>
      </c>
      <c r="G203" s="5" t="str">
        <f aca="false">IFERROR(VLOOKUP(D203,SETTINGS!A20:B41,2,FALSE()),"Medium")</f>
        <v>Medium</v>
      </c>
      <c r="H203" s="5" t="n">
        <f aca="false">IFERROR(VLOOKUP(G203,SETTINGS!A14:C16,3,FALSE()),5)</f>
        <v>8</v>
      </c>
      <c r="I203" s="5" t="n">
        <f aca="false">IF(E203&gt;0,E203,H203)</f>
        <v>5</v>
      </c>
      <c r="J203" s="5" t="n">
        <f aca="false">IF(F203&gt;0,F203,H203)</f>
        <v>2</v>
      </c>
      <c r="K203" s="5" t="n">
        <f aca="false">I203/7</f>
        <v>0.714285714285714</v>
      </c>
      <c r="L203" s="5" t="n">
        <f aca="false">J203/7</f>
        <v>0.285714285714286</v>
      </c>
    </row>
    <row r="204" customFormat="false" ht="23.85" hidden="false" customHeight="false" outlineLevel="0" collapsed="false">
      <c r="A204" s="5" t="n">
        <f aca="false">ITEM_MASTER_CLEAN!A204</f>
        <v>203</v>
      </c>
      <c r="B204" s="5" t="n">
        <f aca="false">ITEM_MASTER_CLEAN!B204</f>
        <v>17160</v>
      </c>
      <c r="C204" s="5" t="str">
        <f aca="false">ITEM_MASTER_CLEAN!C204</f>
        <v>Lid  ChsCake slc 800un</v>
      </c>
      <c r="D204" s="5" t="str">
        <f aca="false">ITEM_MASTER_CLEAN!D204</f>
        <v>EMBALLAGES GENERIC</v>
      </c>
      <c r="E204" s="11" t="n">
        <v>6</v>
      </c>
      <c r="F204" s="11" t="n">
        <v>2</v>
      </c>
      <c r="G204" s="5" t="str">
        <f aca="false">IFERROR(VLOOKUP(D204,SETTINGS!A20:B41,2,FALSE()),"Medium")</f>
        <v>Medium</v>
      </c>
      <c r="H204" s="5" t="n">
        <f aca="false">IFERROR(VLOOKUP(G204,SETTINGS!A14:C16,3,FALSE()),5)</f>
        <v>8</v>
      </c>
      <c r="I204" s="5" t="n">
        <f aca="false">IF(E204&gt;0,E204,H204)</f>
        <v>6</v>
      </c>
      <c r="J204" s="5" t="n">
        <f aca="false">IF(F204&gt;0,F204,H204)</f>
        <v>2</v>
      </c>
      <c r="K204" s="5" t="n">
        <f aca="false">I204/7</f>
        <v>0.857142857142857</v>
      </c>
      <c r="L204" s="5" t="n">
        <f aca="false">J204/7</f>
        <v>0.285714285714286</v>
      </c>
    </row>
    <row r="205" customFormat="false" ht="23.85" hidden="false" customHeight="false" outlineLevel="0" collapsed="false">
      <c r="A205" s="5" t="n">
        <f aca="false">ITEM_MASTER_CLEAN!A205</f>
        <v>204</v>
      </c>
      <c r="B205" s="5" t="n">
        <f aca="false">ITEM_MASTER_CLEAN!B205</f>
        <v>59752</v>
      </c>
      <c r="C205" s="5" t="str">
        <f aca="false">ITEM_MASTER_CLEAN!C205</f>
        <v>CONT CAKE SLICE PETE 6X6.3 X2.9 240</v>
      </c>
      <c r="D205" s="5" t="str">
        <f aca="false">ITEM_MASTER_CLEAN!D205</f>
        <v>EMBALLAGES GENERIC</v>
      </c>
      <c r="E205" s="11" t="n">
        <v>5</v>
      </c>
      <c r="F205" s="11" t="n">
        <v>4</v>
      </c>
      <c r="G205" s="5" t="str">
        <f aca="false">IFERROR(VLOOKUP(D205,SETTINGS!A20:B41,2,FALSE()),"Medium")</f>
        <v>Medium</v>
      </c>
      <c r="H205" s="5" t="n">
        <f aca="false">IFERROR(VLOOKUP(G205,SETTINGS!A14:C16,3,FALSE()),5)</f>
        <v>8</v>
      </c>
      <c r="I205" s="5" t="n">
        <f aca="false">IF(E205&gt;0,E205,H205)</f>
        <v>5</v>
      </c>
      <c r="J205" s="5" t="n">
        <f aca="false">IF(F205&gt;0,F205,H205)</f>
        <v>4</v>
      </c>
      <c r="K205" s="5" t="n">
        <f aca="false">I205/7</f>
        <v>0.714285714285714</v>
      </c>
      <c r="L205" s="5" t="n">
        <f aca="false">J205/7</f>
        <v>0.571428571428571</v>
      </c>
    </row>
    <row r="206" customFormat="false" ht="23.85" hidden="false" customHeight="false" outlineLevel="0" collapsed="false">
      <c r="A206" s="5" t="n">
        <f aca="false">ITEM_MASTER_CLEAN!A206</f>
        <v>205</v>
      </c>
      <c r="B206" s="5" t="n">
        <f aca="false">ITEM_MASTER_CLEAN!B206</f>
        <v>41216</v>
      </c>
      <c r="C206" s="5" t="str">
        <f aca="false">ITEM_MASTER_CLEAN!C206</f>
        <v>CONT PORT 2 OZ PLASTIC PP* 125UN</v>
      </c>
      <c r="D206" s="5" t="str">
        <f aca="false">ITEM_MASTER_CLEAN!D206</f>
        <v>EMBALLAGES GENERIC</v>
      </c>
      <c r="E206" s="11" t="n">
        <v>3</v>
      </c>
      <c r="F206" s="11" t="n">
        <v>2</v>
      </c>
      <c r="G206" s="5" t="str">
        <f aca="false">IFERROR(VLOOKUP(D206,SETTINGS!A20:B41,2,FALSE()),"Medium")</f>
        <v>Medium</v>
      </c>
      <c r="H206" s="5" t="n">
        <f aca="false">IFERROR(VLOOKUP(G206,SETTINGS!A14:C16,3,FALSE()),5)</f>
        <v>8</v>
      </c>
      <c r="I206" s="5" t="n">
        <f aca="false">IF(E206&gt;0,E206,H206)</f>
        <v>3</v>
      </c>
      <c r="J206" s="5" t="n">
        <f aca="false">IF(F206&gt;0,F206,H206)</f>
        <v>2</v>
      </c>
      <c r="K206" s="5" t="n">
        <f aca="false">I206/7</f>
        <v>0.428571428571429</v>
      </c>
      <c r="L206" s="5" t="n">
        <f aca="false">J206/7</f>
        <v>0.285714285714286</v>
      </c>
    </row>
    <row r="207" customFormat="false" ht="23.85" hidden="false" customHeight="false" outlineLevel="0" collapsed="false">
      <c r="A207" s="5" t="n">
        <f aca="false">ITEM_MASTER_CLEAN!A207</f>
        <v>206</v>
      </c>
      <c r="B207" s="5" t="n">
        <f aca="false">ITEM_MASTER_CLEAN!B207</f>
        <v>41217</v>
      </c>
      <c r="C207" s="5" t="str">
        <f aca="false">ITEM_MASTER_CLEAN!C207</f>
        <v>LID PORTION 2 OZ PL 125UN</v>
      </c>
      <c r="D207" s="5" t="str">
        <f aca="false">ITEM_MASTER_CLEAN!D207</f>
        <v>EMBALLAGES GENERIC</v>
      </c>
      <c r="E207" s="11" t="n">
        <v>3</v>
      </c>
      <c r="F207" s="11" t="n">
        <v>4</v>
      </c>
      <c r="G207" s="5" t="str">
        <f aca="false">IFERROR(VLOOKUP(D207,SETTINGS!A20:B41,2,FALSE()),"Medium")</f>
        <v>Medium</v>
      </c>
      <c r="H207" s="5" t="n">
        <f aca="false">IFERROR(VLOOKUP(G207,SETTINGS!A14:C16,3,FALSE()),5)</f>
        <v>8</v>
      </c>
      <c r="I207" s="5" t="n">
        <f aca="false">IF(E207&gt;0,E207,H207)</f>
        <v>3</v>
      </c>
      <c r="J207" s="5" t="n">
        <f aca="false">IF(F207&gt;0,F207,H207)</f>
        <v>4</v>
      </c>
      <c r="K207" s="5" t="n">
        <f aca="false">I207/7</f>
        <v>0.428571428571429</v>
      </c>
      <c r="L207" s="5" t="n">
        <f aca="false">J207/7</f>
        <v>0.571428571428571</v>
      </c>
    </row>
    <row r="208" customFormat="false" ht="23.85" hidden="false" customHeight="false" outlineLevel="0" collapsed="false">
      <c r="A208" s="5" t="n">
        <f aca="false">ITEM_MASTER_CLEAN!A208</f>
        <v>207</v>
      </c>
      <c r="B208" s="5" t="n">
        <f aca="false">ITEM_MASTER_CLEAN!B208</f>
        <v>66908</v>
      </c>
      <c r="C208" s="5" t="str">
        <f aca="false">ITEM_MASTER_CLEAN!C208</f>
        <v>CUTL KNIFE WOOD TI80691 1M</v>
      </c>
      <c r="D208" s="5" t="str">
        <f aca="false">ITEM_MASTER_CLEAN!D208</f>
        <v>EMBALLAGES GENERIC</v>
      </c>
      <c r="E208" s="11" t="n">
        <v>3</v>
      </c>
      <c r="F208" s="11" t="n">
        <v>2</v>
      </c>
      <c r="G208" s="5" t="str">
        <f aca="false">IFERROR(VLOOKUP(D208,SETTINGS!A20:B41,2,FALSE()),"Medium")</f>
        <v>Medium</v>
      </c>
      <c r="H208" s="5" t="n">
        <f aca="false">IFERROR(VLOOKUP(G208,SETTINGS!A14:C16,3,FALSE()),5)</f>
        <v>8</v>
      </c>
      <c r="I208" s="5" t="n">
        <f aca="false">IF(E208&gt;0,E208,H208)</f>
        <v>3</v>
      </c>
      <c r="J208" s="5" t="n">
        <f aca="false">IF(F208&gt;0,F208,H208)</f>
        <v>2</v>
      </c>
      <c r="K208" s="5" t="n">
        <f aca="false">I208/7</f>
        <v>0.428571428571429</v>
      </c>
      <c r="L208" s="5" t="n">
        <f aca="false">J208/7</f>
        <v>0.285714285714286</v>
      </c>
    </row>
    <row r="209" customFormat="false" ht="23.85" hidden="false" customHeight="false" outlineLevel="0" collapsed="false">
      <c r="A209" s="5" t="n">
        <f aca="false">ITEM_MASTER_CLEAN!A209</f>
        <v>208</v>
      </c>
      <c r="B209" s="5" t="n">
        <f aca="false">ITEM_MASTER_CLEAN!B209</f>
        <v>44099</v>
      </c>
      <c r="C209" s="5" t="str">
        <f aca="false">ITEM_MASTER_CLEAN!C209</f>
        <v>CUTLERY KNIVE POL WH MED PYL PP* 1M</v>
      </c>
      <c r="D209" s="5" t="str">
        <f aca="false">ITEM_MASTER_CLEAN!D209</f>
        <v>EMBALLAGES GENERIC</v>
      </c>
      <c r="E209" s="11" t="n">
        <v>3</v>
      </c>
      <c r="F209" s="11" t="n">
        <v>1</v>
      </c>
      <c r="G209" s="5" t="str">
        <f aca="false">IFERROR(VLOOKUP(D209,SETTINGS!A20:B41,2,FALSE()),"Medium")</f>
        <v>Medium</v>
      </c>
      <c r="H209" s="5" t="n">
        <f aca="false">IFERROR(VLOOKUP(G209,SETTINGS!A14:C16,3,FALSE()),5)</f>
        <v>8</v>
      </c>
      <c r="I209" s="5" t="n">
        <f aca="false">IF(E209&gt;0,E209,H209)</f>
        <v>3</v>
      </c>
      <c r="J209" s="5" t="n">
        <f aca="false">IF(F209&gt;0,F209,H209)</f>
        <v>1</v>
      </c>
      <c r="K209" s="5" t="n">
        <f aca="false">I209/7</f>
        <v>0.428571428571429</v>
      </c>
      <c r="L209" s="5" t="n">
        <f aca="false">J209/7</f>
        <v>0.142857142857143</v>
      </c>
    </row>
    <row r="210" customFormat="false" ht="23.85" hidden="false" customHeight="false" outlineLevel="0" collapsed="false">
      <c r="A210" s="5" t="n">
        <f aca="false">ITEM_MASTER_CLEAN!A210</f>
        <v>209</v>
      </c>
      <c r="B210" s="5" t="n">
        <f aca="false">ITEM_MASTER_CLEAN!B210</f>
        <v>41623</v>
      </c>
      <c r="C210" s="5" t="str">
        <f aca="false">ITEM_MASTER_CLEAN!C210</f>
        <v>CUTLERY SPOON POL TEA WH PYL PP* 1M</v>
      </c>
      <c r="D210" s="5" t="str">
        <f aca="false">ITEM_MASTER_CLEAN!D210</f>
        <v>EMBALLAGES GENERIC</v>
      </c>
      <c r="E210" s="11" t="n">
        <v>2</v>
      </c>
      <c r="F210" s="11" t="n">
        <v>3</v>
      </c>
      <c r="G210" s="5" t="str">
        <f aca="false">IFERROR(VLOOKUP(D210,SETTINGS!A20:B41,2,FALSE()),"Medium")</f>
        <v>Medium</v>
      </c>
      <c r="H210" s="5" t="n">
        <f aca="false">IFERROR(VLOOKUP(G210,SETTINGS!A14:C16,3,FALSE()),5)</f>
        <v>8</v>
      </c>
      <c r="I210" s="5" t="n">
        <f aca="false">IF(E210&gt;0,E210,H210)</f>
        <v>2</v>
      </c>
      <c r="J210" s="5" t="n">
        <f aca="false">IF(F210&gt;0,F210,H210)</f>
        <v>3</v>
      </c>
      <c r="K210" s="5" t="n">
        <f aca="false">I210/7</f>
        <v>0.285714285714286</v>
      </c>
      <c r="L210" s="5" t="n">
        <f aca="false">J210/7</f>
        <v>0.428571428571429</v>
      </c>
    </row>
    <row r="211" customFormat="false" ht="23.85" hidden="false" customHeight="false" outlineLevel="0" collapsed="false">
      <c r="A211" s="5" t="n">
        <f aca="false">ITEM_MASTER_CLEAN!A211</f>
        <v>210</v>
      </c>
      <c r="B211" s="5" t="n">
        <f aca="false">ITEM_MASTER_CLEAN!B211</f>
        <v>66910</v>
      </c>
      <c r="C211" s="5" t="str">
        <f aca="false">ITEM_MASTER_CLEAN!C211</f>
        <v>CUTL SPOON WOOD TI80692 1M</v>
      </c>
      <c r="D211" s="5" t="str">
        <f aca="false">ITEM_MASTER_CLEAN!D211</f>
        <v>EMBALLAGES GENERIC</v>
      </c>
      <c r="E211" s="11" t="n">
        <v>2</v>
      </c>
      <c r="F211" s="11" t="n">
        <v>2</v>
      </c>
      <c r="G211" s="5" t="str">
        <f aca="false">IFERROR(VLOOKUP(D211,SETTINGS!A20:B41,2,FALSE()),"Medium")</f>
        <v>Medium</v>
      </c>
      <c r="H211" s="5" t="n">
        <f aca="false">IFERROR(VLOOKUP(G211,SETTINGS!A14:C16,3,FALSE()),5)</f>
        <v>8</v>
      </c>
      <c r="I211" s="5" t="n">
        <f aca="false">IF(E211&gt;0,E211,H211)</f>
        <v>2</v>
      </c>
      <c r="J211" s="5" t="n">
        <f aca="false">IF(F211&gt;0,F211,H211)</f>
        <v>2</v>
      </c>
      <c r="K211" s="5" t="n">
        <f aca="false">I211/7</f>
        <v>0.285714285714286</v>
      </c>
      <c r="L211" s="5" t="n">
        <f aca="false">J211/7</f>
        <v>0.285714285714286</v>
      </c>
    </row>
    <row r="212" customFormat="false" ht="23.85" hidden="false" customHeight="false" outlineLevel="0" collapsed="false">
      <c r="A212" s="5" t="n">
        <f aca="false">ITEM_MASTER_CLEAN!A212</f>
        <v>211</v>
      </c>
      <c r="B212" s="5" t="n">
        <f aca="false">ITEM_MASTER_CLEAN!B212</f>
        <v>43703</v>
      </c>
      <c r="C212" s="5" t="str">
        <f aca="false">ITEM_MASTER_CLEAN!C212</f>
        <v>CUTLERY FORK POL WH MED PYL PP* 1M</v>
      </c>
      <c r="D212" s="5" t="str">
        <f aca="false">ITEM_MASTER_CLEAN!D212</f>
        <v>EMBALLAGES GENERIC</v>
      </c>
      <c r="E212" s="11" t="n">
        <v>5</v>
      </c>
      <c r="F212" s="11" t="n">
        <v>2</v>
      </c>
      <c r="G212" s="5" t="str">
        <f aca="false">IFERROR(VLOOKUP(D212,SETTINGS!A20:B41,2,FALSE()),"Medium")</f>
        <v>Medium</v>
      </c>
      <c r="H212" s="5" t="n">
        <f aca="false">IFERROR(VLOOKUP(G212,SETTINGS!A14:C16,3,FALSE()),5)</f>
        <v>8</v>
      </c>
      <c r="I212" s="5" t="n">
        <f aca="false">IF(E212&gt;0,E212,H212)</f>
        <v>5</v>
      </c>
      <c r="J212" s="5" t="n">
        <f aca="false">IF(F212&gt;0,F212,H212)</f>
        <v>2</v>
      </c>
      <c r="K212" s="5" t="n">
        <f aca="false">I212/7</f>
        <v>0.714285714285714</v>
      </c>
      <c r="L212" s="5" t="n">
        <f aca="false">J212/7</f>
        <v>0.285714285714286</v>
      </c>
    </row>
    <row r="213" customFormat="false" ht="23.85" hidden="false" customHeight="false" outlineLevel="0" collapsed="false">
      <c r="A213" s="5" t="n">
        <f aca="false">ITEM_MASTER_CLEAN!A213</f>
        <v>212</v>
      </c>
      <c r="B213" s="5" t="n">
        <f aca="false">ITEM_MASTER_CLEAN!B213</f>
        <v>66909</v>
      </c>
      <c r="C213" s="5" t="str">
        <f aca="false">ITEM_MASTER_CLEAN!C213</f>
        <v>CUTL FORK WOOD TI80690 1M</v>
      </c>
      <c r="D213" s="5" t="str">
        <f aca="false">ITEM_MASTER_CLEAN!D213</f>
        <v>EMBALLAGES GENERIC</v>
      </c>
      <c r="E213" s="11" t="n">
        <v>2</v>
      </c>
      <c r="F213" s="11" t="n">
        <v>4</v>
      </c>
      <c r="G213" s="5" t="str">
        <f aca="false">IFERROR(VLOOKUP(D213,SETTINGS!A20:B41,2,FALSE()),"Medium")</f>
        <v>Medium</v>
      </c>
      <c r="H213" s="5" t="n">
        <f aca="false">IFERROR(VLOOKUP(G213,SETTINGS!A14:C16,3,FALSE()),5)</f>
        <v>8</v>
      </c>
      <c r="I213" s="5" t="n">
        <f aca="false">IF(E213&gt;0,E213,H213)</f>
        <v>2</v>
      </c>
      <c r="J213" s="5" t="n">
        <f aca="false">IF(F213&gt;0,F213,H213)</f>
        <v>4</v>
      </c>
      <c r="K213" s="5" t="n">
        <f aca="false">I213/7</f>
        <v>0.285714285714286</v>
      </c>
      <c r="L213" s="5" t="n">
        <f aca="false">J213/7</f>
        <v>0.571428571428571</v>
      </c>
    </row>
    <row r="214" customFormat="false" ht="23.85" hidden="false" customHeight="false" outlineLevel="0" collapsed="false">
      <c r="A214" s="5" t="n">
        <f aca="false">ITEM_MASTER_CLEAN!A214</f>
        <v>213</v>
      </c>
      <c r="B214" s="5" t="n">
        <f aca="false">ITEM_MASTER_CLEAN!B214</f>
        <v>12562</v>
      </c>
      <c r="C214" s="5" t="str">
        <f aca="false">ITEM_MASTER_CLEAN!C214</f>
        <v>SPOON WOOD TASTER WRP 1M</v>
      </c>
      <c r="D214" s="5" t="str">
        <f aca="false">ITEM_MASTER_CLEAN!D214</f>
        <v>EMBALLAGES GENERIC</v>
      </c>
      <c r="E214" s="11" t="n">
        <v>3</v>
      </c>
      <c r="F214" s="11" t="n">
        <v>1</v>
      </c>
      <c r="G214" s="5" t="str">
        <f aca="false">IFERROR(VLOOKUP(D214,SETTINGS!A20:B41,2,FALSE()),"Medium")</f>
        <v>Medium</v>
      </c>
      <c r="H214" s="5" t="n">
        <f aca="false">IFERROR(VLOOKUP(G214,SETTINGS!A14:C16,3,FALSE()),5)</f>
        <v>8</v>
      </c>
      <c r="I214" s="5" t="n">
        <f aca="false">IF(E214&gt;0,E214,H214)</f>
        <v>3</v>
      </c>
      <c r="J214" s="5" t="n">
        <f aca="false">IF(F214&gt;0,F214,H214)</f>
        <v>1</v>
      </c>
      <c r="K214" s="5" t="n">
        <f aca="false">I214/7</f>
        <v>0.428571428571429</v>
      </c>
      <c r="L214" s="5" t="n">
        <f aca="false">J214/7</f>
        <v>0.142857142857143</v>
      </c>
    </row>
    <row r="215" customFormat="false" ht="23.85" hidden="false" customHeight="false" outlineLevel="0" collapsed="false">
      <c r="A215" s="5" t="n">
        <f aca="false">ITEM_MASTER_CLEAN!A215</f>
        <v>214</v>
      </c>
      <c r="B215" s="5" t="n">
        <f aca="false">ITEM_MASTER_CLEAN!B215</f>
        <v>66915</v>
      </c>
      <c r="C215" s="5" t="str">
        <f aca="false">ITEM_MASTER_CLEAN!C215</f>
        <v>MTY CUTLERY SPOON SODA 7.2" WOOD 1M</v>
      </c>
      <c r="D215" s="5" t="str">
        <f aca="false">ITEM_MASTER_CLEAN!D215</f>
        <v>EMBALLAGES GENERIC</v>
      </c>
      <c r="E215" s="11" t="n">
        <v>2</v>
      </c>
      <c r="F215" s="11" t="n">
        <v>4</v>
      </c>
      <c r="G215" s="5" t="str">
        <f aca="false">IFERROR(VLOOKUP(D215,SETTINGS!A20:B41,2,FALSE()),"Medium")</f>
        <v>Medium</v>
      </c>
      <c r="H215" s="5" t="n">
        <f aca="false">IFERROR(VLOOKUP(G215,SETTINGS!A14:C16,3,FALSE()),5)</f>
        <v>8</v>
      </c>
      <c r="I215" s="5" t="n">
        <f aca="false">IF(E215&gt;0,E215,H215)</f>
        <v>2</v>
      </c>
      <c r="J215" s="5" t="n">
        <f aca="false">IF(F215&gt;0,F215,H215)</f>
        <v>4</v>
      </c>
      <c r="K215" s="5" t="n">
        <f aca="false">I215/7</f>
        <v>0.285714285714286</v>
      </c>
      <c r="L215" s="5" t="n">
        <f aca="false">J215/7</f>
        <v>0.571428571428571</v>
      </c>
    </row>
    <row r="216" customFormat="false" ht="23.85" hidden="false" customHeight="false" outlineLevel="0" collapsed="false">
      <c r="A216" s="5" t="n">
        <f aca="false">ITEM_MASTER_CLEAN!A216</f>
        <v>215</v>
      </c>
      <c r="B216" s="5" t="n">
        <f aca="false">ITEM_MASTER_CLEAN!B216</f>
        <v>33725</v>
      </c>
      <c r="C216" s="5" t="str">
        <f aca="false">ITEM_MASTER_CLEAN!C216</f>
        <v>TRAY 4CUP CARRIER 8-32OZ  300</v>
      </c>
      <c r="D216" s="5" t="str">
        <f aca="false">ITEM_MASTER_CLEAN!D216</f>
        <v>EMBALLAGES GENERIC</v>
      </c>
      <c r="E216" s="11" t="n">
        <v>3</v>
      </c>
      <c r="F216" s="11" t="n">
        <v>1</v>
      </c>
      <c r="G216" s="5" t="str">
        <f aca="false">IFERROR(VLOOKUP(D216,SETTINGS!A20:B41,2,FALSE()),"Medium")</f>
        <v>Medium</v>
      </c>
      <c r="H216" s="5" t="n">
        <f aca="false">IFERROR(VLOOKUP(G216,SETTINGS!A14:C16,3,FALSE()),5)</f>
        <v>8</v>
      </c>
      <c r="I216" s="5" t="n">
        <f aca="false">IF(E216&gt;0,E216,H216)</f>
        <v>3</v>
      </c>
      <c r="J216" s="5" t="n">
        <f aca="false">IF(F216&gt;0,F216,H216)</f>
        <v>1</v>
      </c>
      <c r="K216" s="5" t="n">
        <f aca="false">I216/7</f>
        <v>0.428571428571429</v>
      </c>
      <c r="L216" s="5" t="n">
        <f aca="false">J216/7</f>
        <v>0.142857142857143</v>
      </c>
    </row>
    <row r="217" customFormat="false" ht="23.85" hidden="false" customHeight="false" outlineLevel="0" collapsed="false">
      <c r="A217" s="5" t="n">
        <f aca="false">ITEM_MASTER_CLEAN!A217</f>
        <v>216</v>
      </c>
      <c r="B217" s="5" t="n">
        <f aca="false">ITEM_MASTER_CLEAN!B217</f>
        <v>47498</v>
      </c>
      <c r="C217" s="5" t="str">
        <f aca="false">ITEM_MASTER_CLEAN!C217</f>
        <v>ROLL CASH THERMAL 3 1/8 X 210'   50</v>
      </c>
      <c r="D217" s="5" t="str">
        <f aca="false">ITEM_MASTER_CLEAN!D217</f>
        <v>EMBALLAGES GENERIC</v>
      </c>
      <c r="E217" s="11" t="n">
        <v>4</v>
      </c>
      <c r="F217" s="11" t="n">
        <v>2</v>
      </c>
      <c r="G217" s="5" t="str">
        <f aca="false">IFERROR(VLOOKUP(D217,SETTINGS!A20:B41,2,FALSE()),"Medium")</f>
        <v>Medium</v>
      </c>
      <c r="H217" s="5" t="n">
        <f aca="false">IFERROR(VLOOKUP(G217,SETTINGS!A14:C16,3,FALSE()),5)</f>
        <v>8</v>
      </c>
      <c r="I217" s="5" t="n">
        <f aca="false">IF(E217&gt;0,E217,H217)</f>
        <v>4</v>
      </c>
      <c r="J217" s="5" t="n">
        <f aca="false">IF(F217&gt;0,F217,H217)</f>
        <v>2</v>
      </c>
      <c r="K217" s="5" t="n">
        <f aca="false">I217/7</f>
        <v>0.571428571428571</v>
      </c>
      <c r="L217" s="5" t="n">
        <f aca="false">J217/7</f>
        <v>0.285714285714286</v>
      </c>
    </row>
    <row r="218" customFormat="false" ht="23.85" hidden="false" customHeight="false" outlineLevel="0" collapsed="false">
      <c r="A218" s="5" t="n">
        <f aca="false">ITEM_MASTER_CLEAN!A218</f>
        <v>217</v>
      </c>
      <c r="B218" s="5" t="n">
        <f aca="false">ITEM_MASTER_CLEAN!B218</f>
        <v>12609</v>
      </c>
      <c r="C218" s="5" t="str">
        <f aca="false">ITEM_MASTER_CLEAN!C218</f>
        <v>BAGS GROCERY BROWN  8LB 500</v>
      </c>
      <c r="D218" s="5" t="str">
        <f aca="false">ITEM_MASTER_CLEAN!D218</f>
        <v>EMBALLAGES GENERIC</v>
      </c>
      <c r="E218" s="11" t="n">
        <v>6</v>
      </c>
      <c r="F218" s="11" t="n">
        <v>3</v>
      </c>
      <c r="G218" s="5" t="str">
        <f aca="false">IFERROR(VLOOKUP(D218,SETTINGS!A20:B41,2,FALSE()),"Medium")</f>
        <v>Medium</v>
      </c>
      <c r="H218" s="5" t="n">
        <f aca="false">IFERROR(VLOOKUP(G218,SETTINGS!A14:C16,3,FALSE()),5)</f>
        <v>8</v>
      </c>
      <c r="I218" s="5" t="n">
        <f aca="false">IF(E218&gt;0,E218,H218)</f>
        <v>6</v>
      </c>
      <c r="J218" s="5" t="n">
        <f aca="false">IF(F218&gt;0,F218,H218)</f>
        <v>3</v>
      </c>
      <c r="K218" s="5" t="n">
        <f aca="false">I218/7</f>
        <v>0.857142857142857</v>
      </c>
      <c r="L218" s="5" t="n">
        <f aca="false">J218/7</f>
        <v>0.428571428571429</v>
      </c>
    </row>
    <row r="219" customFormat="false" ht="23.85" hidden="false" customHeight="false" outlineLevel="0" collapsed="false">
      <c r="A219" s="5" t="n">
        <f aca="false">ITEM_MASTER_CLEAN!A219</f>
        <v>218</v>
      </c>
      <c r="B219" s="5" t="n">
        <f aca="false">ITEM_MASTER_CLEAN!B219</f>
        <v>12617</v>
      </c>
      <c r="C219" s="5" t="str">
        <f aca="false">ITEM_MASTER_CLEAN!C219</f>
        <v>BAGS GROCERY BROWN 10LB 500</v>
      </c>
      <c r="D219" s="5" t="str">
        <f aca="false">ITEM_MASTER_CLEAN!D219</f>
        <v>EMBALLAGES GENERIC</v>
      </c>
      <c r="E219" s="11" t="n">
        <v>3</v>
      </c>
      <c r="F219" s="11" t="n">
        <v>1</v>
      </c>
      <c r="G219" s="5" t="str">
        <f aca="false">IFERROR(VLOOKUP(D219,SETTINGS!A20:B41,2,FALSE()),"Medium")</f>
        <v>Medium</v>
      </c>
      <c r="H219" s="5" t="n">
        <f aca="false">IFERROR(VLOOKUP(G219,SETTINGS!A14:C16,3,FALSE()),5)</f>
        <v>8</v>
      </c>
      <c r="I219" s="5" t="n">
        <f aca="false">IF(E219&gt;0,E219,H219)</f>
        <v>3</v>
      </c>
      <c r="J219" s="5" t="n">
        <f aca="false">IF(F219&gt;0,F219,H219)</f>
        <v>1</v>
      </c>
      <c r="K219" s="5" t="n">
        <f aca="false">I219/7</f>
        <v>0.428571428571429</v>
      </c>
      <c r="L219" s="5" t="n">
        <f aca="false">J219/7</f>
        <v>0.142857142857143</v>
      </c>
    </row>
    <row r="220" customFormat="false" ht="23.85" hidden="false" customHeight="false" outlineLevel="0" collapsed="false">
      <c r="A220" s="5" t="n">
        <f aca="false">ITEM_MASTER_CLEAN!A220</f>
        <v>219</v>
      </c>
      <c r="B220" s="5" t="n">
        <f aca="false">ITEM_MASTER_CLEAN!B220</f>
        <v>12633</v>
      </c>
      <c r="C220" s="5" t="str">
        <f aca="false">ITEM_MASTER_CLEAN!C220</f>
        <v>BAGS GROCERY BROWN 14LB 500</v>
      </c>
      <c r="D220" s="5" t="str">
        <f aca="false">ITEM_MASTER_CLEAN!D220</f>
        <v>EMBALLAGES GENERIC</v>
      </c>
      <c r="E220" s="11" t="n">
        <v>4</v>
      </c>
      <c r="F220" s="11" t="n">
        <v>3</v>
      </c>
      <c r="G220" s="5" t="str">
        <f aca="false">IFERROR(VLOOKUP(D220,SETTINGS!A20:B41,2,FALSE()),"Medium")</f>
        <v>Medium</v>
      </c>
      <c r="H220" s="5" t="n">
        <f aca="false">IFERROR(VLOOKUP(G220,SETTINGS!A14:C16,3,FALSE()),5)</f>
        <v>8</v>
      </c>
      <c r="I220" s="5" t="n">
        <f aca="false">IF(E220&gt;0,E220,H220)</f>
        <v>4</v>
      </c>
      <c r="J220" s="5" t="n">
        <f aca="false">IF(F220&gt;0,F220,H220)</f>
        <v>3</v>
      </c>
      <c r="K220" s="5" t="n">
        <f aca="false">I220/7</f>
        <v>0.571428571428571</v>
      </c>
      <c r="L220" s="5" t="n">
        <f aca="false">J220/7</f>
        <v>0.428571428571429</v>
      </c>
    </row>
    <row r="221" customFormat="false" ht="23.85" hidden="false" customHeight="false" outlineLevel="0" collapsed="false">
      <c r="A221" s="5" t="n">
        <f aca="false">ITEM_MASTER_CLEAN!A221</f>
        <v>220</v>
      </c>
      <c r="B221" s="5" t="n">
        <f aca="false">ITEM_MASTER_CLEAN!B221</f>
        <v>12585</v>
      </c>
      <c r="C221" s="5" t="str">
        <f aca="false">ITEM_MASTER_CLEAN!C221</f>
        <v>BAGS GROCERY  30LB  DD50  500UN</v>
      </c>
      <c r="D221" s="5" t="str">
        <f aca="false">ITEM_MASTER_CLEAN!D221</f>
        <v>EMBALLAGES GENERIC</v>
      </c>
      <c r="E221" s="11" t="n">
        <v>3</v>
      </c>
      <c r="F221" s="11" t="n">
        <v>2</v>
      </c>
      <c r="G221" s="5" t="str">
        <f aca="false">IFERROR(VLOOKUP(D221,SETTINGS!A20:B41,2,FALSE()),"Medium")</f>
        <v>Medium</v>
      </c>
      <c r="H221" s="5" t="n">
        <f aca="false">IFERROR(VLOOKUP(G221,SETTINGS!A14:C16,3,FALSE()),5)</f>
        <v>8</v>
      </c>
      <c r="I221" s="5" t="n">
        <f aca="false">IF(E221&gt;0,E221,H221)</f>
        <v>3</v>
      </c>
      <c r="J221" s="5" t="n">
        <f aca="false">IF(F221&gt;0,F221,H221)</f>
        <v>2</v>
      </c>
      <c r="K221" s="5" t="n">
        <f aca="false">I221/7</f>
        <v>0.428571428571429</v>
      </c>
      <c r="L221" s="5" t="n">
        <f aca="false">J221/7</f>
        <v>0.285714285714286</v>
      </c>
    </row>
    <row r="222" customFormat="false" ht="23.85" hidden="false" customHeight="false" outlineLevel="0" collapsed="false">
      <c r="A222" s="5" t="n">
        <f aca="false">ITEM_MASTER_CLEAN!A222</f>
        <v>221</v>
      </c>
      <c r="B222" s="5" t="n">
        <f aca="false">ITEM_MASTER_CLEAN!B222</f>
        <v>22573</v>
      </c>
      <c r="C222" s="5" t="str">
        <f aca="false">ITEM_MASTER_CLEAN!C222</f>
        <v>BAG KFT W/HANDLE 14X10X16  200</v>
      </c>
      <c r="D222" s="5" t="str">
        <f aca="false">ITEM_MASTER_CLEAN!D222</f>
        <v>EMBALLAGES GENERIC</v>
      </c>
      <c r="E222" s="11" t="n">
        <v>3</v>
      </c>
      <c r="F222" s="11" t="n">
        <v>3</v>
      </c>
      <c r="G222" s="5" t="str">
        <f aca="false">IFERROR(VLOOKUP(D222,SETTINGS!A20:B41,2,FALSE()),"Medium")</f>
        <v>Medium</v>
      </c>
      <c r="H222" s="5" t="n">
        <f aca="false">IFERROR(VLOOKUP(G222,SETTINGS!A14:C16,3,FALSE()),5)</f>
        <v>8</v>
      </c>
      <c r="I222" s="5" t="n">
        <f aca="false">IF(E222&gt;0,E222,H222)</f>
        <v>3</v>
      </c>
      <c r="J222" s="5" t="n">
        <f aca="false">IF(F222&gt;0,F222,H222)</f>
        <v>3</v>
      </c>
      <c r="K222" s="5" t="n">
        <f aca="false">I222/7</f>
        <v>0.428571428571429</v>
      </c>
      <c r="L222" s="5" t="n">
        <f aca="false">J222/7</f>
        <v>0.428571428571429</v>
      </c>
    </row>
    <row r="223" customFormat="false" ht="23.85" hidden="false" customHeight="false" outlineLevel="0" collapsed="false">
      <c r="A223" s="5" t="n">
        <f aca="false">ITEM_MASTER_CLEAN!A223</f>
        <v>222</v>
      </c>
      <c r="B223" s="5" t="n">
        <f aca="false">ITEM_MASTER_CLEAN!B223</f>
        <v>28466</v>
      </c>
      <c r="C223" s="5" t="str">
        <f aca="false">ITEM_MASTER_CLEAN!C223</f>
        <v>NAPKIN COCTAIL 4M</v>
      </c>
      <c r="D223" s="5" t="str">
        <f aca="false">ITEM_MASTER_CLEAN!D223</f>
        <v>EMBALLAGES GENERIC</v>
      </c>
      <c r="E223" s="11" t="n">
        <v>4</v>
      </c>
      <c r="F223" s="11" t="n">
        <v>2</v>
      </c>
      <c r="G223" s="5" t="str">
        <f aca="false">IFERROR(VLOOKUP(D223,SETTINGS!A20:B41,2,FALSE()),"Medium")</f>
        <v>Medium</v>
      </c>
      <c r="H223" s="5" t="n">
        <f aca="false">IFERROR(VLOOKUP(G223,SETTINGS!A14:C16,3,FALSE()),5)</f>
        <v>8</v>
      </c>
      <c r="I223" s="5" t="n">
        <f aca="false">IF(E223&gt;0,E223,H223)</f>
        <v>4</v>
      </c>
      <c r="J223" s="5" t="n">
        <f aca="false">IF(F223&gt;0,F223,H223)</f>
        <v>2</v>
      </c>
      <c r="K223" s="5" t="n">
        <f aca="false">I223/7</f>
        <v>0.571428571428571</v>
      </c>
      <c r="L223" s="5" t="n">
        <f aca="false">J223/7</f>
        <v>0.285714285714286</v>
      </c>
    </row>
    <row r="224" customFormat="false" ht="23.85" hidden="false" customHeight="false" outlineLevel="0" collapsed="false">
      <c r="A224" s="5" t="n">
        <f aca="false">ITEM_MASTER_CLEAN!A224</f>
        <v>223</v>
      </c>
      <c r="B224" s="5" t="n">
        <f aca="false">ITEM_MASTER_CLEAN!B224</f>
        <v>31649</v>
      </c>
      <c r="C224" s="5" t="str">
        <f aca="false">ITEM_MASTER_CLEAN!C224</f>
        <v>NAPKIN MEALMATES 1PL KRAFT 12X300</v>
      </c>
      <c r="D224" s="5" t="str">
        <f aca="false">ITEM_MASTER_CLEAN!D224</f>
        <v>EMBALLAGES GENERIC</v>
      </c>
      <c r="E224" s="11" t="n">
        <v>5</v>
      </c>
      <c r="F224" s="11" t="n">
        <v>2</v>
      </c>
      <c r="G224" s="5" t="str">
        <f aca="false">IFERROR(VLOOKUP(D224,SETTINGS!A20:B41,2,FALSE()),"Medium")</f>
        <v>Medium</v>
      </c>
      <c r="H224" s="5" t="n">
        <f aca="false">IFERROR(VLOOKUP(G224,SETTINGS!A14:C16,3,FALSE()),5)</f>
        <v>8</v>
      </c>
      <c r="I224" s="5" t="n">
        <f aca="false">IF(E224&gt;0,E224,H224)</f>
        <v>5</v>
      </c>
      <c r="J224" s="5" t="n">
        <f aca="false">IF(F224&gt;0,F224,H224)</f>
        <v>2</v>
      </c>
      <c r="K224" s="5" t="n">
        <f aca="false">I224/7</f>
        <v>0.714285714285714</v>
      </c>
      <c r="L224" s="5" t="n">
        <f aca="false">J224/7</f>
        <v>0.285714285714286</v>
      </c>
    </row>
    <row r="225" customFormat="false" ht="35.05" hidden="false" customHeight="false" outlineLevel="0" collapsed="false">
      <c r="A225" s="5" t="n">
        <f aca="false">ITEM_MASTER_CLEAN!A225</f>
        <v>224</v>
      </c>
      <c r="B225" s="5" t="n">
        <f aca="false">ITEM_MASTER_CLEAN!B225</f>
        <v>66712</v>
      </c>
      <c r="C225" s="5" t="str">
        <f aca="false">ITEM_MASTER_CLEAN!C225</f>
        <v>SANITIZER STERA SHEEN 010425 1UN</v>
      </c>
      <c r="D225" s="5" t="str">
        <f aca="false">ITEM_MASTER_CLEAN!D225</f>
        <v>NETTOYAGE_ENTRETIEN / JANITORIAL</v>
      </c>
      <c r="E225" s="11" t="n">
        <v>0</v>
      </c>
      <c r="F225" s="11" t="n">
        <v>1</v>
      </c>
      <c r="G225" s="5" t="str">
        <f aca="false">IFERROR(VLOOKUP(D225,SETTINGS!A20:B41,2,FALSE()),"Medium")</f>
        <v>Slow</v>
      </c>
      <c r="H225" s="5" t="n">
        <f aca="false">IFERROR(VLOOKUP(G225,SETTINGS!A14:C16,3,FALSE()),5)</f>
        <v>3</v>
      </c>
      <c r="I225" s="5" t="n">
        <f aca="false">IF(E225&gt;0,E225,H225)</f>
        <v>3</v>
      </c>
      <c r="J225" s="5" t="n">
        <f aca="false">IF(F225&gt;0,F225,H225)</f>
        <v>1</v>
      </c>
      <c r="K225" s="5" t="n">
        <f aca="false">I225/7</f>
        <v>0.428571428571429</v>
      </c>
      <c r="L225" s="5" t="n">
        <f aca="false">J225/7</f>
        <v>0.142857142857143</v>
      </c>
    </row>
    <row r="226" customFormat="false" ht="35.05" hidden="false" customHeight="false" outlineLevel="0" collapsed="false">
      <c r="A226" s="5" t="n">
        <f aca="false">ITEM_MASTER_CLEAN!A226</f>
        <v>225</v>
      </c>
      <c r="B226" s="5" t="n">
        <f aca="false">ITEM_MASTER_CLEAN!B226</f>
        <v>66713</v>
      </c>
      <c r="C226" s="5" t="str">
        <f aca="false">ITEM_MASTER_CLEAN!C226</f>
        <v>LUBRICANT 047518 X1UN</v>
      </c>
      <c r="D226" s="5" t="str">
        <f aca="false">ITEM_MASTER_CLEAN!D226</f>
        <v>NETTOYAGE_ENTRETIEN / JANITORIAL</v>
      </c>
      <c r="E226" s="11" t="n">
        <v>1</v>
      </c>
      <c r="F226" s="11" t="n">
        <v>0</v>
      </c>
      <c r="G226" s="5" t="str">
        <f aca="false">IFERROR(VLOOKUP(D226,SETTINGS!A20:B41,2,FALSE()),"Medium")</f>
        <v>Slow</v>
      </c>
      <c r="H226" s="5" t="n">
        <f aca="false">IFERROR(VLOOKUP(G226,SETTINGS!A14:C16,3,FALSE()),5)</f>
        <v>3</v>
      </c>
      <c r="I226" s="5" t="n">
        <f aca="false">IF(E226&gt;0,E226,H226)</f>
        <v>1</v>
      </c>
      <c r="J226" s="5" t="n">
        <f aca="false">IF(F226&gt;0,F226,H226)</f>
        <v>3</v>
      </c>
      <c r="K226" s="5" t="n">
        <f aca="false">I226/7</f>
        <v>0.142857142857143</v>
      </c>
      <c r="L226" s="5" t="n">
        <f aca="false">J226/7</f>
        <v>0.428571428571429</v>
      </c>
    </row>
    <row r="227" customFormat="false" ht="35.05" hidden="false" customHeight="false" outlineLevel="0" collapsed="false">
      <c r="A227" s="5" t="n">
        <f aca="false">ITEM_MASTER_CLEAN!A227</f>
        <v>226</v>
      </c>
      <c r="B227" s="5" t="n">
        <f aca="false">ITEM_MASTER_CLEAN!B227</f>
        <v>49215</v>
      </c>
      <c r="C227" s="5" t="str">
        <f aca="false">ITEM_MASTER_CLEAN!C227</f>
        <v>TOWEL ROLL 8"X205' WHITE  24RL</v>
      </c>
      <c r="D227" s="5" t="str">
        <f aca="false">ITEM_MASTER_CLEAN!D227</f>
        <v>NETTOYAGE_ENTRETIEN / JANITORIAL</v>
      </c>
      <c r="E227" s="11" t="n">
        <v>0</v>
      </c>
      <c r="F227" s="11" t="n">
        <v>1</v>
      </c>
      <c r="G227" s="5" t="str">
        <f aca="false">IFERROR(VLOOKUP(D227,SETTINGS!A20:B41,2,FALSE()),"Medium")</f>
        <v>Slow</v>
      </c>
      <c r="H227" s="5" t="n">
        <f aca="false">IFERROR(VLOOKUP(G227,SETTINGS!A14:C16,3,FALSE()),5)</f>
        <v>3</v>
      </c>
      <c r="I227" s="5" t="n">
        <f aca="false">IF(E227&gt;0,E227,H227)</f>
        <v>3</v>
      </c>
      <c r="J227" s="5" t="n">
        <f aca="false">IF(F227&gt;0,F227,H227)</f>
        <v>1</v>
      </c>
      <c r="K227" s="5" t="n">
        <f aca="false">I227/7</f>
        <v>0.428571428571429</v>
      </c>
      <c r="L227" s="5" t="n">
        <f aca="false">J227/7</f>
        <v>0.142857142857143</v>
      </c>
    </row>
    <row r="228" customFormat="false" ht="35.05" hidden="false" customHeight="false" outlineLevel="0" collapsed="false">
      <c r="A228" s="5" t="n">
        <f aca="false">ITEM_MASTER_CLEAN!A228</f>
        <v>227</v>
      </c>
      <c r="B228" s="5" t="n">
        <f aca="false">ITEM_MASTER_CLEAN!B228</f>
        <v>62330</v>
      </c>
      <c r="C228" s="5" t="str">
        <f aca="false">ITEM_MASTER_CLEAN!C228</f>
        <v>TOWEL ROLL WHITE 2 PLY 24X1RL</v>
      </c>
      <c r="D228" s="5" t="str">
        <f aca="false">ITEM_MASTER_CLEAN!D228</f>
        <v>NETTOYAGE_ENTRETIEN / JANITORIAL</v>
      </c>
      <c r="E228" s="11" t="n">
        <v>1</v>
      </c>
      <c r="F228" s="11" t="n">
        <v>1</v>
      </c>
      <c r="G228" s="5" t="str">
        <f aca="false">IFERROR(VLOOKUP(D228,SETTINGS!A20:B41,2,FALSE()),"Medium")</f>
        <v>Slow</v>
      </c>
      <c r="H228" s="5" t="n">
        <f aca="false">IFERROR(VLOOKUP(G228,SETTINGS!A14:C16,3,FALSE()),5)</f>
        <v>3</v>
      </c>
      <c r="I228" s="5" t="n">
        <f aca="false">IF(E228&gt;0,E228,H228)</f>
        <v>1</v>
      </c>
      <c r="J228" s="5" t="n">
        <f aca="false">IF(F228&gt;0,F228,H228)</f>
        <v>1</v>
      </c>
      <c r="K228" s="5" t="n">
        <f aca="false">I228/7</f>
        <v>0.142857142857143</v>
      </c>
      <c r="L228" s="5" t="n">
        <f aca="false">J228/7</f>
        <v>0.142857142857143</v>
      </c>
    </row>
    <row r="229" customFormat="false" ht="35.05" hidden="false" customHeight="false" outlineLevel="0" collapsed="false">
      <c r="A229" s="5" t="n">
        <f aca="false">ITEM_MASTER_CLEAN!A229</f>
        <v>228</v>
      </c>
      <c r="B229" s="5" t="n">
        <f aca="false">ITEM_MASTER_CLEAN!B229</f>
        <v>63324</v>
      </c>
      <c r="C229" s="5" t="str">
        <f aca="false">ITEM_MASTER_CLEAN!C229</f>
        <v>NET FOR BEARD BROWN POLYESTER 100</v>
      </c>
      <c r="D229" s="5" t="str">
        <f aca="false">ITEM_MASTER_CLEAN!D229</f>
        <v>NETTOYAGE_ENTRETIEN / JANITORIAL</v>
      </c>
      <c r="E229" s="11" t="n">
        <v>1</v>
      </c>
      <c r="F229" s="11" t="n">
        <v>0</v>
      </c>
      <c r="G229" s="5" t="str">
        <f aca="false">IFERROR(VLOOKUP(D229,SETTINGS!A20:B41,2,FALSE()),"Medium")</f>
        <v>Slow</v>
      </c>
      <c r="H229" s="5" t="n">
        <f aca="false">IFERROR(VLOOKUP(G229,SETTINGS!A14:C16,3,FALSE()),5)</f>
        <v>3</v>
      </c>
      <c r="I229" s="5" t="n">
        <f aca="false">IF(E229&gt;0,E229,H229)</f>
        <v>1</v>
      </c>
      <c r="J229" s="5" t="n">
        <f aca="false">IF(F229&gt;0,F229,H229)</f>
        <v>3</v>
      </c>
      <c r="K229" s="5" t="n">
        <f aca="false">I229/7</f>
        <v>0.142857142857143</v>
      </c>
      <c r="L229" s="5" t="n">
        <f aca="false">J229/7</f>
        <v>0.428571428571429</v>
      </c>
    </row>
    <row r="230" customFormat="false" ht="35.05" hidden="false" customHeight="false" outlineLevel="0" collapsed="false">
      <c r="A230" s="5" t="n">
        <f aca="false">ITEM_MASTER_CLEAN!A230</f>
        <v>229</v>
      </c>
      <c r="B230" s="5" t="n">
        <f aca="false">ITEM_MASTER_CLEAN!B230</f>
        <v>63341</v>
      </c>
      <c r="C230" s="5" t="str">
        <f aca="false">ITEM_MASTER_CLEAN!C230</f>
        <v>HAIRNET INVISIBLE 89-420 1X144UN</v>
      </c>
      <c r="D230" s="5" t="str">
        <f aca="false">ITEM_MASTER_CLEAN!D230</f>
        <v>NETTOYAGE_ENTRETIEN / JANITORIAL</v>
      </c>
      <c r="E230" s="11" t="n">
        <v>1</v>
      </c>
      <c r="F230" s="11" t="n">
        <v>1</v>
      </c>
      <c r="G230" s="5" t="str">
        <f aca="false">IFERROR(VLOOKUP(D230,SETTINGS!A20:B41,2,FALSE()),"Medium")</f>
        <v>Slow</v>
      </c>
      <c r="H230" s="5" t="n">
        <f aca="false">IFERROR(VLOOKUP(G230,SETTINGS!A14:C16,3,FALSE()),5)</f>
        <v>3</v>
      </c>
      <c r="I230" s="5" t="n">
        <f aca="false">IF(E230&gt;0,E230,H230)</f>
        <v>1</v>
      </c>
      <c r="J230" s="5" t="n">
        <f aca="false">IF(F230&gt;0,F230,H230)</f>
        <v>1</v>
      </c>
      <c r="K230" s="5" t="n">
        <f aca="false">I230/7</f>
        <v>0.142857142857143</v>
      </c>
      <c r="L230" s="5" t="n">
        <f aca="false">J230/7</f>
        <v>0.142857142857143</v>
      </c>
    </row>
    <row r="231" customFormat="false" ht="35.05" hidden="false" customHeight="false" outlineLevel="0" collapsed="false">
      <c r="A231" s="5" t="n">
        <f aca="false">ITEM_MASTER_CLEAN!A231</f>
        <v>230</v>
      </c>
      <c r="B231" s="5" t="n">
        <f aca="false">ITEM_MASTER_CLEAN!B231</f>
        <v>62749</v>
      </c>
      <c r="C231" s="5" t="str">
        <f aca="false">ITEM_MASTER_CLEAN!C231</f>
        <v>MASK DISP BLUE MEDICAL DISTECH 50UN</v>
      </c>
      <c r="D231" s="5" t="str">
        <f aca="false">ITEM_MASTER_CLEAN!D231</f>
        <v>NETTOYAGE_ENTRETIEN / JANITORIAL</v>
      </c>
      <c r="E231" s="11" t="n">
        <v>2</v>
      </c>
      <c r="F231" s="11" t="n">
        <v>0</v>
      </c>
      <c r="G231" s="5" t="str">
        <f aca="false">IFERROR(VLOOKUP(D231,SETTINGS!A20:B41,2,FALSE()),"Medium")</f>
        <v>Slow</v>
      </c>
      <c r="H231" s="5" t="n">
        <f aca="false">IFERROR(VLOOKUP(G231,SETTINGS!A14:C16,3,FALSE()),5)</f>
        <v>3</v>
      </c>
      <c r="I231" s="5" t="n">
        <f aca="false">IF(E231&gt;0,E231,H231)</f>
        <v>2</v>
      </c>
      <c r="J231" s="5" t="n">
        <f aca="false">IF(F231&gt;0,F231,H231)</f>
        <v>3</v>
      </c>
      <c r="K231" s="5" t="n">
        <f aca="false">I231/7</f>
        <v>0.285714285714286</v>
      </c>
      <c r="L231" s="5" t="n">
        <f aca="false">J231/7</f>
        <v>0.428571428571429</v>
      </c>
    </row>
    <row r="232" customFormat="false" ht="35.05" hidden="false" customHeight="false" outlineLevel="0" collapsed="false">
      <c r="A232" s="5" t="n">
        <f aca="false">ITEM_MASTER_CLEAN!A232</f>
        <v>231</v>
      </c>
      <c r="B232" s="5" t="n">
        <f aca="false">ITEM_MASTER_CLEAN!B232</f>
        <v>62819</v>
      </c>
      <c r="C232" s="5" t="str">
        <f aca="false">ITEM_MASTER_CLEAN!C232</f>
        <v>GLOVES TPE CLR PDR FREE SM 100UN</v>
      </c>
      <c r="D232" s="5" t="str">
        <f aca="false">ITEM_MASTER_CLEAN!D232</f>
        <v>NETTOYAGE_ENTRETIEN / JANITORIAL</v>
      </c>
      <c r="E232" s="11" t="n">
        <v>2</v>
      </c>
      <c r="F232" s="11" t="n">
        <v>0</v>
      </c>
      <c r="G232" s="5" t="str">
        <f aca="false">IFERROR(VLOOKUP(D232,SETTINGS!A20:B41,2,FALSE()),"Medium")</f>
        <v>Slow</v>
      </c>
      <c r="H232" s="5" t="n">
        <f aca="false">IFERROR(VLOOKUP(G232,SETTINGS!A14:C16,3,FALSE()),5)</f>
        <v>3</v>
      </c>
      <c r="I232" s="5" t="n">
        <f aca="false">IF(E232&gt;0,E232,H232)</f>
        <v>2</v>
      </c>
      <c r="J232" s="5" t="n">
        <f aca="false">IF(F232&gt;0,F232,H232)</f>
        <v>3</v>
      </c>
      <c r="K232" s="5" t="n">
        <f aca="false">I232/7</f>
        <v>0.285714285714286</v>
      </c>
      <c r="L232" s="5" t="n">
        <f aca="false">J232/7</f>
        <v>0.428571428571429</v>
      </c>
    </row>
    <row r="233" customFormat="false" ht="35.05" hidden="false" customHeight="false" outlineLevel="0" collapsed="false">
      <c r="A233" s="5" t="n">
        <f aca="false">ITEM_MASTER_CLEAN!A233</f>
        <v>232</v>
      </c>
      <c r="B233" s="5" t="n">
        <f aca="false">ITEM_MASTER_CLEAN!B233</f>
        <v>62844</v>
      </c>
      <c r="C233" s="5" t="str">
        <f aca="false">ITEM_MASTER_CLEAN!C233</f>
        <v>GLOVE TPE CLR PDF FREE MED 100UN</v>
      </c>
      <c r="D233" s="5" t="str">
        <f aca="false">ITEM_MASTER_CLEAN!D233</f>
        <v>NETTOYAGE_ENTRETIEN / JANITORIAL</v>
      </c>
      <c r="E233" s="11" t="n">
        <v>0</v>
      </c>
      <c r="F233" s="11" t="n">
        <v>2</v>
      </c>
      <c r="G233" s="5" t="str">
        <f aca="false">IFERROR(VLOOKUP(D233,SETTINGS!A20:B41,2,FALSE()),"Medium")</f>
        <v>Slow</v>
      </c>
      <c r="H233" s="5" t="n">
        <f aca="false">IFERROR(VLOOKUP(G233,SETTINGS!A14:C16,3,FALSE()),5)</f>
        <v>3</v>
      </c>
      <c r="I233" s="5" t="n">
        <f aca="false">IF(E233&gt;0,E233,H233)</f>
        <v>3</v>
      </c>
      <c r="J233" s="5" t="n">
        <f aca="false">IF(F233&gt;0,F233,H233)</f>
        <v>2</v>
      </c>
      <c r="K233" s="5" t="n">
        <f aca="false">I233/7</f>
        <v>0.428571428571429</v>
      </c>
      <c r="L233" s="5" t="n">
        <f aca="false">J233/7</f>
        <v>0.285714285714286</v>
      </c>
    </row>
    <row r="234" customFormat="false" ht="35.05" hidden="false" customHeight="false" outlineLevel="0" collapsed="false">
      <c r="A234" s="5" t="n">
        <f aca="false">ITEM_MASTER_CLEAN!A234</f>
        <v>233</v>
      </c>
      <c r="B234" s="5" t="n">
        <f aca="false">ITEM_MASTER_CLEAN!B234</f>
        <v>62816</v>
      </c>
      <c r="C234" s="5" t="str">
        <f aca="false">ITEM_MASTER_CLEAN!C234</f>
        <v>GLOVES TPE CLR PDR FREE LG 100</v>
      </c>
      <c r="D234" s="5" t="str">
        <f aca="false">ITEM_MASTER_CLEAN!D234</f>
        <v>NETTOYAGE_ENTRETIEN / JANITORIAL</v>
      </c>
      <c r="E234" s="11" t="n">
        <v>0</v>
      </c>
      <c r="F234" s="11" t="n">
        <v>1</v>
      </c>
      <c r="G234" s="5" t="str">
        <f aca="false">IFERROR(VLOOKUP(D234,SETTINGS!A20:B41,2,FALSE()),"Medium")</f>
        <v>Slow</v>
      </c>
      <c r="H234" s="5" t="n">
        <f aca="false">IFERROR(VLOOKUP(G234,SETTINGS!A14:C16,3,FALSE()),5)</f>
        <v>3</v>
      </c>
      <c r="I234" s="5" t="n">
        <f aca="false">IF(E234&gt;0,E234,H234)</f>
        <v>3</v>
      </c>
      <c r="J234" s="5" t="n">
        <f aca="false">IF(F234&gt;0,F234,H234)</f>
        <v>1</v>
      </c>
      <c r="K234" s="5" t="n">
        <f aca="false">I234/7</f>
        <v>0.428571428571429</v>
      </c>
      <c r="L234" s="5" t="n">
        <f aca="false">J234/7</f>
        <v>0.142857142857143</v>
      </c>
    </row>
    <row r="235" customFormat="false" ht="35.05" hidden="false" customHeight="false" outlineLevel="0" collapsed="false">
      <c r="A235" s="5" t="n">
        <f aca="false">ITEM_MASTER_CLEAN!A235</f>
        <v>234</v>
      </c>
      <c r="B235" s="5" t="n">
        <f aca="false">ITEM_MASTER_CLEAN!B235</f>
        <v>62815</v>
      </c>
      <c r="C235" s="5" t="str">
        <f aca="false">ITEM_MASTER_CLEAN!C235</f>
        <v>GLOVES TPE CLR PDR FREE XL 100</v>
      </c>
      <c r="D235" s="5" t="str">
        <f aca="false">ITEM_MASTER_CLEAN!D235</f>
        <v>NETTOYAGE_ENTRETIEN / JANITORIAL</v>
      </c>
      <c r="E235" s="11" t="n">
        <v>2</v>
      </c>
      <c r="F235" s="11" t="n">
        <v>0</v>
      </c>
      <c r="G235" s="5" t="str">
        <f aca="false">IFERROR(VLOOKUP(D235,SETTINGS!A20:B41,2,FALSE()),"Medium")</f>
        <v>Slow</v>
      </c>
      <c r="H235" s="5" t="n">
        <f aca="false">IFERROR(VLOOKUP(G235,SETTINGS!A14:C16,3,FALSE()),5)</f>
        <v>3</v>
      </c>
      <c r="I235" s="5" t="n">
        <f aca="false">IF(E235&gt;0,E235,H235)</f>
        <v>2</v>
      </c>
      <c r="J235" s="5" t="n">
        <f aca="false">IF(F235&gt;0,F235,H235)</f>
        <v>3</v>
      </c>
      <c r="K235" s="5" t="n">
        <f aca="false">I235/7</f>
        <v>0.285714285714286</v>
      </c>
      <c r="L235" s="5" t="n">
        <f aca="false">J235/7</f>
        <v>0.428571428571429</v>
      </c>
    </row>
    <row r="236" customFormat="false" ht="35.05" hidden="false" customHeight="false" outlineLevel="0" collapsed="false">
      <c r="A236" s="5" t="n">
        <f aca="false">ITEM_MASTER_CLEAN!A236</f>
        <v>235</v>
      </c>
      <c r="B236" s="5" t="n">
        <f aca="false">ITEM_MASTER_CLEAN!B236</f>
        <v>38234</v>
      </c>
      <c r="C236" s="5" t="str">
        <f aca="false">ITEM_MASTER_CLEAN!C236</f>
        <v>GLOVES POLY DISP SM 9945B 500</v>
      </c>
      <c r="D236" s="5" t="str">
        <f aca="false">ITEM_MASTER_CLEAN!D236</f>
        <v>NETTOYAGE_ENTRETIEN / JANITORIAL</v>
      </c>
      <c r="E236" s="11" t="n">
        <v>1</v>
      </c>
      <c r="F236" s="11" t="n">
        <v>2</v>
      </c>
      <c r="G236" s="5" t="str">
        <f aca="false">IFERROR(VLOOKUP(D236,SETTINGS!A20:B41,2,FALSE()),"Medium")</f>
        <v>Slow</v>
      </c>
      <c r="H236" s="5" t="n">
        <f aca="false">IFERROR(VLOOKUP(G236,SETTINGS!A14:C16,3,FALSE()),5)</f>
        <v>3</v>
      </c>
      <c r="I236" s="5" t="n">
        <f aca="false">IF(E236&gt;0,E236,H236)</f>
        <v>1</v>
      </c>
      <c r="J236" s="5" t="n">
        <f aca="false">IF(F236&gt;0,F236,H236)</f>
        <v>2</v>
      </c>
      <c r="K236" s="5" t="n">
        <f aca="false">I236/7</f>
        <v>0.142857142857143</v>
      </c>
      <c r="L236" s="5" t="n">
        <f aca="false">J236/7</f>
        <v>0.285714285714286</v>
      </c>
    </row>
    <row r="237" customFormat="false" ht="35.05" hidden="false" customHeight="false" outlineLevel="0" collapsed="false">
      <c r="A237" s="5" t="n">
        <f aca="false">ITEM_MASTER_CLEAN!A237</f>
        <v>236</v>
      </c>
      <c r="B237" s="5" t="n">
        <f aca="false">ITEM_MASTER_CLEAN!B237</f>
        <v>34246</v>
      </c>
      <c r="C237" s="5" t="str">
        <f aca="false">ITEM_MASTER_CLEAN!C237</f>
        <v>GLOVES POLY DISP MED 9945C 1X500</v>
      </c>
      <c r="D237" s="5" t="str">
        <f aca="false">ITEM_MASTER_CLEAN!D237</f>
        <v>NETTOYAGE_ENTRETIEN / JANITORIAL</v>
      </c>
      <c r="E237" s="11" t="n">
        <v>2</v>
      </c>
      <c r="F237" s="11" t="n">
        <v>0</v>
      </c>
      <c r="G237" s="5" t="str">
        <f aca="false">IFERROR(VLOOKUP(D237,SETTINGS!A20:B41,2,FALSE()),"Medium")</f>
        <v>Slow</v>
      </c>
      <c r="H237" s="5" t="n">
        <f aca="false">IFERROR(VLOOKUP(G237,SETTINGS!A14:C16,3,FALSE()),5)</f>
        <v>3</v>
      </c>
      <c r="I237" s="5" t="n">
        <f aca="false">IF(E237&gt;0,E237,H237)</f>
        <v>2</v>
      </c>
      <c r="J237" s="5" t="n">
        <f aca="false">IF(F237&gt;0,F237,H237)</f>
        <v>3</v>
      </c>
      <c r="K237" s="5" t="n">
        <f aca="false">I237/7</f>
        <v>0.285714285714286</v>
      </c>
      <c r="L237" s="5" t="n">
        <f aca="false">J237/7</f>
        <v>0.428571428571429</v>
      </c>
    </row>
    <row r="238" customFormat="false" ht="35.05" hidden="false" customHeight="false" outlineLevel="0" collapsed="false">
      <c r="A238" s="5" t="n">
        <f aca="false">ITEM_MASTER_CLEAN!A238</f>
        <v>237</v>
      </c>
      <c r="B238" s="5" t="n">
        <f aca="false">ITEM_MASTER_CLEAN!B238</f>
        <v>62734</v>
      </c>
      <c r="C238" s="5" t="str">
        <f aca="false">ITEM_MASTER_CLEAN!C238</f>
        <v>GLOVES POLY DISP LRG 9945D 500</v>
      </c>
      <c r="D238" s="5" t="str">
        <f aca="false">ITEM_MASTER_CLEAN!D238</f>
        <v>NETTOYAGE_ENTRETIEN / JANITORIAL</v>
      </c>
      <c r="E238" s="11" t="n">
        <v>0</v>
      </c>
      <c r="F238" s="11" t="n">
        <v>1</v>
      </c>
      <c r="G238" s="5" t="str">
        <f aca="false">IFERROR(VLOOKUP(D238,SETTINGS!A20:B41,2,FALSE()),"Medium")</f>
        <v>Slow</v>
      </c>
      <c r="H238" s="5" t="n">
        <f aca="false">IFERROR(VLOOKUP(G238,SETTINGS!A14:C16,3,FALSE()),5)</f>
        <v>3</v>
      </c>
      <c r="I238" s="5" t="n">
        <f aca="false">IF(E238&gt;0,E238,H238)</f>
        <v>3</v>
      </c>
      <c r="J238" s="5" t="n">
        <f aca="false">IF(F238&gt;0,F238,H238)</f>
        <v>1</v>
      </c>
      <c r="K238" s="5" t="n">
        <f aca="false">I238/7</f>
        <v>0.428571428571429</v>
      </c>
      <c r="L238" s="5" t="n">
        <f aca="false">J238/7</f>
        <v>0.142857142857143</v>
      </c>
    </row>
    <row r="239" customFormat="false" ht="35.05" hidden="false" customHeight="false" outlineLevel="0" collapsed="false">
      <c r="A239" s="5" t="n">
        <f aca="false">ITEM_MASTER_CLEAN!A239</f>
        <v>238</v>
      </c>
      <c r="B239" s="5" t="n">
        <f aca="false">ITEM_MASTER_CLEAN!B239</f>
        <v>64410</v>
      </c>
      <c r="C239" s="5" t="str">
        <f aca="false">ITEM_MASTER_CLEAN!C239</f>
        <v>CLOTH JCHIX BLUE 12X24" 6279 1X100</v>
      </c>
      <c r="D239" s="5" t="str">
        <f aca="false">ITEM_MASTER_CLEAN!D239</f>
        <v>NETTOYAGE_ENTRETIEN / JANITORIAL</v>
      </c>
      <c r="E239" s="11" t="n">
        <v>2</v>
      </c>
      <c r="F239" s="11" t="n">
        <v>0</v>
      </c>
      <c r="G239" s="5" t="str">
        <f aca="false">IFERROR(VLOOKUP(D239,SETTINGS!A20:B41,2,FALSE()),"Medium")</f>
        <v>Slow</v>
      </c>
      <c r="H239" s="5" t="n">
        <f aca="false">IFERROR(VLOOKUP(G239,SETTINGS!A14:C16,3,FALSE()),5)</f>
        <v>3</v>
      </c>
      <c r="I239" s="5" t="n">
        <f aca="false">IF(E239&gt;0,E239,H239)</f>
        <v>2</v>
      </c>
      <c r="J239" s="5" t="n">
        <f aca="false">IF(F239&gt;0,F239,H239)</f>
        <v>3</v>
      </c>
      <c r="K239" s="5" t="n">
        <f aca="false">I239/7</f>
        <v>0.285714285714286</v>
      </c>
      <c r="L239" s="5" t="n">
        <f aca="false">J239/7</f>
        <v>0.428571428571429</v>
      </c>
    </row>
    <row r="240" customFormat="false" ht="35.05" hidden="false" customHeight="false" outlineLevel="0" collapsed="false">
      <c r="A240" s="5" t="n">
        <f aca="false">ITEM_MASTER_CLEAN!A240</f>
        <v>239</v>
      </c>
      <c r="B240" s="5" t="n">
        <f aca="false">ITEM_MASTER_CLEAN!B240</f>
        <v>26781</v>
      </c>
      <c r="C240" s="5" t="str">
        <f aca="false">ITEM_MASTER_CLEAN!C240</f>
        <v>MOP HEAD 650G 1</v>
      </c>
      <c r="D240" s="5" t="str">
        <f aca="false">ITEM_MASTER_CLEAN!D240</f>
        <v>NETTOYAGE_ENTRETIEN / JANITORIAL</v>
      </c>
      <c r="E240" s="11" t="n">
        <v>1</v>
      </c>
      <c r="F240" s="11" t="n">
        <v>1</v>
      </c>
      <c r="G240" s="5" t="str">
        <f aca="false">IFERROR(VLOOKUP(D240,SETTINGS!A20:B41,2,FALSE()),"Medium")</f>
        <v>Slow</v>
      </c>
      <c r="H240" s="5" t="n">
        <f aca="false">IFERROR(VLOOKUP(G240,SETTINGS!A14:C16,3,FALSE()),5)</f>
        <v>3</v>
      </c>
      <c r="I240" s="5" t="n">
        <f aca="false">IF(E240&gt;0,E240,H240)</f>
        <v>1</v>
      </c>
      <c r="J240" s="5" t="n">
        <f aca="false">IF(F240&gt;0,F240,H240)</f>
        <v>1</v>
      </c>
      <c r="K240" s="5" t="n">
        <f aca="false">I240/7</f>
        <v>0.142857142857143</v>
      </c>
      <c r="L240" s="5" t="n">
        <f aca="false">J240/7</f>
        <v>0.142857142857143</v>
      </c>
    </row>
    <row r="241" customFormat="false" ht="35.05" hidden="false" customHeight="false" outlineLevel="0" collapsed="false">
      <c r="A241" s="5" t="n">
        <f aca="false">ITEM_MASTER_CLEAN!A241</f>
        <v>240</v>
      </c>
      <c r="B241" s="5" t="n">
        <f aca="false">ITEM_MASTER_CLEAN!B241</f>
        <v>49219</v>
      </c>
      <c r="C241" s="5" t="str">
        <f aca="false">ITEM_MASTER_CLEAN!C241</f>
        <v>TOILET PAP 2PL METRO 48X500S</v>
      </c>
      <c r="D241" s="5" t="str">
        <f aca="false">ITEM_MASTER_CLEAN!D241</f>
        <v>NETTOYAGE_ENTRETIEN / JANITORIAL</v>
      </c>
      <c r="E241" s="11" t="n">
        <v>0</v>
      </c>
      <c r="F241" s="11" t="n">
        <v>1</v>
      </c>
      <c r="G241" s="5" t="str">
        <f aca="false">IFERROR(VLOOKUP(D241,SETTINGS!A20:B41,2,FALSE()),"Medium")</f>
        <v>Slow</v>
      </c>
      <c r="H241" s="5" t="n">
        <f aca="false">IFERROR(VLOOKUP(G241,SETTINGS!A14:C16,3,FALSE()),5)</f>
        <v>3</v>
      </c>
      <c r="I241" s="5" t="n">
        <f aca="false">IF(E241&gt;0,E241,H241)</f>
        <v>3</v>
      </c>
      <c r="J241" s="5" t="n">
        <f aca="false">IF(F241&gt;0,F241,H241)</f>
        <v>1</v>
      </c>
      <c r="K241" s="5" t="n">
        <f aca="false">I241/7</f>
        <v>0.428571428571429</v>
      </c>
      <c r="L241" s="5" t="n">
        <f aca="false">J241/7</f>
        <v>0.142857142857143</v>
      </c>
    </row>
    <row r="242" customFormat="false" ht="35.05" hidden="false" customHeight="false" outlineLevel="0" collapsed="false">
      <c r="A242" s="5" t="n">
        <f aca="false">ITEM_MASTER_CLEAN!A242</f>
        <v>241</v>
      </c>
      <c r="B242" s="5" t="n">
        <f aca="false">ITEM_MASTER_CLEAN!B242</f>
        <v>28376</v>
      </c>
      <c r="C242" s="5" t="str">
        <f aca="false">ITEM_MASTER_CLEAN!C242</f>
        <v>BAGS GARBAGE 35X50 X-STG BLK 100</v>
      </c>
      <c r="D242" s="5" t="str">
        <f aca="false">ITEM_MASTER_CLEAN!D242</f>
        <v>NETTOYAGE_ENTRETIEN / JANITORIAL</v>
      </c>
      <c r="E242" s="11" t="n">
        <v>2</v>
      </c>
      <c r="F242" s="11" t="n">
        <v>1</v>
      </c>
      <c r="G242" s="5" t="str">
        <f aca="false">IFERROR(VLOOKUP(D242,SETTINGS!A20:B41,2,FALSE()),"Medium")</f>
        <v>Slow</v>
      </c>
      <c r="H242" s="5" t="n">
        <f aca="false">IFERROR(VLOOKUP(G242,SETTINGS!A14:C16,3,FALSE()),5)</f>
        <v>3</v>
      </c>
      <c r="I242" s="5" t="n">
        <f aca="false">IF(E242&gt;0,E242,H242)</f>
        <v>2</v>
      </c>
      <c r="J242" s="5" t="n">
        <f aca="false">IF(F242&gt;0,F242,H242)</f>
        <v>1</v>
      </c>
      <c r="K242" s="5" t="n">
        <f aca="false">I242/7</f>
        <v>0.285714285714286</v>
      </c>
      <c r="L242" s="5" t="n">
        <f aca="false">J242/7</f>
        <v>0.142857142857143</v>
      </c>
    </row>
    <row r="243" customFormat="false" ht="35.05" hidden="false" customHeight="false" outlineLevel="0" collapsed="false">
      <c r="A243" s="5" t="n">
        <f aca="false">ITEM_MASTER_CLEAN!A243</f>
        <v>242</v>
      </c>
      <c r="B243" s="5" t="n">
        <f aca="false">ITEM_MASTER_CLEAN!B243</f>
        <v>28671</v>
      </c>
      <c r="C243" s="5" t="str">
        <f aca="false">ITEM_MASTER_CLEAN!C243</f>
        <v>PAD SCOUR #97 GRN 6"X9"   X10UN</v>
      </c>
      <c r="D243" s="5" t="str">
        <f aca="false">ITEM_MASTER_CLEAN!D243</f>
        <v>NETTOYAGE_ENTRETIEN / JANITORIAL</v>
      </c>
      <c r="E243" s="11" t="n">
        <v>0</v>
      </c>
      <c r="F243" s="11" t="n">
        <v>2</v>
      </c>
      <c r="G243" s="5" t="str">
        <f aca="false">IFERROR(VLOOKUP(D243,SETTINGS!A20:B41,2,FALSE()),"Medium")</f>
        <v>Slow</v>
      </c>
      <c r="H243" s="5" t="n">
        <f aca="false">IFERROR(VLOOKUP(G243,SETTINGS!A14:C16,3,FALSE()),5)</f>
        <v>3</v>
      </c>
      <c r="I243" s="5" t="n">
        <f aca="false">IF(E243&gt;0,E243,H243)</f>
        <v>3</v>
      </c>
      <c r="J243" s="5" t="n">
        <f aca="false">IF(F243&gt;0,F243,H243)</f>
        <v>2</v>
      </c>
      <c r="K243" s="5" t="n">
        <f aca="false">I243/7</f>
        <v>0.428571428571429</v>
      </c>
      <c r="L243" s="5" t="n">
        <f aca="false">J243/7</f>
        <v>0.285714285714286</v>
      </c>
    </row>
    <row r="244" customFormat="false" ht="23.85" hidden="false" customHeight="false" outlineLevel="0" collapsed="false">
      <c r="A244" s="5" t="n">
        <f aca="false">ITEM_MASTER_CLEAN!A244</f>
        <v>243</v>
      </c>
      <c r="B244" s="5" t="n">
        <f aca="false">ITEM_MASTER_CLEAN!B244</f>
        <v>27499</v>
      </c>
      <c r="C244" s="5" t="str">
        <f aca="false">ITEM_MASTER_CLEAN!C244</f>
        <v>MTY SOAP HAND FM ALLPUR 6X1.3L</v>
      </c>
      <c r="D244" s="5" t="str">
        <f aca="false">ITEM_MASTER_CLEAN!D244</f>
        <v>DIVERSEY CLEANING</v>
      </c>
      <c r="E244" s="11" t="n">
        <v>1</v>
      </c>
      <c r="F244" s="11" t="n">
        <v>0</v>
      </c>
      <c r="G244" s="5" t="str">
        <f aca="false">IFERROR(VLOOKUP(D244,SETTINGS!A20:B41,2,FALSE()),"Medium")</f>
        <v>Slow</v>
      </c>
      <c r="H244" s="5" t="n">
        <f aca="false">IFERROR(VLOOKUP(G244,SETTINGS!A14:C16,3,FALSE()),5)</f>
        <v>3</v>
      </c>
      <c r="I244" s="5" t="n">
        <f aca="false">IF(E244&gt;0,E244,H244)</f>
        <v>1</v>
      </c>
      <c r="J244" s="5" t="n">
        <f aca="false">IF(F244&gt;0,F244,H244)</f>
        <v>3</v>
      </c>
      <c r="K244" s="5" t="n">
        <f aca="false">I244/7</f>
        <v>0.142857142857143</v>
      </c>
      <c r="L244" s="5" t="n">
        <f aca="false">J244/7</f>
        <v>0.428571428571429</v>
      </c>
    </row>
    <row r="245" customFormat="false" ht="23.85" hidden="false" customHeight="false" outlineLevel="0" collapsed="false">
      <c r="A245" s="5" t="n">
        <f aca="false">ITEM_MASTER_CLEAN!A245</f>
        <v>244</v>
      </c>
      <c r="B245" s="5" t="n">
        <f aca="false">ITEM_MASTER_CLEAN!B245</f>
        <v>28528</v>
      </c>
      <c r="C245" s="5" t="str">
        <f aca="false">ITEM_MASTER_CLEAN!C245</f>
        <v>9 MTY CLNR GLASS LITE TCH RTU12X946</v>
      </c>
      <c r="D245" s="5" t="str">
        <f aca="false">ITEM_MASTER_CLEAN!D245</f>
        <v>DIVERSEY CLEANING</v>
      </c>
      <c r="E245" s="11" t="n">
        <v>1</v>
      </c>
      <c r="F245" s="11" t="n">
        <v>1</v>
      </c>
      <c r="G245" s="5" t="str">
        <f aca="false">IFERROR(VLOOKUP(D245,SETTINGS!A20:B41,2,FALSE()),"Medium")</f>
        <v>Slow</v>
      </c>
      <c r="H245" s="5" t="n">
        <f aca="false">IFERROR(VLOOKUP(G245,SETTINGS!A14:C16,3,FALSE()),5)</f>
        <v>3</v>
      </c>
      <c r="I245" s="5" t="n">
        <f aca="false">IF(E245&gt;0,E245,H245)</f>
        <v>1</v>
      </c>
      <c r="J245" s="5" t="n">
        <f aca="false">IF(F245&gt;0,F245,H245)</f>
        <v>1</v>
      </c>
      <c r="K245" s="5" t="n">
        <f aca="false">I245/7</f>
        <v>0.142857142857143</v>
      </c>
      <c r="L245" s="5" t="n">
        <f aca="false">J245/7</f>
        <v>0.142857142857143</v>
      </c>
    </row>
    <row r="246" customFormat="false" ht="23.85" hidden="false" customHeight="false" outlineLevel="0" collapsed="false">
      <c r="A246" s="5" t="n">
        <f aca="false">ITEM_MASTER_CLEAN!A246</f>
        <v>245</v>
      </c>
      <c r="B246" s="5" t="n">
        <f aca="false">ITEM_MASTER_CLEAN!B246</f>
        <v>27497</v>
      </c>
      <c r="C246" s="5" t="str">
        <f aca="false">ITEM_MASTER_CLEAN!C246</f>
        <v>MTY DEGREASR ORANG STUFF  2X3.78L</v>
      </c>
      <c r="D246" s="5" t="str">
        <f aca="false">ITEM_MASTER_CLEAN!D246</f>
        <v>DIVERSEY CLEANING</v>
      </c>
      <c r="E246" s="11" t="n">
        <v>0</v>
      </c>
      <c r="F246" s="11" t="n">
        <v>1</v>
      </c>
      <c r="G246" s="5" t="str">
        <f aca="false">IFERROR(VLOOKUP(D246,SETTINGS!A20:B41,2,FALSE()),"Medium")</f>
        <v>Slow</v>
      </c>
      <c r="H246" s="5" t="n">
        <f aca="false">IFERROR(VLOOKUP(G246,SETTINGS!A14:C16,3,FALSE()),5)</f>
        <v>3</v>
      </c>
      <c r="I246" s="5" t="n">
        <f aca="false">IF(E246&gt;0,E246,H246)</f>
        <v>3</v>
      </c>
      <c r="J246" s="5" t="n">
        <f aca="false">IF(F246&gt;0,F246,H246)</f>
        <v>1</v>
      </c>
      <c r="K246" s="5" t="n">
        <f aca="false">I246/7</f>
        <v>0.428571428571429</v>
      </c>
      <c r="L246" s="5" t="n">
        <f aca="false">J246/7</f>
        <v>0.142857142857143</v>
      </c>
    </row>
    <row r="247" customFormat="false" ht="23.85" hidden="false" customHeight="false" outlineLevel="0" collapsed="false">
      <c r="A247" s="5" t="n">
        <f aca="false">ITEM_MASTER_CLEAN!A247</f>
        <v>246</v>
      </c>
      <c r="B247" s="5" t="n">
        <f aca="false">ITEM_MASTER_CLEAN!B247</f>
        <v>27496</v>
      </c>
      <c r="C247" s="5" t="str">
        <f aca="false">ITEM_MASTER_CLEAN!C247</f>
        <v>MTY SANITI SANI-STUFF CONC 2X3.78L</v>
      </c>
      <c r="D247" s="5" t="str">
        <f aca="false">ITEM_MASTER_CLEAN!D247</f>
        <v>DIVERSEY CLEANING</v>
      </c>
      <c r="E247" s="11" t="n">
        <v>0</v>
      </c>
      <c r="F247" s="11" t="n">
        <v>0</v>
      </c>
      <c r="G247" s="5" t="str">
        <f aca="false">IFERROR(VLOOKUP(D247,SETTINGS!A20:B41,2,FALSE()),"Medium")</f>
        <v>Slow</v>
      </c>
      <c r="H247" s="5" t="n">
        <f aca="false">IFERROR(VLOOKUP(G247,SETTINGS!A14:C16,3,FALSE()),5)</f>
        <v>3</v>
      </c>
      <c r="I247" s="5" t="n">
        <f aca="false">IF(E247&gt;0,E247,H247)</f>
        <v>3</v>
      </c>
      <c r="J247" s="5" t="n">
        <f aca="false">IF(F247&gt;0,F247,H247)</f>
        <v>3</v>
      </c>
      <c r="K247" s="5" t="n">
        <f aca="false">I247/7</f>
        <v>0.428571428571429</v>
      </c>
      <c r="L247" s="5" t="n">
        <f aca="false">J247/7</f>
        <v>0.428571428571429</v>
      </c>
    </row>
    <row r="248" customFormat="false" ht="23.85" hidden="false" customHeight="false" outlineLevel="0" collapsed="false">
      <c r="A248" s="5" t="n">
        <f aca="false">ITEM_MASTER_CLEAN!A248</f>
        <v>247</v>
      </c>
      <c r="B248" s="5" t="n">
        <f aca="false">ITEM_MASTER_CLEAN!B248</f>
        <v>27498</v>
      </c>
      <c r="C248" s="5" t="str">
        <f aca="false">ITEM_MASTER_CLEAN!C248</f>
        <v>MTY DET YELLOW STUFF POT/PAN 2X3.78</v>
      </c>
      <c r="D248" s="5" t="str">
        <f aca="false">ITEM_MASTER_CLEAN!D248</f>
        <v>DIVERSEY CLEANING</v>
      </c>
      <c r="E248" s="11" t="n">
        <v>0</v>
      </c>
      <c r="F248" s="11" t="n">
        <v>0</v>
      </c>
      <c r="G248" s="5" t="str">
        <f aca="false">IFERROR(VLOOKUP(D248,SETTINGS!A20:B41,2,FALSE()),"Medium")</f>
        <v>Slow</v>
      </c>
      <c r="H248" s="5" t="n">
        <f aca="false">IFERROR(VLOOKUP(G248,SETTINGS!A14:C16,3,FALSE()),5)</f>
        <v>3</v>
      </c>
      <c r="I248" s="5" t="n">
        <f aca="false">IF(E248&gt;0,E248,H248)</f>
        <v>3</v>
      </c>
      <c r="J248" s="5" t="n">
        <f aca="false">IF(F248&gt;0,F248,H248)</f>
        <v>3</v>
      </c>
      <c r="K248" s="5" t="n">
        <f aca="false">I248/7</f>
        <v>0.428571428571429</v>
      </c>
      <c r="L248" s="5" t="n">
        <f aca="false">J248/7</f>
        <v>0.428571428571429</v>
      </c>
    </row>
    <row r="249" customFormat="false" ht="23.85" hidden="false" customHeight="false" outlineLevel="0" collapsed="false">
      <c r="A249" s="5" t="n">
        <f aca="false">ITEM_MASTER_CLEAN!A249</f>
        <v>248</v>
      </c>
      <c r="B249" s="5" t="n">
        <f aca="false">ITEM_MASTER_CLEAN!B249</f>
        <v>28527</v>
      </c>
      <c r="C249" s="5" t="str">
        <f aca="false">ITEM_MASTER_CLEAN!C249</f>
        <v>9 MTY OVEN CLEANGEL HOTSTUF 6X946ML</v>
      </c>
      <c r="D249" s="5" t="str">
        <f aca="false">ITEM_MASTER_CLEAN!D249</f>
        <v>DIVERSEY CLEANING</v>
      </c>
      <c r="E249" s="11" t="n">
        <v>1</v>
      </c>
      <c r="F249" s="11" t="n">
        <v>0</v>
      </c>
      <c r="G249" s="5" t="str">
        <f aca="false">IFERROR(VLOOKUP(D249,SETTINGS!A20:B41,2,FALSE()),"Medium")</f>
        <v>Slow</v>
      </c>
      <c r="H249" s="5" t="n">
        <f aca="false">IFERROR(VLOOKUP(G249,SETTINGS!A14:C16,3,FALSE()),5)</f>
        <v>3</v>
      </c>
      <c r="I249" s="5" t="n">
        <f aca="false">IF(E249&gt;0,E249,H249)</f>
        <v>1</v>
      </c>
      <c r="J249" s="5" t="n">
        <f aca="false">IF(F249&gt;0,F249,H249)</f>
        <v>3</v>
      </c>
      <c r="K249" s="5" t="n">
        <f aca="false">I249/7</f>
        <v>0.142857142857143</v>
      </c>
      <c r="L249" s="5" t="n">
        <f aca="false">J249/7</f>
        <v>0.428571428571429</v>
      </c>
    </row>
    <row r="250" customFormat="false" ht="23.85" hidden="false" customHeight="false" outlineLevel="0" collapsed="false">
      <c r="A250" s="5" t="n">
        <f aca="false">ITEM_MASTER_CLEAN!A250</f>
        <v>249</v>
      </c>
      <c r="B250" s="5" t="n">
        <f aca="false">ITEM_MASTER_CLEAN!B250</f>
        <v>28524</v>
      </c>
      <c r="C250" s="5" t="str">
        <f aca="false">ITEM_MASTER_CLEAN!C250</f>
        <v>9 MTY SANI-STUFF NO RINSE 6X946ML</v>
      </c>
      <c r="D250" s="5" t="str">
        <f aca="false">ITEM_MASTER_CLEAN!D250</f>
        <v>DIVERSEY CLEANING</v>
      </c>
      <c r="E250" s="11" t="n">
        <v>0</v>
      </c>
      <c r="F250" s="11" t="n">
        <v>1</v>
      </c>
      <c r="G250" s="5" t="str">
        <f aca="false">IFERROR(VLOOKUP(D250,SETTINGS!A20:B41,2,FALSE()),"Medium")</f>
        <v>Slow</v>
      </c>
      <c r="H250" s="5" t="n">
        <f aca="false">IFERROR(VLOOKUP(G250,SETTINGS!A14:C16,3,FALSE()),5)</f>
        <v>3</v>
      </c>
      <c r="I250" s="5" t="n">
        <f aca="false">IF(E250&gt;0,E250,H250)</f>
        <v>3</v>
      </c>
      <c r="J250" s="5" t="n">
        <f aca="false">IF(F250&gt;0,F250,H250)</f>
        <v>1</v>
      </c>
      <c r="K250" s="5" t="n">
        <f aca="false">I250/7</f>
        <v>0.428571428571429</v>
      </c>
      <c r="L250" s="5" t="n">
        <f aca="false">J250/7</f>
        <v>0.142857142857143</v>
      </c>
    </row>
    <row r="251" customFormat="false" ht="23.85" hidden="false" customHeight="false" outlineLevel="0" collapsed="false">
      <c r="A251" s="5" t="n">
        <f aca="false">ITEM_MASTER_CLEAN!A251</f>
        <v>250</v>
      </c>
      <c r="B251" s="5" t="n">
        <f aca="false">ITEM_MASTER_CLEAN!B251</f>
        <v>28531</v>
      </c>
      <c r="C251" s="5" t="str">
        <f aca="false">ITEM_MASTER_CLEAN!C251</f>
        <v>9 MTY QUAT TEST PAP SANIT QT-10 X1</v>
      </c>
      <c r="D251" s="5" t="str">
        <f aca="false">ITEM_MASTER_CLEAN!D251</f>
        <v>DIVERSEY CLEANING</v>
      </c>
      <c r="E251" s="11" t="n">
        <v>1</v>
      </c>
      <c r="F251" s="11" t="n">
        <v>1</v>
      </c>
      <c r="G251" s="5" t="str">
        <f aca="false">IFERROR(VLOOKUP(D251,SETTINGS!A20:B41,2,FALSE()),"Medium")</f>
        <v>Slow</v>
      </c>
      <c r="H251" s="5" t="n">
        <f aca="false">IFERROR(VLOOKUP(G251,SETTINGS!A14:C16,3,FALSE()),5)</f>
        <v>3</v>
      </c>
      <c r="I251" s="5" t="n">
        <f aca="false">IF(E251&gt;0,E251,H251)</f>
        <v>1</v>
      </c>
      <c r="J251" s="5" t="n">
        <f aca="false">IF(F251&gt;0,F251,H251)</f>
        <v>1</v>
      </c>
      <c r="K251" s="5" t="n">
        <f aca="false">I251/7</f>
        <v>0.142857142857143</v>
      </c>
      <c r="L251" s="5" t="n">
        <f aca="false">J251/7</f>
        <v>0.142857142857143</v>
      </c>
    </row>
    <row r="252" customFormat="false" ht="23.85" hidden="false" customHeight="false" outlineLevel="0" collapsed="false">
      <c r="A252" s="5" t="n">
        <f aca="false">ITEM_MASTER_CLEAN!A252</f>
        <v>251</v>
      </c>
      <c r="B252" s="5" t="n">
        <f aca="false">ITEM_MASTER_CLEAN!B252</f>
        <v>27495</v>
      </c>
      <c r="C252" s="5" t="str">
        <f aca="false">ITEM_MASTER_CLEAN!C252</f>
        <v>MTY RED SANITIZER STAT PAIL 6QT X1</v>
      </c>
      <c r="D252" s="5" t="str">
        <f aca="false">ITEM_MASTER_CLEAN!D252</f>
        <v>DIVERSEY CLEANING</v>
      </c>
      <c r="E252" s="11" t="n">
        <v>0</v>
      </c>
      <c r="F252" s="11" t="n">
        <v>0</v>
      </c>
      <c r="G252" s="5" t="str">
        <f aca="false">IFERROR(VLOOKUP(D252,SETTINGS!A20:B41,2,FALSE()),"Medium")</f>
        <v>Slow</v>
      </c>
      <c r="H252" s="5" t="n">
        <f aca="false">IFERROR(VLOOKUP(G252,SETTINGS!A14:C16,3,FALSE()),5)</f>
        <v>3</v>
      </c>
      <c r="I252" s="5" t="n">
        <f aca="false">IF(E252&gt;0,E252,H252)</f>
        <v>3</v>
      </c>
      <c r="J252" s="5" t="n">
        <f aca="false">IF(F252&gt;0,F252,H252)</f>
        <v>3</v>
      </c>
      <c r="K252" s="5" t="n">
        <f aca="false">I252/7</f>
        <v>0.428571428571429</v>
      </c>
      <c r="L252" s="5" t="n">
        <f aca="false">J252/7</f>
        <v>0.428571428571429</v>
      </c>
    </row>
    <row r="253" customFormat="false" ht="23.85" hidden="false" customHeight="false" outlineLevel="0" collapsed="false">
      <c r="A253" s="5" t="n">
        <f aca="false">ITEM_MASTER_CLEAN!A253</f>
        <v>252</v>
      </c>
      <c r="B253" s="5" t="n">
        <f aca="false">ITEM_MASTER_CLEAN!B253</f>
        <v>27002</v>
      </c>
      <c r="C253" s="5" t="str">
        <f aca="false">ITEM_MASTER_CLEAN!C253</f>
        <v>MTY BTL SPRAYER D6044848 1UN</v>
      </c>
      <c r="D253" s="5" t="str">
        <f aca="false">ITEM_MASTER_CLEAN!D253</f>
        <v>DIVERSEY CLEANING</v>
      </c>
      <c r="E253" s="11" t="n">
        <v>1</v>
      </c>
      <c r="F253" s="11" t="n">
        <v>0</v>
      </c>
      <c r="G253" s="5" t="str">
        <f aca="false">IFERROR(VLOOKUP(D253,SETTINGS!A20:B41,2,FALSE()),"Medium")</f>
        <v>Slow</v>
      </c>
      <c r="H253" s="5" t="n">
        <f aca="false">IFERROR(VLOOKUP(G253,SETTINGS!A14:C16,3,FALSE()),5)</f>
        <v>3</v>
      </c>
      <c r="I253" s="5" t="n">
        <f aca="false">IF(E253&gt;0,E253,H253)</f>
        <v>1</v>
      </c>
      <c r="J253" s="5" t="n">
        <f aca="false">IF(F253&gt;0,F253,H253)</f>
        <v>3</v>
      </c>
      <c r="K253" s="5" t="n">
        <f aca="false">I253/7</f>
        <v>0.142857142857143</v>
      </c>
      <c r="L253" s="5" t="n">
        <f aca="false">J253/7</f>
        <v>0.428571428571429</v>
      </c>
    </row>
    <row r="254" customFormat="false" ht="23.85" hidden="false" customHeight="false" outlineLevel="0" collapsed="false">
      <c r="A254" s="5" t="n">
        <f aca="false">ITEM_MASTER_CLEAN!A254</f>
        <v>253</v>
      </c>
      <c r="B254" s="5" t="n">
        <f aca="false">ITEM_MASTER_CLEAN!B254</f>
        <v>27003</v>
      </c>
      <c r="C254" s="5" t="str">
        <f aca="false">ITEM_MASTER_CLEAN!C254</f>
        <v>MTY TRIGGER SPRAYER HEAD 1UN</v>
      </c>
      <c r="D254" s="5" t="str">
        <f aca="false">ITEM_MASTER_CLEAN!D254</f>
        <v>DIVERSEY CLEANING</v>
      </c>
      <c r="E254" s="11" t="n">
        <v>0</v>
      </c>
      <c r="F254" s="11" t="n">
        <v>1</v>
      </c>
      <c r="G254" s="5" t="str">
        <f aca="false">IFERROR(VLOOKUP(D254,SETTINGS!A20:B41,2,FALSE()),"Medium")</f>
        <v>Slow</v>
      </c>
      <c r="H254" s="5" t="n">
        <f aca="false">IFERROR(VLOOKUP(G254,SETTINGS!A14:C16,3,FALSE()),5)</f>
        <v>3</v>
      </c>
      <c r="I254" s="5" t="n">
        <f aca="false">IF(E254&gt;0,E254,H254)</f>
        <v>3</v>
      </c>
      <c r="J254" s="5" t="n">
        <f aca="false">IF(F254&gt;0,F254,H254)</f>
        <v>1</v>
      </c>
      <c r="K254" s="5" t="n">
        <f aca="false">I254/7</f>
        <v>0.428571428571429</v>
      </c>
      <c r="L254" s="5" t="n">
        <f aca="false">J254/7</f>
        <v>0.142857142857143</v>
      </c>
    </row>
    <row r="255" customFormat="false" ht="23.85" hidden="false" customHeight="false" outlineLevel="0" collapsed="false">
      <c r="A255" s="5" t="n">
        <f aca="false">ITEM_MASTER_CLEAN!A255</f>
        <v>254</v>
      </c>
      <c r="B255" s="5" t="n">
        <f aca="false">ITEM_MASTER_CLEAN!B255</f>
        <v>28530</v>
      </c>
      <c r="C255" s="5" t="str">
        <f aca="false">ITEM_MASTER_CLEAN!C255</f>
        <v>9 MTY DOSAGE PUMP HAND 4LJUG 1OZ X1</v>
      </c>
      <c r="D255" s="5" t="str">
        <f aca="false">ITEM_MASTER_CLEAN!D255</f>
        <v>DIVERSEY CLEANING</v>
      </c>
      <c r="E255" s="11" t="n">
        <v>2</v>
      </c>
      <c r="F255" s="11" t="n">
        <v>1</v>
      </c>
      <c r="G255" s="5" t="str">
        <f aca="false">IFERROR(VLOOKUP(D255,SETTINGS!A20:B41,2,FALSE()),"Medium")</f>
        <v>Slow</v>
      </c>
      <c r="H255" s="5" t="n">
        <f aca="false">IFERROR(VLOOKUP(G255,SETTINGS!A14:C16,3,FALSE()),5)</f>
        <v>3</v>
      </c>
      <c r="I255" s="5" t="n">
        <f aca="false">IF(E255&gt;0,E255,H255)</f>
        <v>2</v>
      </c>
      <c r="J255" s="5" t="n">
        <f aca="false">IF(F255&gt;0,F255,H255)</f>
        <v>1</v>
      </c>
      <c r="K255" s="5" t="n">
        <f aca="false">I255/7</f>
        <v>0.285714285714286</v>
      </c>
      <c r="L255" s="5" t="n">
        <f aca="false">J255/7</f>
        <v>0.142857142857143</v>
      </c>
    </row>
    <row r="256" customFormat="false" ht="23.85" hidden="false" customHeight="false" outlineLevel="0" collapsed="false">
      <c r="A256" s="5" t="n">
        <f aca="false">ITEM_MASTER_CLEAN!A256</f>
        <v>255</v>
      </c>
      <c r="B256" s="5" t="n">
        <f aca="false">ITEM_MASTER_CLEAN!B256</f>
        <v>28529</v>
      </c>
      <c r="C256" s="5" t="str">
        <f aca="false">ITEM_MASTER_CLEAN!C256</f>
        <v>9 MTY DOSAGE PUMP 1/8 OZ GAL X1</v>
      </c>
      <c r="D256" s="5" t="str">
        <f aca="false">ITEM_MASTER_CLEAN!D256</f>
        <v>DIVERSEY CLEANING</v>
      </c>
      <c r="E256" s="11" t="n">
        <v>1</v>
      </c>
      <c r="F256" s="11" t="n">
        <v>0</v>
      </c>
      <c r="G256" s="5" t="str">
        <f aca="false">IFERROR(VLOOKUP(D256,SETTINGS!A20:B41,2,FALSE()),"Medium")</f>
        <v>Slow</v>
      </c>
      <c r="H256" s="5" t="n">
        <f aca="false">IFERROR(VLOOKUP(G256,SETTINGS!A14:C16,3,FALSE()),5)</f>
        <v>3</v>
      </c>
      <c r="I256" s="5" t="n">
        <f aca="false">IF(E256&gt;0,E256,H256)</f>
        <v>1</v>
      </c>
      <c r="J256" s="5" t="n">
        <f aca="false">IF(F256&gt;0,F256,H256)</f>
        <v>3</v>
      </c>
      <c r="K256" s="5" t="n">
        <f aca="false">I256/7</f>
        <v>0.142857142857143</v>
      </c>
      <c r="L256" s="5" t="n">
        <f aca="false">J256/7</f>
        <v>0.428571428571429</v>
      </c>
    </row>
    <row r="257" customFormat="false" ht="23.85" hidden="false" customHeight="false" outlineLevel="0" collapsed="false">
      <c r="A257" s="5" t="n">
        <f aca="false">ITEM_MASTER_CLEAN!A257</f>
        <v>256</v>
      </c>
      <c r="B257" s="5" t="n">
        <f aca="false">ITEM_MASTER_CLEAN!B257</f>
        <v>29153</v>
      </c>
      <c r="C257" s="5" t="str">
        <f aca="false">ITEM_MASTER_CLEAN!C257</f>
        <v>BEV P.LEAF GRN TEA/HONEY 12X547ML</v>
      </c>
      <c r="D257" s="5" t="str">
        <f aca="false">ITEM_MASTER_CLEAN!D257</f>
        <v>PEPSI &amp; SNACKS</v>
      </c>
      <c r="E257" s="11" t="n">
        <v>5</v>
      </c>
      <c r="F257" s="11" t="n">
        <v>2</v>
      </c>
      <c r="G257" s="5" t="str">
        <f aca="false">IFERROR(VLOOKUP(D257,SETTINGS!A20:B41,2,FALSE()),"Medium")</f>
        <v>Medium</v>
      </c>
      <c r="H257" s="5" t="n">
        <f aca="false">IFERROR(VLOOKUP(G257,SETTINGS!A14:C16,3,FALSE()),5)</f>
        <v>8</v>
      </c>
      <c r="I257" s="5" t="n">
        <f aca="false">IF(E257&gt;0,E257,H257)</f>
        <v>5</v>
      </c>
      <c r="J257" s="5" t="n">
        <f aca="false">IF(F257&gt;0,F257,H257)</f>
        <v>2</v>
      </c>
      <c r="K257" s="5" t="n">
        <f aca="false">I257/7</f>
        <v>0.714285714285714</v>
      </c>
      <c r="L257" s="5" t="n">
        <f aca="false">J257/7</f>
        <v>0.285714285714286</v>
      </c>
    </row>
    <row r="258" customFormat="false" ht="23.85" hidden="false" customHeight="false" outlineLevel="0" collapsed="false">
      <c r="A258" s="5" t="n">
        <f aca="false">ITEM_MASTER_CLEAN!A258</f>
        <v>257</v>
      </c>
      <c r="B258" s="5" t="n">
        <f aca="false">ITEM_MASTER_CLEAN!B258</f>
        <v>29154</v>
      </c>
      <c r="C258" s="5" t="str">
        <f aca="false">ITEM_MASTER_CLEAN!C258</f>
        <v>BEV P.LEAF LEMON TEA  12X547ML</v>
      </c>
      <c r="D258" s="5" t="str">
        <f aca="false">ITEM_MASTER_CLEAN!D258</f>
        <v>PEPSI &amp; SNACKS</v>
      </c>
      <c r="E258" s="11" t="n">
        <v>5</v>
      </c>
      <c r="F258" s="11" t="n">
        <v>1</v>
      </c>
      <c r="G258" s="5" t="str">
        <f aca="false">IFERROR(VLOOKUP(D258,SETTINGS!A20:B41,2,FALSE()),"Medium")</f>
        <v>Medium</v>
      </c>
      <c r="H258" s="5" t="n">
        <f aca="false">IFERROR(VLOOKUP(G258,SETTINGS!A14:C16,3,FALSE()),5)</f>
        <v>8</v>
      </c>
      <c r="I258" s="5" t="n">
        <f aca="false">IF(E258&gt;0,E258,H258)</f>
        <v>5</v>
      </c>
      <c r="J258" s="5" t="n">
        <f aca="false">IF(F258&gt;0,F258,H258)</f>
        <v>1</v>
      </c>
      <c r="K258" s="5" t="n">
        <f aca="false">I258/7</f>
        <v>0.714285714285714</v>
      </c>
      <c r="L258" s="5" t="n">
        <f aca="false">J258/7</f>
        <v>0.142857142857143</v>
      </c>
    </row>
    <row r="259" customFormat="false" ht="23.85" hidden="false" customHeight="false" outlineLevel="0" collapsed="false">
      <c r="A259" s="5" t="n">
        <f aca="false">ITEM_MASTER_CLEAN!A259</f>
        <v>258</v>
      </c>
      <c r="B259" s="5" t="n">
        <f aca="false">ITEM_MASTER_CLEAN!B259</f>
        <v>14130</v>
      </c>
      <c r="C259" s="5" t="str">
        <f aca="false">ITEM_MASTER_CLEAN!C259</f>
        <v>9 BEV STARBKS TRP SHOT MOCHA 12X444</v>
      </c>
      <c r="D259" s="5" t="str">
        <f aca="false">ITEM_MASTER_CLEAN!D259</f>
        <v>PEPSI &amp; SNACKS</v>
      </c>
      <c r="E259" s="11" t="n">
        <v>2</v>
      </c>
      <c r="F259" s="11" t="n">
        <v>2</v>
      </c>
      <c r="G259" s="5" t="str">
        <f aca="false">IFERROR(VLOOKUP(D259,SETTINGS!A20:B41,2,FALSE()),"Medium")</f>
        <v>Medium</v>
      </c>
      <c r="H259" s="5" t="n">
        <f aca="false">IFERROR(VLOOKUP(G259,SETTINGS!A14:C16,3,FALSE()),5)</f>
        <v>8</v>
      </c>
      <c r="I259" s="5" t="n">
        <f aca="false">IF(E259&gt;0,E259,H259)</f>
        <v>2</v>
      </c>
      <c r="J259" s="5" t="n">
        <f aca="false">IF(F259&gt;0,F259,H259)</f>
        <v>2</v>
      </c>
      <c r="K259" s="5" t="n">
        <f aca="false">I259/7</f>
        <v>0.285714285714286</v>
      </c>
      <c r="L259" s="5" t="n">
        <f aca="false">J259/7</f>
        <v>0.285714285714286</v>
      </c>
    </row>
    <row r="260" customFormat="false" ht="23.85" hidden="false" customHeight="false" outlineLevel="0" collapsed="false">
      <c r="A260" s="5" t="n">
        <f aca="false">ITEM_MASTER_CLEAN!A260</f>
        <v>259</v>
      </c>
      <c r="B260" s="5" t="n">
        <f aca="false">ITEM_MASTER_CLEAN!B260</f>
        <v>14131</v>
      </c>
      <c r="C260" s="5" t="str">
        <f aca="false">ITEM_MASTER_CLEAN!C260</f>
        <v>9 BEV STARBUCKS DBL SHOT VAN 12X444</v>
      </c>
      <c r="D260" s="5" t="str">
        <f aca="false">ITEM_MASTER_CLEAN!D260</f>
        <v>PEPSI &amp; SNACKS</v>
      </c>
      <c r="E260" s="11" t="n">
        <v>2</v>
      </c>
      <c r="F260" s="11" t="n">
        <v>2</v>
      </c>
      <c r="G260" s="5" t="str">
        <f aca="false">IFERROR(VLOOKUP(D260,SETTINGS!A20:B41,2,FALSE()),"Medium")</f>
        <v>Medium</v>
      </c>
      <c r="H260" s="5" t="n">
        <f aca="false">IFERROR(VLOOKUP(G260,SETTINGS!A14:C16,3,FALSE()),5)</f>
        <v>8</v>
      </c>
      <c r="I260" s="5" t="n">
        <f aca="false">IF(E260&gt;0,E260,H260)</f>
        <v>2</v>
      </c>
      <c r="J260" s="5" t="n">
        <f aca="false">IF(F260&gt;0,F260,H260)</f>
        <v>2</v>
      </c>
      <c r="K260" s="5" t="n">
        <f aca="false">I260/7</f>
        <v>0.285714285714286</v>
      </c>
      <c r="L260" s="5" t="n">
        <f aca="false">J260/7</f>
        <v>0.285714285714286</v>
      </c>
    </row>
    <row r="261" customFormat="false" ht="23.85" hidden="false" customHeight="false" outlineLevel="0" collapsed="false">
      <c r="A261" s="5" t="n">
        <f aca="false">ITEM_MASTER_CLEAN!A261</f>
        <v>260</v>
      </c>
      <c r="B261" s="5" t="n">
        <f aca="false">ITEM_MASTER_CLEAN!B261</f>
        <v>52342</v>
      </c>
      <c r="C261" s="5" t="str">
        <f aca="false">ITEM_MASTER_CLEAN!C261</f>
        <v>BEV ROOT BEER MUG CAN 12X355ML</v>
      </c>
      <c r="D261" s="5" t="str">
        <f aca="false">ITEM_MASTER_CLEAN!D261</f>
        <v>PEPSI &amp; SNACKS</v>
      </c>
      <c r="E261" s="11" t="n">
        <v>2</v>
      </c>
      <c r="F261" s="11" t="n">
        <v>1</v>
      </c>
      <c r="G261" s="5" t="str">
        <f aca="false">IFERROR(VLOOKUP(D261,SETTINGS!A20:B41,2,FALSE()),"Medium")</f>
        <v>Medium</v>
      </c>
      <c r="H261" s="5" t="n">
        <f aca="false">IFERROR(VLOOKUP(G261,SETTINGS!A14:C16,3,FALSE()),5)</f>
        <v>8</v>
      </c>
      <c r="I261" s="5" t="n">
        <f aca="false">IF(E261&gt;0,E261,H261)</f>
        <v>2</v>
      </c>
      <c r="J261" s="5" t="n">
        <f aca="false">IF(F261&gt;0,F261,H261)</f>
        <v>1</v>
      </c>
      <c r="K261" s="5" t="n">
        <f aca="false">I261/7</f>
        <v>0.285714285714286</v>
      </c>
      <c r="L261" s="5" t="n">
        <f aca="false">J261/7</f>
        <v>0.142857142857143</v>
      </c>
    </row>
    <row r="262" customFormat="false" ht="23.85" hidden="false" customHeight="false" outlineLevel="0" collapsed="false">
      <c r="A262" s="5" t="n">
        <f aca="false">ITEM_MASTER_CLEAN!A262</f>
        <v>261</v>
      </c>
      <c r="B262" s="5" t="n">
        <f aca="false">ITEM_MASTER_CLEAN!B262</f>
        <v>52349</v>
      </c>
      <c r="C262" s="5" t="str">
        <f aca="false">ITEM_MASTER_CLEAN!C262</f>
        <v>BEV ORANGE CRUSH CAN 12X355ML</v>
      </c>
      <c r="D262" s="5" t="str">
        <f aca="false">ITEM_MASTER_CLEAN!D262</f>
        <v>PEPSI &amp; SNACKS</v>
      </c>
      <c r="E262" s="11" t="n">
        <v>5</v>
      </c>
      <c r="F262" s="11" t="n">
        <v>2</v>
      </c>
      <c r="G262" s="5" t="str">
        <f aca="false">IFERROR(VLOOKUP(D262,SETTINGS!A20:B41,2,FALSE()),"Medium")</f>
        <v>Medium</v>
      </c>
      <c r="H262" s="5" t="n">
        <f aca="false">IFERROR(VLOOKUP(G262,SETTINGS!A14:C16,3,FALSE()),5)</f>
        <v>8</v>
      </c>
      <c r="I262" s="5" t="n">
        <f aca="false">IF(E262&gt;0,E262,H262)</f>
        <v>5</v>
      </c>
      <c r="J262" s="5" t="n">
        <f aca="false">IF(F262&gt;0,F262,H262)</f>
        <v>2</v>
      </c>
      <c r="K262" s="5" t="n">
        <f aca="false">I262/7</f>
        <v>0.714285714285714</v>
      </c>
      <c r="L262" s="5" t="n">
        <f aca="false">J262/7</f>
        <v>0.285714285714286</v>
      </c>
    </row>
    <row r="263" customFormat="false" ht="23.85" hidden="false" customHeight="false" outlineLevel="0" collapsed="false">
      <c r="A263" s="5" t="n">
        <f aca="false">ITEM_MASTER_CLEAN!A263</f>
        <v>262</v>
      </c>
      <c r="B263" s="5" t="n">
        <f aca="false">ITEM_MASTER_CLEAN!B263</f>
        <v>61804</v>
      </c>
      <c r="C263" s="5" t="str">
        <f aca="false">ITEM_MASTER_CLEAN!C263</f>
        <v>LADIP BOX POPCORN 6X2.75X8.5  100</v>
      </c>
      <c r="D263" s="5" t="str">
        <f aca="false">ITEM_MASTER_CLEAN!D263</f>
        <v>POPCORN &amp; PACKAGING</v>
      </c>
      <c r="E263" s="11" t="n">
        <v>0</v>
      </c>
      <c r="F263" s="11" t="n">
        <v>1</v>
      </c>
      <c r="G263" s="5" t="str">
        <f aca="false">IFERROR(VLOOKUP(D263,SETTINGS!A20:B41,2,FALSE()),"Medium")</f>
        <v>Slow</v>
      </c>
      <c r="H263" s="5" t="n">
        <f aca="false">IFERROR(VLOOKUP(G263,SETTINGS!A14:C16,3,FALSE()),5)</f>
        <v>3</v>
      </c>
      <c r="I263" s="5" t="n">
        <f aca="false">IF(E263&gt;0,E263,H263)</f>
        <v>3</v>
      </c>
      <c r="J263" s="5" t="n">
        <f aca="false">IF(F263&gt;0,F263,H263)</f>
        <v>1</v>
      </c>
      <c r="K263" s="5" t="n">
        <f aca="false">I263/7</f>
        <v>0.428571428571429</v>
      </c>
      <c r="L263" s="5" t="n">
        <f aca="false">J263/7</f>
        <v>0.142857142857143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11" min="4" style="0" width="14"/>
  </cols>
  <sheetData>
    <row r="1" customFormat="false" ht="26.8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564</v>
      </c>
      <c r="E1" s="4" t="s">
        <v>568</v>
      </c>
      <c r="F1" s="4" t="s">
        <v>569</v>
      </c>
      <c r="G1" s="4" t="s">
        <v>570</v>
      </c>
      <c r="H1" s="4" t="s">
        <v>571</v>
      </c>
      <c r="I1" s="4" t="s">
        <v>572</v>
      </c>
      <c r="J1" s="4" t="s">
        <v>573</v>
      </c>
      <c r="K1" s="4" t="s">
        <v>574</v>
      </c>
    </row>
    <row r="2" customFormat="false" ht="15" hidden="false" customHeight="false" outlineLevel="0" collapsed="false">
      <c r="A2" s="5" t="n">
        <f aca="false">DEMAND_MODEL!A2</f>
        <v>1</v>
      </c>
      <c r="B2" s="5" t="n">
        <f aca="false">DEMAND_MODEL!B2</f>
        <v>62966</v>
      </c>
      <c r="C2" s="5" t="str">
        <f aca="false">DEMAND_MODEL!C2</f>
        <v>9 CAKE WHITE LAYER 8" 24X354G</v>
      </c>
      <c r="D2" s="5" t="str">
        <f aca="false">DEMAND_MODEL!G2</f>
        <v>Medium</v>
      </c>
      <c r="E2" s="5" t="n">
        <f aca="false">DEMAND_MODEL!K2</f>
        <v>0.142857142857143</v>
      </c>
      <c r="F2" s="5" t="n">
        <f aca="false">DEMAND_MODEL!L2</f>
        <v>0.428571428571429</v>
      </c>
      <c r="G2" s="5" t="n">
        <f aca="false">IFERROR(VLOOKUP(D2,SETTINGS!A14:B16,2,FALSE()),14)</f>
        <v>14</v>
      </c>
      <c r="H2" s="5" t="n">
        <f aca="false">E2*(LeadTime+ReorderCycle+SafetyDays)</f>
        <v>1.85714285714286</v>
      </c>
      <c r="I2" s="5" t="n">
        <f aca="false">F2*(LeadTime+ReorderCycle+SafetyDays)</f>
        <v>5.57142857142857</v>
      </c>
      <c r="J2" s="5" t="n">
        <f aca="false">IF(D2="Slow",MIN(H2,SlowMoverCap),H2)</f>
        <v>1.85714285714286</v>
      </c>
      <c r="K2" s="5" t="n">
        <f aca="false">IF(D2="Slow",MIN(I2,SlowMoverCap),I2)</f>
        <v>5.57142857142857</v>
      </c>
    </row>
    <row r="3" customFormat="false" ht="15" hidden="false" customHeight="false" outlineLevel="0" collapsed="false">
      <c r="A3" s="5" t="n">
        <f aca="false">DEMAND_MODEL!A3</f>
        <v>2</v>
      </c>
      <c r="B3" s="5" t="n">
        <f aca="false">DEMAND_MODEL!B3</f>
        <v>62967</v>
      </c>
      <c r="C3" s="5" t="str">
        <f aca="false">DEMAND_MODEL!C3</f>
        <v>9 CAKE CHOC LAYER 8" 24X354G</v>
      </c>
      <c r="D3" s="5" t="str">
        <f aca="false">DEMAND_MODEL!G3</f>
        <v>Medium</v>
      </c>
      <c r="E3" s="5" t="n">
        <f aca="false">DEMAND_MODEL!K3</f>
        <v>0.571428571428571</v>
      </c>
      <c r="F3" s="5" t="n">
        <f aca="false">DEMAND_MODEL!L3</f>
        <v>0.142857142857143</v>
      </c>
      <c r="G3" s="5" t="n">
        <f aca="false">IFERROR(VLOOKUP(D3,SETTINGS!A14:B16,2,FALSE()),14)</f>
        <v>14</v>
      </c>
      <c r="H3" s="5" t="n">
        <f aca="false">E3*(LeadTime+ReorderCycle+SafetyDays)</f>
        <v>7.42857142857143</v>
      </c>
      <c r="I3" s="5" t="n">
        <f aca="false">F3*(LeadTime+ReorderCycle+SafetyDays)</f>
        <v>1.85714285714286</v>
      </c>
      <c r="J3" s="5" t="n">
        <f aca="false">IF(D3="Slow",MIN(H3,SlowMoverCap),H3)</f>
        <v>7.42857142857143</v>
      </c>
      <c r="K3" s="5" t="n">
        <f aca="false">IF(D3="Slow",MIN(I3,SlowMoverCap),I3)</f>
        <v>1.85714285714286</v>
      </c>
    </row>
    <row r="4" customFormat="false" ht="15" hidden="false" customHeight="false" outlineLevel="0" collapsed="false">
      <c r="A4" s="5" t="n">
        <f aca="false">DEMAND_MODEL!A4</f>
        <v>3</v>
      </c>
      <c r="B4" s="5" t="n">
        <f aca="false">DEMAND_MODEL!B4</f>
        <v>62963</v>
      </c>
      <c r="C4" s="5" t="str">
        <f aca="false">DEMAND_MODEL!C4</f>
        <v>ICING PRE-WHIPPED VANILLA 6.8K</v>
      </c>
      <c r="D4" s="5" t="str">
        <f aca="false">DEMAND_MODEL!G4</f>
        <v>Medium</v>
      </c>
      <c r="E4" s="5" t="n">
        <f aca="false">DEMAND_MODEL!K4</f>
        <v>0.285714285714286</v>
      </c>
      <c r="F4" s="5" t="n">
        <f aca="false">DEMAND_MODEL!L4</f>
        <v>0.285714285714286</v>
      </c>
      <c r="G4" s="5" t="n">
        <f aca="false">IFERROR(VLOOKUP(D4,SETTINGS!A14:B16,2,FALSE()),14)</f>
        <v>14</v>
      </c>
      <c r="H4" s="5" t="n">
        <f aca="false">E4*(LeadTime+ReorderCycle+SafetyDays)</f>
        <v>3.71428571428571</v>
      </c>
      <c r="I4" s="5" t="n">
        <f aca="false">F4*(LeadTime+ReorderCycle+SafetyDays)</f>
        <v>3.71428571428571</v>
      </c>
      <c r="J4" s="5" t="n">
        <f aca="false">IF(D4="Slow",MIN(H4,SlowMoverCap),H4)</f>
        <v>3.71428571428571</v>
      </c>
      <c r="K4" s="5" t="n">
        <f aca="false">IF(D4="Slow",MIN(I4,SlowMoverCap),I4)</f>
        <v>3.71428571428571</v>
      </c>
    </row>
    <row r="5" customFormat="false" ht="15" hidden="false" customHeight="false" outlineLevel="0" collapsed="false">
      <c r="A5" s="5" t="n">
        <f aca="false">DEMAND_MODEL!A5</f>
        <v>4</v>
      </c>
      <c r="B5" s="5" t="n">
        <f aca="false">DEMAND_MODEL!B5</f>
        <v>22400</v>
      </c>
      <c r="C5" s="5" t="str">
        <f aca="false">DEMAND_MODEL!C5</f>
        <v>LADIP LABEL CHOCOLATE CAKE 1RLX50UN</v>
      </c>
      <c r="D5" s="5" t="str">
        <f aca="false">DEMAND_MODEL!G5</f>
        <v>Medium</v>
      </c>
      <c r="E5" s="5" t="n">
        <f aca="false">DEMAND_MODEL!K5</f>
        <v>0.428571428571429</v>
      </c>
      <c r="F5" s="5" t="n">
        <f aca="false">DEMAND_MODEL!L5</f>
        <v>0.142857142857143</v>
      </c>
      <c r="G5" s="5" t="n">
        <f aca="false">IFERROR(VLOOKUP(D5,SETTINGS!A14:B16,2,FALSE()),14)</f>
        <v>14</v>
      </c>
      <c r="H5" s="5" t="n">
        <f aca="false">E5*(LeadTime+ReorderCycle+SafetyDays)</f>
        <v>5.57142857142857</v>
      </c>
      <c r="I5" s="5" t="n">
        <f aca="false">F5*(LeadTime+ReorderCycle+SafetyDays)</f>
        <v>1.85714285714286</v>
      </c>
      <c r="J5" s="5" t="n">
        <f aca="false">IF(D5="Slow",MIN(H5,SlowMoverCap),H5)</f>
        <v>5.57142857142857</v>
      </c>
      <c r="K5" s="5" t="n">
        <f aca="false">IF(D5="Slow",MIN(I5,SlowMoverCap),I5)</f>
        <v>1.85714285714286</v>
      </c>
    </row>
    <row r="6" customFormat="false" ht="15" hidden="false" customHeight="false" outlineLevel="0" collapsed="false">
      <c r="A6" s="5" t="n">
        <f aca="false">DEMAND_MODEL!A6</f>
        <v>5</v>
      </c>
      <c r="B6" s="5" t="n">
        <f aca="false">DEMAND_MODEL!B6</f>
        <v>22401</v>
      </c>
      <c r="C6" s="5" t="str">
        <f aca="false">DEMAND_MODEL!C6</f>
        <v>LADIP LABEL BIRTHDAY CAKE 1RLX50UN</v>
      </c>
      <c r="D6" s="5" t="str">
        <f aca="false">DEMAND_MODEL!G6</f>
        <v>Medium</v>
      </c>
      <c r="E6" s="5" t="n">
        <f aca="false">DEMAND_MODEL!K6</f>
        <v>0.571428571428571</v>
      </c>
      <c r="F6" s="5" t="n">
        <f aca="false">DEMAND_MODEL!L6</f>
        <v>0.142857142857143</v>
      </c>
      <c r="G6" s="5" t="n">
        <f aca="false">IFERROR(VLOOKUP(D6,SETTINGS!A14:B16,2,FALSE()),14)</f>
        <v>14</v>
      </c>
      <c r="H6" s="5" t="n">
        <f aca="false">E6*(LeadTime+ReorderCycle+SafetyDays)</f>
        <v>7.42857142857143</v>
      </c>
      <c r="I6" s="5" t="n">
        <f aca="false">F6*(LeadTime+ReorderCycle+SafetyDays)</f>
        <v>1.85714285714286</v>
      </c>
      <c r="J6" s="5" t="n">
        <f aca="false">IF(D6="Slow",MIN(H6,SlowMoverCap),H6)</f>
        <v>7.42857142857143</v>
      </c>
      <c r="K6" s="5" t="n">
        <f aca="false">IF(D6="Slow",MIN(I6,SlowMoverCap),I6)</f>
        <v>1.85714285714286</v>
      </c>
    </row>
    <row r="7" customFormat="false" ht="15" hidden="false" customHeight="false" outlineLevel="0" collapsed="false">
      <c r="A7" s="5" t="n">
        <f aca="false">DEMAND_MODEL!A7</f>
        <v>6</v>
      </c>
      <c r="B7" s="5" t="n">
        <f aca="false">DEMAND_MODEL!B7</f>
        <v>22402</v>
      </c>
      <c r="C7" s="5" t="str">
        <f aca="false">DEMAND_MODEL!C7</f>
        <v>LADIP LABEL COOKIE &amp; CREAM CAKE 1RL</v>
      </c>
      <c r="D7" s="5" t="str">
        <f aca="false">DEMAND_MODEL!G7</f>
        <v>Medium</v>
      </c>
      <c r="E7" s="5" t="n">
        <f aca="false">DEMAND_MODEL!K7</f>
        <v>0.285714285714286</v>
      </c>
      <c r="F7" s="5" t="n">
        <f aca="false">DEMAND_MODEL!L7</f>
        <v>0.285714285714286</v>
      </c>
      <c r="G7" s="5" t="n">
        <f aca="false">IFERROR(VLOOKUP(D7,SETTINGS!A14:B16,2,FALSE()),14)</f>
        <v>14</v>
      </c>
      <c r="H7" s="5" t="n">
        <f aca="false">E7*(LeadTime+ReorderCycle+SafetyDays)</f>
        <v>3.71428571428571</v>
      </c>
      <c r="I7" s="5" t="n">
        <f aca="false">F7*(LeadTime+ReorderCycle+SafetyDays)</f>
        <v>3.71428571428571</v>
      </c>
      <c r="J7" s="5" t="n">
        <f aca="false">IF(D7="Slow",MIN(H7,SlowMoverCap),H7)</f>
        <v>3.71428571428571</v>
      </c>
      <c r="K7" s="5" t="n">
        <f aca="false">IF(D7="Slow",MIN(I7,SlowMoverCap),I7)</f>
        <v>3.71428571428571</v>
      </c>
    </row>
    <row r="8" customFormat="false" ht="15" hidden="false" customHeight="false" outlineLevel="0" collapsed="false">
      <c r="A8" s="5" t="n">
        <f aca="false">DEMAND_MODEL!A8</f>
        <v>7</v>
      </c>
      <c r="B8" s="5" t="n">
        <f aca="false">DEMAND_MODEL!B8</f>
        <v>22406</v>
      </c>
      <c r="C8" s="5" t="str">
        <f aca="false">DEMAND_MODEL!C8</f>
        <v>LADIP LABEL SALTD CARAMEL CAKE 1RL</v>
      </c>
      <c r="D8" s="5" t="str">
        <f aca="false">DEMAND_MODEL!G8</f>
        <v>Medium</v>
      </c>
      <c r="E8" s="5" t="n">
        <f aca="false">DEMAND_MODEL!K8</f>
        <v>0.428571428571429</v>
      </c>
      <c r="F8" s="5" t="n">
        <f aca="false">DEMAND_MODEL!L8</f>
        <v>0.142857142857143</v>
      </c>
      <c r="G8" s="5" t="n">
        <f aca="false">IFERROR(VLOOKUP(D8,SETTINGS!A14:B16,2,FALSE()),14)</f>
        <v>14</v>
      </c>
      <c r="H8" s="5" t="n">
        <f aca="false">E8*(LeadTime+ReorderCycle+SafetyDays)</f>
        <v>5.57142857142857</v>
      </c>
      <c r="I8" s="5" t="n">
        <f aca="false">F8*(LeadTime+ReorderCycle+SafetyDays)</f>
        <v>1.85714285714286</v>
      </c>
      <c r="J8" s="5" t="n">
        <f aca="false">IF(D8="Slow",MIN(H8,SlowMoverCap),H8)</f>
        <v>5.57142857142857</v>
      </c>
      <c r="K8" s="5" t="n">
        <f aca="false">IF(D8="Slow",MIN(I8,SlowMoverCap),I8)</f>
        <v>1.85714285714286</v>
      </c>
    </row>
    <row r="9" customFormat="false" ht="15" hidden="false" customHeight="false" outlineLevel="0" collapsed="false">
      <c r="A9" s="5" t="n">
        <f aca="false">DEMAND_MODEL!A9</f>
        <v>8</v>
      </c>
      <c r="B9" s="5" t="n">
        <f aca="false">DEMAND_MODEL!B9</f>
        <v>22407</v>
      </c>
      <c r="C9" s="5" t="str">
        <f aca="false">DEMAND_MODEL!C9</f>
        <v>LADIP LABEL STRABERRY CAKE 1RLX50UN</v>
      </c>
      <c r="D9" s="5" t="str">
        <f aca="false">DEMAND_MODEL!G9</f>
        <v>Medium</v>
      </c>
      <c r="E9" s="5" t="n">
        <f aca="false">DEMAND_MODEL!K9</f>
        <v>0.428571428571429</v>
      </c>
      <c r="F9" s="5" t="n">
        <f aca="false">DEMAND_MODEL!L9</f>
        <v>0.428571428571429</v>
      </c>
      <c r="G9" s="5" t="n">
        <f aca="false">IFERROR(VLOOKUP(D9,SETTINGS!A14:B16,2,FALSE()),14)</f>
        <v>14</v>
      </c>
      <c r="H9" s="5" t="n">
        <f aca="false">E9*(LeadTime+ReorderCycle+SafetyDays)</f>
        <v>5.57142857142857</v>
      </c>
      <c r="I9" s="5" t="n">
        <f aca="false">F9*(LeadTime+ReorderCycle+SafetyDays)</f>
        <v>5.57142857142857</v>
      </c>
      <c r="J9" s="5" t="n">
        <f aca="false">IF(D9="Slow",MIN(H9,SlowMoverCap),H9)</f>
        <v>5.57142857142857</v>
      </c>
      <c r="K9" s="5" t="n">
        <f aca="false">IF(D9="Slow",MIN(I9,SlowMoverCap),I9)</f>
        <v>5.57142857142857</v>
      </c>
    </row>
    <row r="10" customFormat="false" ht="15" hidden="false" customHeight="false" outlineLevel="0" collapsed="false">
      <c r="A10" s="5" t="n">
        <f aca="false">DEMAND_MODEL!A10</f>
        <v>9</v>
      </c>
      <c r="B10" s="5" t="n">
        <f aca="false">DEMAND_MODEL!B10</f>
        <v>25800</v>
      </c>
      <c r="C10" s="5" t="str">
        <f aca="false">DEMAND_MODEL!C10</f>
        <v>CAKE CARDBOARD 8" BLCK GOLD 100</v>
      </c>
      <c r="D10" s="5" t="str">
        <f aca="false">DEMAND_MODEL!G10</f>
        <v>Medium</v>
      </c>
      <c r="E10" s="5" t="n">
        <f aca="false">DEMAND_MODEL!K10</f>
        <v>0.428571428571429</v>
      </c>
      <c r="F10" s="5" t="n">
        <f aca="false">DEMAND_MODEL!L10</f>
        <v>0.142857142857143</v>
      </c>
      <c r="G10" s="5" t="n">
        <f aca="false">IFERROR(VLOOKUP(D10,SETTINGS!A14:B16,2,FALSE()),14)</f>
        <v>14</v>
      </c>
      <c r="H10" s="5" t="n">
        <f aca="false">E10*(LeadTime+ReorderCycle+SafetyDays)</f>
        <v>5.57142857142857</v>
      </c>
      <c r="I10" s="5" t="n">
        <f aca="false">F10*(LeadTime+ReorderCycle+SafetyDays)</f>
        <v>1.85714285714286</v>
      </c>
      <c r="J10" s="5" t="n">
        <f aca="false">IF(D10="Slow",MIN(H10,SlowMoverCap),H10)</f>
        <v>5.57142857142857</v>
      </c>
      <c r="K10" s="5" t="n">
        <f aca="false">IF(D10="Slow",MIN(I10,SlowMoverCap),I10)</f>
        <v>1.85714285714286</v>
      </c>
    </row>
    <row r="11" customFormat="false" ht="15" hidden="false" customHeight="false" outlineLevel="0" collapsed="false">
      <c r="A11" s="5" t="n">
        <f aca="false">DEMAND_MODEL!A11</f>
        <v>10</v>
      </c>
      <c r="B11" s="5" t="n">
        <f aca="false">DEMAND_MODEL!B11</f>
        <v>25802</v>
      </c>
      <c r="C11" s="5" t="str">
        <f aca="false">DEMAND_MODEL!C11</f>
        <v>ACETATE ROLL 3.5"X1250" 4MM 1RL</v>
      </c>
      <c r="D11" s="5" t="str">
        <f aca="false">DEMAND_MODEL!G11</f>
        <v>Medium</v>
      </c>
      <c r="E11" s="5" t="n">
        <f aca="false">DEMAND_MODEL!K11</f>
        <v>0.428571428571429</v>
      </c>
      <c r="F11" s="5" t="n">
        <f aca="false">DEMAND_MODEL!L11</f>
        <v>0.428571428571429</v>
      </c>
      <c r="G11" s="5" t="n">
        <f aca="false">IFERROR(VLOOKUP(D11,SETTINGS!A14:B16,2,FALSE()),14)</f>
        <v>14</v>
      </c>
      <c r="H11" s="5" t="n">
        <f aca="false">E11*(LeadTime+ReorderCycle+SafetyDays)</f>
        <v>5.57142857142857</v>
      </c>
      <c r="I11" s="5" t="n">
        <f aca="false">F11*(LeadTime+ReorderCycle+SafetyDays)</f>
        <v>5.57142857142857</v>
      </c>
      <c r="J11" s="5" t="n">
        <f aca="false">IF(D11="Slow",MIN(H11,SlowMoverCap),H11)</f>
        <v>5.57142857142857</v>
      </c>
      <c r="K11" s="5" t="n">
        <f aca="false">IF(D11="Slow",MIN(I11,SlowMoverCap),I11)</f>
        <v>5.57142857142857</v>
      </c>
    </row>
    <row r="12" customFormat="false" ht="15" hidden="false" customHeight="false" outlineLevel="0" collapsed="false">
      <c r="A12" s="5" t="n">
        <f aca="false">DEMAND_MODEL!A12</f>
        <v>11</v>
      </c>
      <c r="B12" s="5" t="n">
        <f aca="false">DEMAND_MODEL!B12</f>
        <v>19689</v>
      </c>
      <c r="C12" s="5" t="str">
        <f aca="false">DEMAND_MODEL!C12</f>
        <v>CAKE CUPCAKE BLACKOUT 8X4UN</v>
      </c>
      <c r="D12" s="5" t="str">
        <f aca="false">DEMAND_MODEL!G12</f>
        <v>Medium</v>
      </c>
      <c r="E12" s="5" t="n">
        <f aca="false">DEMAND_MODEL!K12</f>
        <v>0.142857142857143</v>
      </c>
      <c r="F12" s="5" t="n">
        <f aca="false">DEMAND_MODEL!L12</f>
        <v>0.142857142857143</v>
      </c>
      <c r="G12" s="5" t="n">
        <f aca="false">IFERROR(VLOOKUP(D12,SETTINGS!A14:B16,2,FALSE()),14)</f>
        <v>14</v>
      </c>
      <c r="H12" s="5" t="n">
        <f aca="false">E12*(LeadTime+ReorderCycle+SafetyDays)</f>
        <v>1.85714285714286</v>
      </c>
      <c r="I12" s="5" t="n">
        <f aca="false">F12*(LeadTime+ReorderCycle+SafetyDays)</f>
        <v>1.85714285714286</v>
      </c>
      <c r="J12" s="5" t="n">
        <f aca="false">IF(D12="Slow",MIN(H12,SlowMoverCap),H12)</f>
        <v>1.85714285714286</v>
      </c>
      <c r="K12" s="5" t="n">
        <f aca="false">IF(D12="Slow",MIN(I12,SlowMoverCap),I12)</f>
        <v>1.85714285714286</v>
      </c>
    </row>
    <row r="13" customFormat="false" ht="15" hidden="false" customHeight="false" outlineLevel="0" collapsed="false">
      <c r="A13" s="5" t="n">
        <f aca="false">DEMAND_MODEL!A13</f>
        <v>12</v>
      </c>
      <c r="B13" s="5" t="n">
        <f aca="false">DEMAND_MODEL!B13</f>
        <v>19692</v>
      </c>
      <c r="C13" s="5" t="str">
        <f aca="false">DEMAND_MODEL!C13</f>
        <v>CAKE CUPCAKE RED VELVET 8X4UN</v>
      </c>
      <c r="D13" s="5" t="str">
        <f aca="false">DEMAND_MODEL!G13</f>
        <v>Medium</v>
      </c>
      <c r="E13" s="5" t="n">
        <f aca="false">DEMAND_MODEL!K13</f>
        <v>0.285714285714286</v>
      </c>
      <c r="F13" s="5" t="n">
        <f aca="false">DEMAND_MODEL!L13</f>
        <v>0.142857142857143</v>
      </c>
      <c r="G13" s="5" t="n">
        <f aca="false">IFERROR(VLOOKUP(D13,SETTINGS!A14:B16,2,FALSE()),14)</f>
        <v>14</v>
      </c>
      <c r="H13" s="5" t="n">
        <f aca="false">E13*(LeadTime+ReorderCycle+SafetyDays)</f>
        <v>3.71428571428571</v>
      </c>
      <c r="I13" s="5" t="n">
        <f aca="false">F13*(LeadTime+ReorderCycle+SafetyDays)</f>
        <v>1.85714285714286</v>
      </c>
      <c r="J13" s="5" t="n">
        <f aca="false">IF(D13="Slow",MIN(H13,SlowMoverCap),H13)</f>
        <v>3.71428571428571</v>
      </c>
      <c r="K13" s="5" t="n">
        <f aca="false">IF(D13="Slow",MIN(I13,SlowMoverCap),I13)</f>
        <v>1.85714285714286</v>
      </c>
    </row>
    <row r="14" customFormat="false" ht="15" hidden="false" customHeight="false" outlineLevel="0" collapsed="false">
      <c r="A14" s="5" t="n">
        <f aca="false">DEMAND_MODEL!A14</f>
        <v>13</v>
      </c>
      <c r="B14" s="5" t="n">
        <f aca="false">DEMAND_MODEL!B14</f>
        <v>19693</v>
      </c>
      <c r="C14" s="5" t="str">
        <f aca="false">DEMAND_MODEL!C14</f>
        <v>CAKE CUPCAKE VANILLA BEAN 8X4UN</v>
      </c>
      <c r="D14" s="5" t="str">
        <f aca="false">DEMAND_MODEL!G14</f>
        <v>Medium</v>
      </c>
      <c r="E14" s="5" t="n">
        <f aca="false">DEMAND_MODEL!K14</f>
        <v>0.142857142857143</v>
      </c>
      <c r="F14" s="5" t="n">
        <f aca="false">DEMAND_MODEL!L14</f>
        <v>0.285714285714286</v>
      </c>
      <c r="G14" s="5" t="n">
        <f aca="false">IFERROR(VLOOKUP(D14,SETTINGS!A14:B16,2,FALSE()),14)</f>
        <v>14</v>
      </c>
      <c r="H14" s="5" t="n">
        <f aca="false">E14*(LeadTime+ReorderCycle+SafetyDays)</f>
        <v>1.85714285714286</v>
      </c>
      <c r="I14" s="5" t="n">
        <f aca="false">F14*(LeadTime+ReorderCycle+SafetyDays)</f>
        <v>3.71428571428571</v>
      </c>
      <c r="J14" s="5" t="n">
        <f aca="false">IF(D14="Slow",MIN(H14,SlowMoverCap),H14)</f>
        <v>1.85714285714286</v>
      </c>
      <c r="K14" s="5" t="n">
        <f aca="false">IF(D14="Slow",MIN(I14,SlowMoverCap),I14)</f>
        <v>3.71428571428571</v>
      </c>
    </row>
    <row r="15" customFormat="false" ht="15" hidden="false" customHeight="false" outlineLevel="0" collapsed="false">
      <c r="A15" s="5" t="n">
        <f aca="false">DEMAND_MODEL!A15</f>
        <v>14</v>
      </c>
      <c r="B15" s="5" t="n">
        <f aca="false">DEMAND_MODEL!B15</f>
        <v>19688</v>
      </c>
      <c r="C15" s="5" t="str">
        <f aca="false">DEMAND_MODEL!C15</f>
        <v>CAKE CHEESE ORIGINAL 6X6"</v>
      </c>
      <c r="D15" s="5" t="str">
        <f aca="false">DEMAND_MODEL!G15</f>
        <v>Medium</v>
      </c>
      <c r="E15" s="5" t="n">
        <f aca="false">DEMAND_MODEL!K15</f>
        <v>0.142857142857143</v>
      </c>
      <c r="F15" s="5" t="n">
        <f aca="false">DEMAND_MODEL!L15</f>
        <v>0.285714285714286</v>
      </c>
      <c r="G15" s="5" t="n">
        <f aca="false">IFERROR(VLOOKUP(D15,SETTINGS!A14:B16,2,FALSE()),14)</f>
        <v>14</v>
      </c>
      <c r="H15" s="5" t="n">
        <f aca="false">E15*(LeadTime+ReorderCycle+SafetyDays)</f>
        <v>1.85714285714286</v>
      </c>
      <c r="I15" s="5" t="n">
        <f aca="false">F15*(LeadTime+ReorderCycle+SafetyDays)</f>
        <v>3.71428571428571</v>
      </c>
      <c r="J15" s="5" t="n">
        <f aca="false">IF(D15="Slow",MIN(H15,SlowMoverCap),H15)</f>
        <v>1.85714285714286</v>
      </c>
      <c r="K15" s="5" t="n">
        <f aca="false">IF(D15="Slow",MIN(I15,SlowMoverCap),I15)</f>
        <v>3.71428571428571</v>
      </c>
    </row>
    <row r="16" customFormat="false" ht="15" hidden="false" customHeight="false" outlineLevel="0" collapsed="false">
      <c r="A16" s="5" t="n">
        <f aca="false">DEMAND_MODEL!A16</f>
        <v>15</v>
      </c>
      <c r="B16" s="5" t="n">
        <f aca="false">DEMAND_MODEL!B16</f>
        <v>19687</v>
      </c>
      <c r="C16" s="5" t="str">
        <f aca="false">DEMAND_MODEL!C16</f>
        <v>CAKE CHEESE WHT CHOC/RASP 6X6"</v>
      </c>
      <c r="D16" s="5" t="str">
        <f aca="false">DEMAND_MODEL!G16</f>
        <v>Medium</v>
      </c>
      <c r="E16" s="5" t="n">
        <f aca="false">DEMAND_MODEL!K16</f>
        <v>0.428571428571429</v>
      </c>
      <c r="F16" s="5" t="n">
        <f aca="false">DEMAND_MODEL!L16</f>
        <v>0.285714285714286</v>
      </c>
      <c r="G16" s="5" t="n">
        <f aca="false">IFERROR(VLOOKUP(D16,SETTINGS!A14:B16,2,FALSE()),14)</f>
        <v>14</v>
      </c>
      <c r="H16" s="5" t="n">
        <f aca="false">E16*(LeadTime+ReorderCycle+SafetyDays)</f>
        <v>5.57142857142857</v>
      </c>
      <c r="I16" s="5" t="n">
        <f aca="false">F16*(LeadTime+ReorderCycle+SafetyDays)</f>
        <v>3.71428571428571</v>
      </c>
      <c r="J16" s="5" t="n">
        <f aca="false">IF(D16="Slow",MIN(H16,SlowMoverCap),H16)</f>
        <v>5.57142857142857</v>
      </c>
      <c r="K16" s="5" t="n">
        <f aca="false">IF(D16="Slow",MIN(I16,SlowMoverCap),I16)</f>
        <v>3.71428571428571</v>
      </c>
    </row>
    <row r="17" customFormat="false" ht="15" hidden="false" customHeight="false" outlineLevel="0" collapsed="false">
      <c r="A17" s="5" t="n">
        <f aca="false">DEMAND_MODEL!A17</f>
        <v>16</v>
      </c>
      <c r="B17" s="5" t="n">
        <f aca="false">DEMAND_MODEL!B17</f>
        <v>19685</v>
      </c>
      <c r="C17" s="5" t="str">
        <f aca="false">DEMAND_MODEL!C17</f>
        <v>CAKE CHEESE CHOC MOUSSE 6X6"</v>
      </c>
      <c r="D17" s="5" t="str">
        <f aca="false">DEMAND_MODEL!G17</f>
        <v>Medium</v>
      </c>
      <c r="E17" s="5" t="n">
        <f aca="false">DEMAND_MODEL!K17</f>
        <v>0.142857142857143</v>
      </c>
      <c r="F17" s="5" t="n">
        <f aca="false">DEMAND_MODEL!L17</f>
        <v>0.142857142857143</v>
      </c>
      <c r="G17" s="5" t="n">
        <f aca="false">IFERROR(VLOOKUP(D17,SETTINGS!A14:B16,2,FALSE()),14)</f>
        <v>14</v>
      </c>
      <c r="H17" s="5" t="n">
        <f aca="false">E17*(LeadTime+ReorderCycle+SafetyDays)</f>
        <v>1.85714285714286</v>
      </c>
      <c r="I17" s="5" t="n">
        <f aca="false">F17*(LeadTime+ReorderCycle+SafetyDays)</f>
        <v>1.85714285714286</v>
      </c>
      <c r="J17" s="5" t="n">
        <f aca="false">IF(D17="Slow",MIN(H17,SlowMoverCap),H17)</f>
        <v>1.85714285714286</v>
      </c>
      <c r="K17" s="5" t="n">
        <f aca="false">IF(D17="Slow",MIN(I17,SlowMoverCap),I17)</f>
        <v>1.85714285714286</v>
      </c>
    </row>
    <row r="18" customFormat="false" ht="15" hidden="false" customHeight="false" outlineLevel="0" collapsed="false">
      <c r="A18" s="5" t="n">
        <f aca="false">DEMAND_MODEL!A18</f>
        <v>17</v>
      </c>
      <c r="B18" s="5" t="n">
        <f aca="false">DEMAND_MODEL!B18</f>
        <v>19628</v>
      </c>
      <c r="C18" s="5" t="str">
        <f aca="false">DEMAND_MODEL!C18</f>
        <v>CAKE CHEESE CAKE FACTORY 2X14UN</v>
      </c>
      <c r="D18" s="5" t="str">
        <f aca="false">DEMAND_MODEL!G18</f>
        <v>Medium</v>
      </c>
      <c r="E18" s="5" t="n">
        <f aca="false">DEMAND_MODEL!K18</f>
        <v>0.285714285714286</v>
      </c>
      <c r="F18" s="5" t="n">
        <f aca="false">DEMAND_MODEL!L18</f>
        <v>0.142857142857143</v>
      </c>
      <c r="G18" s="5" t="n">
        <f aca="false">IFERROR(VLOOKUP(D18,SETTINGS!A14:B16,2,FALSE()),14)</f>
        <v>14</v>
      </c>
      <c r="H18" s="5" t="n">
        <f aca="false">E18*(LeadTime+ReorderCycle+SafetyDays)</f>
        <v>3.71428571428571</v>
      </c>
      <c r="I18" s="5" t="n">
        <f aca="false">F18*(LeadTime+ReorderCycle+SafetyDays)</f>
        <v>1.85714285714286</v>
      </c>
      <c r="J18" s="5" t="n">
        <f aca="false">IF(D18="Slow",MIN(H18,SlowMoverCap),H18)</f>
        <v>3.71428571428571</v>
      </c>
      <c r="K18" s="5" t="n">
        <f aca="false">IF(D18="Slow",MIN(I18,SlowMoverCap),I18)</f>
        <v>1.85714285714286</v>
      </c>
    </row>
    <row r="19" customFormat="false" ht="15" hidden="false" customHeight="false" outlineLevel="0" collapsed="false">
      <c r="A19" s="5" t="n">
        <f aca="false">DEMAND_MODEL!A19</f>
        <v>18</v>
      </c>
      <c r="B19" s="5" t="n">
        <f aca="false">DEMAND_MODEL!B19</f>
        <v>16992</v>
      </c>
      <c r="C19" s="5" t="str">
        <f aca="false">DEMAND_MODEL!C19</f>
        <v>CAKE CHEESE MANGO LIME X2</v>
      </c>
      <c r="D19" s="5" t="str">
        <f aca="false">DEMAND_MODEL!G19</f>
        <v>Medium</v>
      </c>
      <c r="E19" s="5" t="n">
        <f aca="false">DEMAND_MODEL!K19</f>
        <v>0.142857142857143</v>
      </c>
      <c r="F19" s="5" t="n">
        <f aca="false">DEMAND_MODEL!L19</f>
        <v>0.285714285714286</v>
      </c>
      <c r="G19" s="5" t="n">
        <f aca="false">IFERROR(VLOOKUP(D19,SETTINGS!A14:B16,2,FALSE()),14)</f>
        <v>14</v>
      </c>
      <c r="H19" s="5" t="n">
        <f aca="false">E19*(LeadTime+ReorderCycle+SafetyDays)</f>
        <v>1.85714285714286</v>
      </c>
      <c r="I19" s="5" t="n">
        <f aca="false">F19*(LeadTime+ReorderCycle+SafetyDays)</f>
        <v>3.71428571428571</v>
      </c>
      <c r="J19" s="5" t="n">
        <f aca="false">IF(D19="Slow",MIN(H19,SlowMoverCap),H19)</f>
        <v>1.85714285714286</v>
      </c>
      <c r="K19" s="5" t="n">
        <f aca="false">IF(D19="Slow",MIN(I19,SlowMoverCap),I19)</f>
        <v>3.71428571428571</v>
      </c>
    </row>
    <row r="20" customFormat="false" ht="15" hidden="false" customHeight="false" outlineLevel="0" collapsed="false">
      <c r="A20" s="5" t="n">
        <f aca="false">DEMAND_MODEL!A20</f>
        <v>19</v>
      </c>
      <c r="B20" s="5" t="n">
        <f aca="false">DEMAND_MODEL!B20</f>
        <v>16995</v>
      </c>
      <c r="C20" s="5" t="str">
        <f aca="false">DEMAND_MODEL!C20</f>
        <v>CAKE CHEESE CINNABON X2</v>
      </c>
      <c r="D20" s="5" t="str">
        <f aca="false">DEMAND_MODEL!G20</f>
        <v>Medium</v>
      </c>
      <c r="E20" s="5" t="n">
        <f aca="false">DEMAND_MODEL!K20</f>
        <v>0.142857142857143</v>
      </c>
      <c r="F20" s="5" t="n">
        <f aca="false">DEMAND_MODEL!L20</f>
        <v>0.285714285714286</v>
      </c>
      <c r="G20" s="5" t="n">
        <f aca="false">IFERROR(VLOOKUP(D20,SETTINGS!A14:B16,2,FALSE()),14)</f>
        <v>14</v>
      </c>
      <c r="H20" s="5" t="n">
        <f aca="false">E20*(LeadTime+ReorderCycle+SafetyDays)</f>
        <v>1.85714285714286</v>
      </c>
      <c r="I20" s="5" t="n">
        <f aca="false">F20*(LeadTime+ReorderCycle+SafetyDays)</f>
        <v>3.71428571428571</v>
      </c>
      <c r="J20" s="5" t="n">
        <f aca="false">IF(D20="Slow",MIN(H20,SlowMoverCap),H20)</f>
        <v>1.85714285714286</v>
      </c>
      <c r="K20" s="5" t="n">
        <f aca="false">IF(D20="Slow",MIN(I20,SlowMoverCap),I20)</f>
        <v>3.71428571428571</v>
      </c>
    </row>
    <row r="21" customFormat="false" ht="15" hidden="false" customHeight="false" outlineLevel="0" collapsed="false">
      <c r="A21" s="5" t="n">
        <f aca="false">DEMAND_MODEL!A21</f>
        <v>20</v>
      </c>
      <c r="B21" s="5" t="n">
        <f aca="false">DEMAND_MODEL!B21</f>
        <v>19629</v>
      </c>
      <c r="C21" s="5" t="str">
        <f aca="false">DEMAND_MODEL!C21</f>
        <v>CAKE GODIVA DBL CHOC CHEESE 2X28PC</v>
      </c>
      <c r="D21" s="5" t="str">
        <f aca="false">DEMAND_MODEL!G21</f>
        <v>Medium</v>
      </c>
      <c r="E21" s="5" t="n">
        <f aca="false">DEMAND_MODEL!K21</f>
        <v>0.142857142857143</v>
      </c>
      <c r="F21" s="5" t="n">
        <f aca="false">DEMAND_MODEL!L21</f>
        <v>0.285714285714286</v>
      </c>
      <c r="G21" s="5" t="n">
        <f aca="false">IFERROR(VLOOKUP(D21,SETTINGS!A14:B16,2,FALSE()),14)</f>
        <v>14</v>
      </c>
      <c r="H21" s="5" t="n">
        <f aca="false">E21*(LeadTime+ReorderCycle+SafetyDays)</f>
        <v>1.85714285714286</v>
      </c>
      <c r="I21" s="5" t="n">
        <f aca="false">F21*(LeadTime+ReorderCycle+SafetyDays)</f>
        <v>3.71428571428571</v>
      </c>
      <c r="J21" s="5" t="n">
        <f aca="false">IF(D21="Slow",MIN(H21,SlowMoverCap),H21)</f>
        <v>1.85714285714286</v>
      </c>
      <c r="K21" s="5" t="n">
        <f aca="false">IF(D21="Slow",MIN(I21,SlowMoverCap),I21)</f>
        <v>3.71428571428571</v>
      </c>
    </row>
    <row r="22" customFormat="false" ht="15" hidden="false" customHeight="false" outlineLevel="0" collapsed="false">
      <c r="A22" s="5" t="n">
        <f aca="false">DEMAND_MODEL!A22</f>
        <v>21</v>
      </c>
      <c r="B22" s="5" t="n">
        <f aca="false">DEMAND_MODEL!B22</f>
        <v>16993</v>
      </c>
      <c r="C22" s="5" t="str">
        <f aca="false">DEMAND_MODEL!C22</f>
        <v>CAKE CHEESE OREO X2</v>
      </c>
      <c r="D22" s="5" t="str">
        <f aca="false">DEMAND_MODEL!G22</f>
        <v>Medium</v>
      </c>
      <c r="E22" s="5" t="n">
        <f aca="false">DEMAND_MODEL!K22</f>
        <v>0.285714285714286</v>
      </c>
      <c r="F22" s="5" t="n">
        <f aca="false">DEMAND_MODEL!L22</f>
        <v>0.285714285714286</v>
      </c>
      <c r="G22" s="5" t="n">
        <f aca="false">IFERROR(VLOOKUP(D22,SETTINGS!A14:B16,2,FALSE()),14)</f>
        <v>14</v>
      </c>
      <c r="H22" s="5" t="n">
        <f aca="false">E22*(LeadTime+ReorderCycle+SafetyDays)</f>
        <v>3.71428571428571</v>
      </c>
      <c r="I22" s="5" t="n">
        <f aca="false">F22*(LeadTime+ReorderCycle+SafetyDays)</f>
        <v>3.71428571428571</v>
      </c>
      <c r="J22" s="5" t="n">
        <f aca="false">IF(D22="Slow",MIN(H22,SlowMoverCap),H22)</f>
        <v>3.71428571428571</v>
      </c>
      <c r="K22" s="5" t="n">
        <f aca="false">IF(D22="Slow",MIN(I22,SlowMoverCap),I22)</f>
        <v>3.71428571428571</v>
      </c>
    </row>
    <row r="23" customFormat="false" ht="15" hidden="false" customHeight="false" outlineLevel="0" collapsed="false">
      <c r="A23" s="5" t="n">
        <f aca="false">DEMAND_MODEL!A23</f>
        <v>22</v>
      </c>
      <c r="B23" s="5" t="n">
        <f aca="false">DEMAND_MODEL!B23</f>
        <v>16988</v>
      </c>
      <c r="C23" s="5" t="str">
        <f aca="false">DEMAND_MODEL!C23</f>
        <v>CAKE CHEESE BANANA FOSTER X2</v>
      </c>
      <c r="D23" s="5" t="str">
        <f aca="false">DEMAND_MODEL!G23</f>
        <v>Medium</v>
      </c>
      <c r="E23" s="5" t="n">
        <f aca="false">DEMAND_MODEL!K23</f>
        <v>0.428571428571429</v>
      </c>
      <c r="F23" s="5" t="n">
        <f aca="false">DEMAND_MODEL!L23</f>
        <v>0.142857142857143</v>
      </c>
      <c r="G23" s="5" t="n">
        <f aca="false">IFERROR(VLOOKUP(D23,SETTINGS!A14:B16,2,FALSE()),14)</f>
        <v>14</v>
      </c>
      <c r="H23" s="5" t="n">
        <f aca="false">E23*(LeadTime+ReorderCycle+SafetyDays)</f>
        <v>5.57142857142857</v>
      </c>
      <c r="I23" s="5" t="n">
        <f aca="false">F23*(LeadTime+ReorderCycle+SafetyDays)</f>
        <v>1.85714285714286</v>
      </c>
      <c r="J23" s="5" t="n">
        <f aca="false">IF(D23="Slow",MIN(H23,SlowMoverCap),H23)</f>
        <v>5.57142857142857</v>
      </c>
      <c r="K23" s="5" t="n">
        <f aca="false">IF(D23="Slow",MIN(I23,SlowMoverCap),I23)</f>
        <v>1.85714285714286</v>
      </c>
    </row>
    <row r="24" customFormat="false" ht="15" hidden="false" customHeight="false" outlineLevel="0" collapsed="false">
      <c r="A24" s="5" t="n">
        <f aca="false">DEMAND_MODEL!A24</f>
        <v>23</v>
      </c>
      <c r="B24" s="5" t="n">
        <f aca="false">DEMAND_MODEL!B24</f>
        <v>16987</v>
      </c>
      <c r="C24" s="5" t="str">
        <f aca="false">DEMAND_MODEL!C24</f>
        <v>CAKE CHEESE WILD STRWBERRY X2</v>
      </c>
      <c r="D24" s="5" t="str">
        <f aca="false">DEMAND_MODEL!G24</f>
        <v>Medium</v>
      </c>
      <c r="E24" s="5" t="n">
        <f aca="false">DEMAND_MODEL!K24</f>
        <v>0.142857142857143</v>
      </c>
      <c r="F24" s="5" t="n">
        <f aca="false">DEMAND_MODEL!L24</f>
        <v>0.285714285714286</v>
      </c>
      <c r="G24" s="5" t="n">
        <f aca="false">IFERROR(VLOOKUP(D24,SETTINGS!A14:B16,2,FALSE()),14)</f>
        <v>14</v>
      </c>
      <c r="H24" s="5" t="n">
        <f aca="false">E24*(LeadTime+ReorderCycle+SafetyDays)</f>
        <v>1.85714285714286</v>
      </c>
      <c r="I24" s="5" t="n">
        <f aca="false">F24*(LeadTime+ReorderCycle+SafetyDays)</f>
        <v>3.71428571428571</v>
      </c>
      <c r="J24" s="5" t="n">
        <f aca="false">IF(D24="Slow",MIN(H24,SlowMoverCap),H24)</f>
        <v>1.85714285714286</v>
      </c>
      <c r="K24" s="5" t="n">
        <f aca="false">IF(D24="Slow",MIN(I24,SlowMoverCap),I24)</f>
        <v>3.71428571428571</v>
      </c>
    </row>
    <row r="25" customFormat="false" ht="15" hidden="false" customHeight="false" outlineLevel="0" collapsed="false">
      <c r="A25" s="5" t="n">
        <f aca="false">DEMAND_MODEL!A25</f>
        <v>24</v>
      </c>
      <c r="B25" s="5" t="n">
        <f aca="false">DEMAND_MODEL!B25</f>
        <v>16994</v>
      </c>
      <c r="C25" s="5" t="str">
        <f aca="false">DEMAND_MODEL!C25</f>
        <v>CAKE CHEESE DULCE DE LECHE X2</v>
      </c>
      <c r="D25" s="5" t="str">
        <f aca="false">DEMAND_MODEL!G25</f>
        <v>Medium</v>
      </c>
      <c r="E25" s="5" t="n">
        <f aca="false">DEMAND_MODEL!K25</f>
        <v>0.428571428571429</v>
      </c>
      <c r="F25" s="5" t="n">
        <f aca="false">DEMAND_MODEL!L25</f>
        <v>0.142857142857143</v>
      </c>
      <c r="G25" s="5" t="n">
        <f aca="false">IFERROR(VLOOKUP(D25,SETTINGS!A14:B16,2,FALSE()),14)</f>
        <v>14</v>
      </c>
      <c r="H25" s="5" t="n">
        <f aca="false">E25*(LeadTime+ReorderCycle+SafetyDays)</f>
        <v>5.57142857142857</v>
      </c>
      <c r="I25" s="5" t="n">
        <f aca="false">F25*(LeadTime+ReorderCycle+SafetyDays)</f>
        <v>1.85714285714286</v>
      </c>
      <c r="J25" s="5" t="n">
        <f aca="false">IF(D25="Slow",MIN(H25,SlowMoverCap),H25)</f>
        <v>5.57142857142857</v>
      </c>
      <c r="K25" s="5" t="n">
        <f aca="false">IF(D25="Slow",MIN(I25,SlowMoverCap),I25)</f>
        <v>1.85714285714286</v>
      </c>
    </row>
    <row r="26" customFormat="false" ht="15" hidden="false" customHeight="false" outlineLevel="0" collapsed="false">
      <c r="A26" s="5" t="n">
        <f aca="false">DEMAND_MODEL!A26</f>
        <v>25</v>
      </c>
      <c r="B26" s="5" t="n">
        <f aca="false">DEMAND_MODEL!B26</f>
        <v>19694</v>
      </c>
      <c r="C26" s="5" t="str">
        <f aca="false">DEMAND_MODEL!C26</f>
        <v>CAKE REESE P.BUTTER CHOC 2X28PC</v>
      </c>
      <c r="D26" s="5" t="str">
        <f aca="false">DEMAND_MODEL!G26</f>
        <v>Medium</v>
      </c>
      <c r="E26" s="5" t="n">
        <f aca="false">DEMAND_MODEL!K26</f>
        <v>0.142857142857143</v>
      </c>
      <c r="F26" s="5" t="n">
        <f aca="false">DEMAND_MODEL!L26</f>
        <v>0.142857142857143</v>
      </c>
      <c r="G26" s="5" t="n">
        <f aca="false">IFERROR(VLOOKUP(D26,SETTINGS!A14:B16,2,FALSE()),14)</f>
        <v>14</v>
      </c>
      <c r="H26" s="5" t="n">
        <f aca="false">E26*(LeadTime+ReorderCycle+SafetyDays)</f>
        <v>1.85714285714286</v>
      </c>
      <c r="I26" s="5" t="n">
        <f aca="false">F26*(LeadTime+ReorderCycle+SafetyDays)</f>
        <v>1.85714285714286</v>
      </c>
      <c r="J26" s="5" t="n">
        <f aca="false">IF(D26="Slow",MIN(H26,SlowMoverCap),H26)</f>
        <v>1.85714285714286</v>
      </c>
      <c r="K26" s="5" t="n">
        <f aca="false">IF(D26="Slow",MIN(I26,SlowMoverCap),I26)</f>
        <v>1.85714285714286</v>
      </c>
    </row>
    <row r="27" customFormat="false" ht="15" hidden="false" customHeight="false" outlineLevel="0" collapsed="false">
      <c r="A27" s="5" t="n">
        <f aca="false">DEMAND_MODEL!A27</f>
        <v>26</v>
      </c>
      <c r="B27" s="5" t="n">
        <f aca="false">DEMAND_MODEL!B27</f>
        <v>16991</v>
      </c>
      <c r="C27" s="5" t="str">
        <f aca="false">DEMAND_MODEL!C27</f>
        <v>CAKE CHEESE RED VELVET X2</v>
      </c>
      <c r="D27" s="5" t="str">
        <f aca="false">DEMAND_MODEL!G27</f>
        <v>Medium</v>
      </c>
      <c r="E27" s="5" t="n">
        <f aca="false">DEMAND_MODEL!K27</f>
        <v>0.428571428571429</v>
      </c>
      <c r="F27" s="5" t="n">
        <f aca="false">DEMAND_MODEL!L27</f>
        <v>0.285714285714286</v>
      </c>
      <c r="G27" s="5" t="n">
        <f aca="false">IFERROR(VLOOKUP(D27,SETTINGS!A14:B16,2,FALSE()),14)</f>
        <v>14</v>
      </c>
      <c r="H27" s="5" t="n">
        <f aca="false">E27*(LeadTime+ReorderCycle+SafetyDays)</f>
        <v>5.57142857142857</v>
      </c>
      <c r="I27" s="5" t="n">
        <f aca="false">F27*(LeadTime+ReorderCycle+SafetyDays)</f>
        <v>3.71428571428571</v>
      </c>
      <c r="J27" s="5" t="n">
        <f aca="false">IF(D27="Slow",MIN(H27,SlowMoverCap),H27)</f>
        <v>5.57142857142857</v>
      </c>
      <c r="K27" s="5" t="n">
        <f aca="false">IF(D27="Slow",MIN(I27,SlowMoverCap),I27)</f>
        <v>3.71428571428571</v>
      </c>
    </row>
    <row r="28" customFormat="false" ht="15" hidden="false" customHeight="false" outlineLevel="0" collapsed="false">
      <c r="A28" s="5" t="n">
        <f aca="false">DEMAND_MODEL!A28</f>
        <v>27</v>
      </c>
      <c r="B28" s="5" t="n">
        <f aca="false">DEMAND_MODEL!B28</f>
        <v>16989</v>
      </c>
      <c r="C28" s="5" t="str">
        <f aca="false">DEMAND_MODEL!C28</f>
        <v>CAKE CHEESE TUXEDO MOUSSE X2</v>
      </c>
      <c r="D28" s="5" t="str">
        <f aca="false">DEMAND_MODEL!G28</f>
        <v>Medium</v>
      </c>
      <c r="E28" s="5" t="n">
        <f aca="false">DEMAND_MODEL!K28</f>
        <v>0.142857142857143</v>
      </c>
      <c r="F28" s="5" t="n">
        <f aca="false">DEMAND_MODEL!L28</f>
        <v>0.142857142857143</v>
      </c>
      <c r="G28" s="5" t="n">
        <f aca="false">IFERROR(VLOOKUP(D28,SETTINGS!A14:B16,2,FALSE()),14)</f>
        <v>14</v>
      </c>
      <c r="H28" s="5" t="n">
        <f aca="false">E28*(LeadTime+ReorderCycle+SafetyDays)</f>
        <v>1.85714285714286</v>
      </c>
      <c r="I28" s="5" t="n">
        <f aca="false">F28*(LeadTime+ReorderCycle+SafetyDays)</f>
        <v>1.85714285714286</v>
      </c>
      <c r="J28" s="5" t="n">
        <f aca="false">IF(D28="Slow",MIN(H28,SlowMoverCap),H28)</f>
        <v>1.85714285714286</v>
      </c>
      <c r="K28" s="5" t="n">
        <f aca="false">IF(D28="Slow",MIN(I28,SlowMoverCap),I28)</f>
        <v>1.85714285714286</v>
      </c>
    </row>
    <row r="29" customFormat="false" ht="15" hidden="false" customHeight="false" outlineLevel="0" collapsed="false">
      <c r="A29" s="5" t="n">
        <f aca="false">DEMAND_MODEL!A29</f>
        <v>28</v>
      </c>
      <c r="B29" s="5" t="n">
        <f aca="false">DEMAND_MODEL!B29</f>
        <v>19630</v>
      </c>
      <c r="C29" s="5" t="str">
        <f aca="false">DEMAND_MODEL!C29</f>
        <v>CAKE WHITE CHOC RSPBRY CHEESE X2</v>
      </c>
      <c r="D29" s="5" t="str">
        <f aca="false">DEMAND_MODEL!G29</f>
        <v>Medium</v>
      </c>
      <c r="E29" s="5" t="n">
        <f aca="false">DEMAND_MODEL!K29</f>
        <v>0.428571428571429</v>
      </c>
      <c r="F29" s="5" t="n">
        <f aca="false">DEMAND_MODEL!L29</f>
        <v>0.142857142857143</v>
      </c>
      <c r="G29" s="5" t="n">
        <f aca="false">IFERROR(VLOOKUP(D29,SETTINGS!A14:B16,2,FALSE()),14)</f>
        <v>14</v>
      </c>
      <c r="H29" s="5" t="n">
        <f aca="false">E29*(LeadTime+ReorderCycle+SafetyDays)</f>
        <v>5.57142857142857</v>
      </c>
      <c r="I29" s="5" t="n">
        <f aca="false">F29*(LeadTime+ReorderCycle+SafetyDays)</f>
        <v>1.85714285714286</v>
      </c>
      <c r="J29" s="5" t="n">
        <f aca="false">IF(D29="Slow",MIN(H29,SlowMoverCap),H29)</f>
        <v>5.57142857142857</v>
      </c>
      <c r="K29" s="5" t="n">
        <f aca="false">IF(D29="Slow",MIN(I29,SlowMoverCap),I29)</f>
        <v>1.85714285714286</v>
      </c>
    </row>
    <row r="30" customFormat="false" ht="15" hidden="false" customHeight="false" outlineLevel="0" collapsed="false">
      <c r="A30" s="5" t="n">
        <f aca="false">DEMAND_MODEL!A30</f>
        <v>29</v>
      </c>
      <c r="B30" s="5" t="n">
        <f aca="false">DEMAND_MODEL!B30</f>
        <v>44985</v>
      </c>
      <c r="C30" s="5" t="str">
        <f aca="false">DEMAND_MODEL!C30</f>
        <v>BISC DOUGH OREO V-VIT0013V 5K</v>
      </c>
      <c r="D30" s="5" t="str">
        <f aca="false">DEMAND_MODEL!G30</f>
        <v>Fast</v>
      </c>
      <c r="E30" s="5" t="n">
        <f aca="false">DEMAND_MODEL!K30</f>
        <v>0.857142857142857</v>
      </c>
      <c r="F30" s="5" t="n">
        <f aca="false">DEMAND_MODEL!L30</f>
        <v>0.142857142857143</v>
      </c>
      <c r="G30" s="5" t="n">
        <f aca="false">IFERROR(VLOOKUP(D30,SETTINGS!A14:B16,2,FALSE()),14)</f>
        <v>21</v>
      </c>
      <c r="H30" s="5" t="n">
        <f aca="false">E30*(LeadTime+ReorderCycle+SafetyDays)</f>
        <v>11.1428571428571</v>
      </c>
      <c r="I30" s="5" t="n">
        <f aca="false">F30*(LeadTime+ReorderCycle+SafetyDays)</f>
        <v>1.85714285714286</v>
      </c>
      <c r="J30" s="5" t="n">
        <f aca="false">IF(D30="Slow",MIN(H30,SlowMoverCap),H30)</f>
        <v>11.1428571428571</v>
      </c>
      <c r="K30" s="5" t="n">
        <f aca="false">IF(D30="Slow",MIN(I30,SlowMoverCap),I30)</f>
        <v>1.85714285714286</v>
      </c>
    </row>
    <row r="31" customFormat="false" ht="15" hidden="false" customHeight="false" outlineLevel="0" collapsed="false">
      <c r="A31" s="5" t="n">
        <f aca="false">DEMAND_MODEL!A31</f>
        <v>30</v>
      </c>
      <c r="B31" s="5" t="n">
        <f aca="false">DEMAND_MODEL!B31</f>
        <v>44961</v>
      </c>
      <c r="C31" s="5" t="str">
        <f aca="false">DEMAND_MODEL!C31</f>
        <v>BISC DOUGH BLK CHOCO MED SWEET 5K</v>
      </c>
      <c r="D31" s="5" t="str">
        <f aca="false">DEMAND_MODEL!G31</f>
        <v>Fast</v>
      </c>
      <c r="E31" s="5" t="n">
        <f aca="false">DEMAND_MODEL!K31</f>
        <v>0.428571428571429</v>
      </c>
      <c r="F31" s="5" t="n">
        <f aca="false">DEMAND_MODEL!L31</f>
        <v>0.428571428571429</v>
      </c>
      <c r="G31" s="5" t="n">
        <f aca="false">IFERROR(VLOOKUP(D31,SETTINGS!A14:B16,2,FALSE()),14)</f>
        <v>21</v>
      </c>
      <c r="H31" s="5" t="n">
        <f aca="false">E31*(LeadTime+ReorderCycle+SafetyDays)</f>
        <v>5.57142857142857</v>
      </c>
      <c r="I31" s="5" t="n">
        <f aca="false">F31*(LeadTime+ReorderCycle+SafetyDays)</f>
        <v>5.57142857142857</v>
      </c>
      <c r="J31" s="5" t="n">
        <f aca="false">IF(D31="Slow",MIN(H31,SlowMoverCap),H31)</f>
        <v>5.57142857142857</v>
      </c>
      <c r="K31" s="5" t="n">
        <f aca="false">IF(D31="Slow",MIN(I31,SlowMoverCap),I31)</f>
        <v>5.57142857142857</v>
      </c>
    </row>
    <row r="32" customFormat="false" ht="15" hidden="false" customHeight="false" outlineLevel="0" collapsed="false">
      <c r="A32" s="5" t="n">
        <f aca="false">DEMAND_MODEL!A32</f>
        <v>31</v>
      </c>
      <c r="B32" s="5" t="n">
        <f aca="false">DEMAND_MODEL!B32</f>
        <v>44962</v>
      </c>
      <c r="C32" s="5" t="str">
        <f aca="false">DEMAND_MODEL!C32</f>
        <v>BISC DOUGH DBL CHOCO PAIL 5K</v>
      </c>
      <c r="D32" s="5" t="str">
        <f aca="false">DEMAND_MODEL!G32</f>
        <v>Fast</v>
      </c>
      <c r="E32" s="5" t="n">
        <f aca="false">DEMAND_MODEL!K32</f>
        <v>0.857142857142857</v>
      </c>
      <c r="F32" s="5" t="n">
        <f aca="false">DEMAND_MODEL!L32</f>
        <v>0.142857142857143</v>
      </c>
      <c r="G32" s="5" t="n">
        <f aca="false">IFERROR(VLOOKUP(D32,SETTINGS!A14:B16,2,FALSE()),14)</f>
        <v>21</v>
      </c>
      <c r="H32" s="5" t="n">
        <f aca="false">E32*(LeadTime+ReorderCycle+SafetyDays)</f>
        <v>11.1428571428571</v>
      </c>
      <c r="I32" s="5" t="n">
        <f aca="false">F32*(LeadTime+ReorderCycle+SafetyDays)</f>
        <v>1.85714285714286</v>
      </c>
      <c r="J32" s="5" t="n">
        <f aca="false">IF(D32="Slow",MIN(H32,SlowMoverCap),H32)</f>
        <v>11.1428571428571</v>
      </c>
      <c r="K32" s="5" t="n">
        <f aca="false">IF(D32="Slow",MIN(I32,SlowMoverCap),I32)</f>
        <v>1.85714285714286</v>
      </c>
    </row>
    <row r="33" customFormat="false" ht="15" hidden="false" customHeight="false" outlineLevel="0" collapsed="false">
      <c r="A33" s="5" t="n">
        <f aca="false">DEMAND_MODEL!A33</f>
        <v>32</v>
      </c>
      <c r="B33" s="5" t="n">
        <f aca="false">DEMAND_MODEL!B33</f>
        <v>63927</v>
      </c>
      <c r="C33" s="5" t="str">
        <f aca="false">DEMAND_MODEL!C33</f>
        <v>Bisc PUCK Dbl Choc 160x2oz</v>
      </c>
      <c r="D33" s="5" t="str">
        <f aca="false">DEMAND_MODEL!G33</f>
        <v>Fast</v>
      </c>
      <c r="E33" s="5" t="n">
        <f aca="false">DEMAND_MODEL!K33</f>
        <v>0.571428571428571</v>
      </c>
      <c r="F33" s="5" t="n">
        <f aca="false">DEMAND_MODEL!L33</f>
        <v>0.428571428571429</v>
      </c>
      <c r="G33" s="5" t="n">
        <f aca="false">IFERROR(VLOOKUP(D33,SETTINGS!A14:B16,2,FALSE()),14)</f>
        <v>21</v>
      </c>
      <c r="H33" s="5" t="n">
        <f aca="false">E33*(LeadTime+ReorderCycle+SafetyDays)</f>
        <v>7.42857142857143</v>
      </c>
      <c r="I33" s="5" t="n">
        <f aca="false">F33*(LeadTime+ReorderCycle+SafetyDays)</f>
        <v>5.57142857142857</v>
      </c>
      <c r="J33" s="5" t="n">
        <f aca="false">IF(D33="Slow",MIN(H33,SlowMoverCap),H33)</f>
        <v>7.42857142857143</v>
      </c>
      <c r="K33" s="5" t="n">
        <f aca="false">IF(D33="Slow",MIN(I33,SlowMoverCap),I33)</f>
        <v>5.57142857142857</v>
      </c>
    </row>
    <row r="34" customFormat="false" ht="15" hidden="false" customHeight="false" outlineLevel="0" collapsed="false">
      <c r="A34" s="5" t="n">
        <f aca="false">DEMAND_MODEL!A34</f>
        <v>33</v>
      </c>
      <c r="B34" s="5" t="n">
        <f aca="false">DEMAND_MODEL!B34</f>
        <v>64106</v>
      </c>
      <c r="C34" s="5" t="str">
        <f aca="false">DEMAND_MODEL!C34</f>
        <v>Bisc PUCK ChocBln/Maca 160x2oz</v>
      </c>
      <c r="D34" s="5" t="str">
        <f aca="false">DEMAND_MODEL!G34</f>
        <v>Fast</v>
      </c>
      <c r="E34" s="5" t="n">
        <f aca="false">DEMAND_MODEL!K34</f>
        <v>0.285714285714286</v>
      </c>
      <c r="F34" s="5" t="n">
        <f aca="false">DEMAND_MODEL!L34</f>
        <v>0.428571428571429</v>
      </c>
      <c r="G34" s="5" t="n">
        <f aca="false">IFERROR(VLOOKUP(D34,SETTINGS!A14:B16,2,FALSE()),14)</f>
        <v>21</v>
      </c>
      <c r="H34" s="5" t="n">
        <f aca="false">E34*(LeadTime+ReorderCycle+SafetyDays)</f>
        <v>3.71428571428571</v>
      </c>
      <c r="I34" s="5" t="n">
        <f aca="false">F34*(LeadTime+ReorderCycle+SafetyDays)</f>
        <v>5.57142857142857</v>
      </c>
      <c r="J34" s="5" t="n">
        <f aca="false">IF(D34="Slow",MIN(H34,SlowMoverCap),H34)</f>
        <v>3.71428571428571</v>
      </c>
      <c r="K34" s="5" t="n">
        <f aca="false">IF(D34="Slow",MIN(I34,SlowMoverCap),I34)</f>
        <v>5.57142857142857</v>
      </c>
    </row>
    <row r="35" customFormat="false" ht="15" hidden="false" customHeight="false" outlineLevel="0" collapsed="false">
      <c r="A35" s="5" t="n">
        <f aca="false">DEMAND_MODEL!A35</f>
        <v>34</v>
      </c>
      <c r="B35" s="5" t="n">
        <f aca="false">DEMAND_MODEL!B35</f>
        <v>63934</v>
      </c>
      <c r="C35" s="5" t="str">
        <f aca="false">DEMAND_MODEL!C35</f>
        <v>Bisc PUCK ChocChunk 160x2oz</v>
      </c>
      <c r="D35" s="5" t="str">
        <f aca="false">DEMAND_MODEL!G35</f>
        <v>Fast</v>
      </c>
      <c r="E35" s="5" t="n">
        <f aca="false">DEMAND_MODEL!K35</f>
        <v>0.428571428571429</v>
      </c>
      <c r="F35" s="5" t="n">
        <f aca="false">DEMAND_MODEL!L35</f>
        <v>0.428571428571429</v>
      </c>
      <c r="G35" s="5" t="n">
        <f aca="false">IFERROR(VLOOKUP(D35,SETTINGS!A14:B16,2,FALSE()),14)</f>
        <v>21</v>
      </c>
      <c r="H35" s="5" t="n">
        <f aca="false">E35*(LeadTime+ReorderCycle+SafetyDays)</f>
        <v>5.57142857142857</v>
      </c>
      <c r="I35" s="5" t="n">
        <f aca="false">F35*(LeadTime+ReorderCycle+SafetyDays)</f>
        <v>5.57142857142857</v>
      </c>
      <c r="J35" s="5" t="n">
        <f aca="false">IF(D35="Slow",MIN(H35,SlowMoverCap),H35)</f>
        <v>5.57142857142857</v>
      </c>
      <c r="K35" s="5" t="n">
        <f aca="false">IF(D35="Slow",MIN(I35,SlowMoverCap),I35)</f>
        <v>5.57142857142857</v>
      </c>
    </row>
    <row r="36" customFormat="false" ht="15" hidden="false" customHeight="false" outlineLevel="0" collapsed="false">
      <c r="A36" s="5" t="n">
        <f aca="false">DEMAND_MODEL!A36</f>
        <v>35</v>
      </c>
      <c r="B36" s="5" t="n">
        <f aca="false">DEMAND_MODEL!B36</f>
        <v>12596</v>
      </c>
      <c r="C36" s="5" t="str">
        <f aca="false">DEMAND_MODEL!C36</f>
        <v>MTY TREAT FOR DOGS 24UN</v>
      </c>
      <c r="D36" s="5" t="str">
        <f aca="false">DEMAND_MODEL!G36</f>
        <v>Fast</v>
      </c>
      <c r="E36" s="5" t="n">
        <f aca="false">DEMAND_MODEL!K36</f>
        <v>0.571428571428571</v>
      </c>
      <c r="F36" s="5" t="n">
        <f aca="false">DEMAND_MODEL!L36</f>
        <v>0.142857142857143</v>
      </c>
      <c r="G36" s="5" t="n">
        <f aca="false">IFERROR(VLOOKUP(D36,SETTINGS!A14:B16,2,FALSE()),14)</f>
        <v>21</v>
      </c>
      <c r="H36" s="5" t="n">
        <f aca="false">E36*(LeadTime+ReorderCycle+SafetyDays)</f>
        <v>7.42857142857143</v>
      </c>
      <c r="I36" s="5" t="n">
        <f aca="false">F36*(LeadTime+ReorderCycle+SafetyDays)</f>
        <v>1.85714285714286</v>
      </c>
      <c r="J36" s="5" t="n">
        <f aca="false">IF(D36="Slow",MIN(H36,SlowMoverCap),H36)</f>
        <v>7.42857142857143</v>
      </c>
      <c r="K36" s="5" t="n">
        <f aca="false">IF(D36="Slow",MIN(I36,SlowMoverCap),I36)</f>
        <v>1.85714285714286</v>
      </c>
    </row>
    <row r="37" customFormat="false" ht="15" hidden="false" customHeight="false" outlineLevel="0" collapsed="false">
      <c r="A37" s="5" t="n">
        <f aca="false">DEMAND_MODEL!A37</f>
        <v>36</v>
      </c>
      <c r="B37" s="5" t="n">
        <f aca="false">DEMAND_MODEL!B37</f>
        <v>48219</v>
      </c>
      <c r="C37" s="5" t="str">
        <f aca="false">DEMAND_MODEL!C37</f>
        <v>BISC LOTUS BISCOFF 10X250G</v>
      </c>
      <c r="D37" s="5" t="str">
        <f aca="false">DEMAND_MODEL!G37</f>
        <v>Fast</v>
      </c>
      <c r="E37" s="5" t="n">
        <f aca="false">DEMAND_MODEL!K37</f>
        <v>0.714285714285714</v>
      </c>
      <c r="F37" s="5" t="n">
        <f aca="false">DEMAND_MODEL!L37</f>
        <v>0.571428571428571</v>
      </c>
      <c r="G37" s="5" t="n">
        <f aca="false">IFERROR(VLOOKUP(D37,SETTINGS!A14:B16,2,FALSE()),14)</f>
        <v>21</v>
      </c>
      <c r="H37" s="5" t="n">
        <f aca="false">E37*(LeadTime+ReorderCycle+SafetyDays)</f>
        <v>9.28571428571429</v>
      </c>
      <c r="I37" s="5" t="n">
        <f aca="false">F37*(LeadTime+ReorderCycle+SafetyDays)</f>
        <v>7.42857142857143</v>
      </c>
      <c r="J37" s="5" t="n">
        <f aca="false">IF(D37="Slow",MIN(H37,SlowMoverCap),H37)</f>
        <v>9.28571428571429</v>
      </c>
      <c r="K37" s="5" t="n">
        <f aca="false">IF(D37="Slow",MIN(I37,SlowMoverCap),I37)</f>
        <v>7.42857142857143</v>
      </c>
    </row>
    <row r="38" customFormat="false" ht="15" hidden="false" customHeight="false" outlineLevel="0" collapsed="false">
      <c r="A38" s="5" t="n">
        <f aca="false">DEMAND_MODEL!A38</f>
        <v>37</v>
      </c>
      <c r="B38" s="5" t="n">
        <f aca="false">DEMAND_MODEL!B38</f>
        <v>39811</v>
      </c>
      <c r="C38" s="5" t="str">
        <f aca="false">DEMAND_MODEL!C38</f>
        <v>DONUT REGULAR 00726  140X28G</v>
      </c>
      <c r="D38" s="5" t="str">
        <f aca="false">DEMAND_MODEL!G38</f>
        <v>Medium</v>
      </c>
      <c r="E38" s="5" t="n">
        <f aca="false">DEMAND_MODEL!K38</f>
        <v>0.571428571428571</v>
      </c>
      <c r="F38" s="5" t="n">
        <f aca="false">DEMAND_MODEL!L38</f>
        <v>0.142857142857143</v>
      </c>
      <c r="G38" s="5" t="n">
        <f aca="false">IFERROR(VLOOKUP(D38,SETTINGS!A14:B16,2,FALSE()),14)</f>
        <v>14</v>
      </c>
      <c r="H38" s="5" t="n">
        <f aca="false">E38*(LeadTime+ReorderCycle+SafetyDays)</f>
        <v>7.42857142857143</v>
      </c>
      <c r="I38" s="5" t="n">
        <f aca="false">F38*(LeadTime+ReorderCycle+SafetyDays)</f>
        <v>1.85714285714286</v>
      </c>
      <c r="J38" s="5" t="n">
        <f aca="false">IF(D38="Slow",MIN(H38,SlowMoverCap),H38)</f>
        <v>7.42857142857143</v>
      </c>
      <c r="K38" s="5" t="n">
        <f aca="false">IF(D38="Slow",MIN(I38,SlowMoverCap),I38)</f>
        <v>1.85714285714286</v>
      </c>
    </row>
    <row r="39" customFormat="false" ht="15" hidden="false" customHeight="false" outlineLevel="0" collapsed="false">
      <c r="A39" s="5" t="n">
        <f aca="false">DEMAND_MODEL!A39</f>
        <v>38</v>
      </c>
      <c r="B39" s="5" t="n">
        <f aca="false">DEMAND_MODEL!B39</f>
        <v>43328</v>
      </c>
      <c r="C39" s="5" t="str">
        <f aca="false">DEMAND_MODEL!C39</f>
        <v>DONUT MINI VANILLA 2442 300X12G</v>
      </c>
      <c r="D39" s="5" t="str">
        <f aca="false">DEMAND_MODEL!G39</f>
        <v>Medium</v>
      </c>
      <c r="E39" s="5" t="n">
        <f aca="false">DEMAND_MODEL!K39</f>
        <v>0.428571428571429</v>
      </c>
      <c r="F39" s="5" t="n">
        <f aca="false">DEMAND_MODEL!L39</f>
        <v>0.428571428571429</v>
      </c>
      <c r="G39" s="5" t="n">
        <f aca="false">IFERROR(VLOOKUP(D39,SETTINGS!A14:B16,2,FALSE()),14)</f>
        <v>14</v>
      </c>
      <c r="H39" s="5" t="n">
        <f aca="false">E39*(LeadTime+ReorderCycle+SafetyDays)</f>
        <v>5.57142857142857</v>
      </c>
      <c r="I39" s="5" t="n">
        <f aca="false">F39*(LeadTime+ReorderCycle+SafetyDays)</f>
        <v>5.57142857142857</v>
      </c>
      <c r="J39" s="5" t="n">
        <f aca="false">IF(D39="Slow",MIN(H39,SlowMoverCap),H39)</f>
        <v>5.57142857142857</v>
      </c>
      <c r="K39" s="5" t="n">
        <f aca="false">IF(D39="Slow",MIN(I39,SlowMoverCap),I39)</f>
        <v>5.57142857142857</v>
      </c>
    </row>
    <row r="40" customFormat="false" ht="15" hidden="false" customHeight="false" outlineLevel="0" collapsed="false">
      <c r="A40" s="5" t="n">
        <f aca="false">DEMAND_MODEL!A40</f>
        <v>39</v>
      </c>
      <c r="B40" s="5" t="n">
        <f aca="false">DEMAND_MODEL!B40</f>
        <v>50170</v>
      </c>
      <c r="C40" s="5" t="str">
        <f aca="false">DEMAND_MODEL!C40</f>
        <v>MTY CHOC FF 3100051  5X1L</v>
      </c>
      <c r="D40" s="5" t="str">
        <f aca="false">DEMAND_MODEL!G40</f>
        <v>Medium</v>
      </c>
      <c r="E40" s="5" t="n">
        <f aca="false">DEMAND_MODEL!K40</f>
        <v>0.285714285714286</v>
      </c>
      <c r="F40" s="5" t="n">
        <f aca="false">DEMAND_MODEL!L40</f>
        <v>0.285714285714286</v>
      </c>
      <c r="G40" s="5" t="n">
        <f aca="false">IFERROR(VLOOKUP(D40,SETTINGS!A14:B16,2,FALSE()),14)</f>
        <v>14</v>
      </c>
      <c r="H40" s="5" t="n">
        <f aca="false">E40*(LeadTime+ReorderCycle+SafetyDays)</f>
        <v>3.71428571428571</v>
      </c>
      <c r="I40" s="5" t="n">
        <f aca="false">F40*(LeadTime+ReorderCycle+SafetyDays)</f>
        <v>3.71428571428571</v>
      </c>
      <c r="J40" s="5" t="n">
        <f aca="false">IF(D40="Slow",MIN(H40,SlowMoverCap),H40)</f>
        <v>3.71428571428571</v>
      </c>
      <c r="K40" s="5" t="n">
        <f aca="false">IF(D40="Slow",MIN(I40,SlowMoverCap),I40)</f>
        <v>3.71428571428571</v>
      </c>
    </row>
    <row r="41" customFormat="false" ht="15" hidden="false" customHeight="false" outlineLevel="0" collapsed="false">
      <c r="A41" s="5" t="n">
        <f aca="false">DEMAND_MODEL!A41</f>
        <v>40</v>
      </c>
      <c r="B41" s="5" t="n">
        <f aca="false">DEMAND_MODEL!B41</f>
        <v>50010</v>
      </c>
      <c r="C41" s="5" t="str">
        <f aca="false">DEMAND_MODEL!C41</f>
        <v>SCE CARAMEL REG MCL 5X1L</v>
      </c>
      <c r="D41" s="5" t="str">
        <f aca="false">DEMAND_MODEL!G41</f>
        <v>Medium</v>
      </c>
      <c r="E41" s="5" t="n">
        <f aca="false">DEMAND_MODEL!K41</f>
        <v>0.285714285714286</v>
      </c>
      <c r="F41" s="5" t="n">
        <f aca="false">DEMAND_MODEL!L41</f>
        <v>0.285714285714286</v>
      </c>
      <c r="G41" s="5" t="n">
        <f aca="false">IFERROR(VLOOKUP(D41,SETTINGS!A14:B16,2,FALSE()),14)</f>
        <v>14</v>
      </c>
      <c r="H41" s="5" t="n">
        <f aca="false">E41*(LeadTime+ReorderCycle+SafetyDays)</f>
        <v>3.71428571428571</v>
      </c>
      <c r="I41" s="5" t="n">
        <f aca="false">F41*(LeadTime+ReorderCycle+SafetyDays)</f>
        <v>3.71428571428571</v>
      </c>
      <c r="J41" s="5" t="n">
        <f aca="false">IF(D41="Slow",MIN(H41,SlowMoverCap),H41)</f>
        <v>3.71428571428571</v>
      </c>
      <c r="K41" s="5" t="n">
        <f aca="false">IF(D41="Slow",MIN(I41,SlowMoverCap),I41)</f>
        <v>3.71428571428571</v>
      </c>
    </row>
    <row r="42" customFormat="false" ht="15" hidden="false" customHeight="false" outlineLevel="0" collapsed="false">
      <c r="A42" s="5" t="n">
        <f aca="false">DEMAND_MODEL!A42</f>
        <v>41</v>
      </c>
      <c r="B42" s="5" t="n">
        <f aca="false">DEMAND_MODEL!B42</f>
        <v>50166</v>
      </c>
      <c r="C42" s="5" t="str">
        <f aca="false">DEMAND_MODEL!C42</f>
        <v>MTY fraise fr flow 10x1L</v>
      </c>
      <c r="D42" s="5" t="str">
        <f aca="false">DEMAND_MODEL!G42</f>
        <v>Medium</v>
      </c>
      <c r="E42" s="5" t="n">
        <f aca="false">DEMAND_MODEL!K42</f>
        <v>0.428571428571429</v>
      </c>
      <c r="F42" s="5" t="n">
        <f aca="false">DEMAND_MODEL!L42</f>
        <v>0.285714285714286</v>
      </c>
      <c r="G42" s="5" t="n">
        <f aca="false">IFERROR(VLOOKUP(D42,SETTINGS!A14:B16,2,FALSE()),14)</f>
        <v>14</v>
      </c>
      <c r="H42" s="5" t="n">
        <f aca="false">E42*(LeadTime+ReorderCycle+SafetyDays)</f>
        <v>5.57142857142857</v>
      </c>
      <c r="I42" s="5" t="n">
        <f aca="false">F42*(LeadTime+ReorderCycle+SafetyDays)</f>
        <v>3.71428571428571</v>
      </c>
      <c r="J42" s="5" t="n">
        <f aca="false">IF(D42="Slow",MIN(H42,SlowMoverCap),H42)</f>
        <v>5.57142857142857</v>
      </c>
      <c r="K42" s="5" t="n">
        <f aca="false">IF(D42="Slow",MIN(I42,SlowMoverCap),I42)</f>
        <v>3.71428571428571</v>
      </c>
    </row>
    <row r="43" customFormat="false" ht="15" hidden="false" customHeight="false" outlineLevel="0" collapsed="false">
      <c r="A43" s="5" t="n">
        <f aca="false">DEMAND_MODEL!A43</f>
        <v>42</v>
      </c>
      <c r="B43" s="5" t="n">
        <f aca="false">DEMAND_MODEL!B43</f>
        <v>19850</v>
      </c>
      <c r="C43" s="5" t="str">
        <f aca="false">DEMAND_MODEL!C43</f>
        <v>SPICE CINNAMON GRND 400G</v>
      </c>
      <c r="D43" s="5" t="str">
        <f aca="false">DEMAND_MODEL!G43</f>
        <v>Medium</v>
      </c>
      <c r="E43" s="5" t="n">
        <f aca="false">DEMAND_MODEL!K43</f>
        <v>0.428571428571429</v>
      </c>
      <c r="F43" s="5" t="n">
        <f aca="false">DEMAND_MODEL!L43</f>
        <v>0.285714285714286</v>
      </c>
      <c r="G43" s="5" t="n">
        <f aca="false">IFERROR(VLOOKUP(D43,SETTINGS!A14:B16,2,FALSE()),14)</f>
        <v>14</v>
      </c>
      <c r="H43" s="5" t="n">
        <f aca="false">E43*(LeadTime+ReorderCycle+SafetyDays)</f>
        <v>5.57142857142857</v>
      </c>
      <c r="I43" s="5" t="n">
        <f aca="false">F43*(LeadTime+ReorderCycle+SafetyDays)</f>
        <v>3.71428571428571</v>
      </c>
      <c r="J43" s="5" t="n">
        <f aca="false">IF(D43="Slow",MIN(H43,SlowMoverCap),H43)</f>
        <v>5.57142857142857</v>
      </c>
      <c r="K43" s="5" t="n">
        <f aca="false">IF(D43="Slow",MIN(I43,SlowMoverCap),I43)</f>
        <v>3.71428571428571</v>
      </c>
    </row>
    <row r="44" customFormat="false" ht="15" hidden="false" customHeight="false" outlineLevel="0" collapsed="false">
      <c r="A44" s="5" t="n">
        <f aca="false">DEMAND_MODEL!A44</f>
        <v>43</v>
      </c>
      <c r="B44" s="5" t="n">
        <f aca="false">DEMAND_MODEL!B44</f>
        <v>68587</v>
      </c>
      <c r="C44" s="5" t="str">
        <f aca="false">DEMAND_MODEL!C44</f>
        <v>SUGAR SPECIAL FINE K 1X2K</v>
      </c>
      <c r="D44" s="5" t="str">
        <f aca="false">DEMAND_MODEL!G44</f>
        <v>Medium</v>
      </c>
      <c r="E44" s="5" t="n">
        <f aca="false">DEMAND_MODEL!K44</f>
        <v>0.285714285714286</v>
      </c>
      <c r="F44" s="5" t="n">
        <f aca="false">DEMAND_MODEL!L44</f>
        <v>0.428571428571429</v>
      </c>
      <c r="G44" s="5" t="n">
        <f aca="false">IFERROR(VLOOKUP(D44,SETTINGS!A14:B16,2,FALSE()),14)</f>
        <v>14</v>
      </c>
      <c r="H44" s="5" t="n">
        <f aca="false">E44*(LeadTime+ReorderCycle+SafetyDays)</f>
        <v>3.71428571428571</v>
      </c>
      <c r="I44" s="5" t="n">
        <f aca="false">F44*(LeadTime+ReorderCycle+SafetyDays)</f>
        <v>5.57142857142857</v>
      </c>
      <c r="J44" s="5" t="n">
        <f aca="false">IF(D44="Slow",MIN(H44,SlowMoverCap),H44)</f>
        <v>3.71428571428571</v>
      </c>
      <c r="K44" s="5" t="n">
        <f aca="false">IF(D44="Slow",MIN(I44,SlowMoverCap),I44)</f>
        <v>5.57142857142857</v>
      </c>
    </row>
    <row r="45" customFormat="false" ht="15" hidden="false" customHeight="false" outlineLevel="0" collapsed="false">
      <c r="A45" s="5" t="n">
        <f aca="false">DEMAND_MODEL!A45</f>
        <v>44</v>
      </c>
      <c r="B45" s="5" t="n">
        <f aca="false">DEMAND_MODEL!B45</f>
        <v>65315</v>
      </c>
      <c r="C45" s="5" t="str">
        <f aca="false">DEMAND_MODEL!C45</f>
        <v>SUGAR ICING K 1X1K</v>
      </c>
      <c r="D45" s="5" t="str">
        <f aca="false">DEMAND_MODEL!G45</f>
        <v>Medium</v>
      </c>
      <c r="E45" s="5" t="n">
        <f aca="false">DEMAND_MODEL!K45</f>
        <v>0.142857142857143</v>
      </c>
      <c r="F45" s="5" t="n">
        <f aca="false">DEMAND_MODEL!L45</f>
        <v>0.285714285714286</v>
      </c>
      <c r="G45" s="5" t="n">
        <f aca="false">IFERROR(VLOOKUP(D45,SETTINGS!A14:B16,2,FALSE()),14)</f>
        <v>14</v>
      </c>
      <c r="H45" s="5" t="n">
        <f aca="false">E45*(LeadTime+ReorderCycle+SafetyDays)</f>
        <v>1.85714285714286</v>
      </c>
      <c r="I45" s="5" t="n">
        <f aca="false">F45*(LeadTime+ReorderCycle+SafetyDays)</f>
        <v>3.71428571428571</v>
      </c>
      <c r="J45" s="5" t="n">
        <f aca="false">IF(D45="Slow",MIN(H45,SlowMoverCap),H45)</f>
        <v>1.85714285714286</v>
      </c>
      <c r="K45" s="5" t="n">
        <f aca="false">IF(D45="Slow",MIN(I45,SlowMoverCap),I45)</f>
        <v>3.71428571428571</v>
      </c>
    </row>
    <row r="46" customFormat="false" ht="15" hidden="false" customHeight="false" outlineLevel="0" collapsed="false">
      <c r="A46" s="5" t="n">
        <f aca="false">DEMAND_MODEL!A46</f>
        <v>45</v>
      </c>
      <c r="B46" s="5" t="n">
        <f aca="false">DEMAND_MODEL!B46</f>
        <v>47526</v>
      </c>
      <c r="C46" s="5" t="str">
        <f aca="false">DEMAND_MODEL!C46</f>
        <v>CREPE DUTCH 105498 100X63G</v>
      </c>
      <c r="D46" s="5" t="str">
        <f aca="false">DEMAND_MODEL!G46</f>
        <v>Medium</v>
      </c>
      <c r="E46" s="5" t="n">
        <f aca="false">DEMAND_MODEL!K46</f>
        <v>0.285714285714286</v>
      </c>
      <c r="F46" s="5" t="n">
        <f aca="false">DEMAND_MODEL!L46</f>
        <v>0.285714285714286</v>
      </c>
      <c r="G46" s="5" t="n">
        <f aca="false">IFERROR(VLOOKUP(D46,SETTINGS!A14:B16,2,FALSE()),14)</f>
        <v>14</v>
      </c>
      <c r="H46" s="5" t="n">
        <f aca="false">E46*(LeadTime+ReorderCycle+SafetyDays)</f>
        <v>3.71428571428571</v>
      </c>
      <c r="I46" s="5" t="n">
        <f aca="false">F46*(LeadTime+ReorderCycle+SafetyDays)</f>
        <v>3.71428571428571</v>
      </c>
      <c r="J46" s="5" t="n">
        <f aca="false">IF(D46="Slow",MIN(H46,SlowMoverCap),H46)</f>
        <v>3.71428571428571</v>
      </c>
      <c r="K46" s="5" t="n">
        <f aca="false">IF(D46="Slow",MIN(I46,SlowMoverCap),I46)</f>
        <v>3.71428571428571</v>
      </c>
    </row>
    <row r="47" customFormat="false" ht="15" hidden="false" customHeight="false" outlineLevel="0" collapsed="false">
      <c r="A47" s="5" t="n">
        <f aca="false">DEMAND_MODEL!A47</f>
        <v>46</v>
      </c>
      <c r="B47" s="5" t="n">
        <f aca="false">DEMAND_MODEL!B47</f>
        <v>49632</v>
      </c>
      <c r="C47" s="5" t="str">
        <f aca="false">DEMAND_MODEL!C47</f>
        <v>WAFFLE BELGIAN VAN IND.WRAP 80X70G</v>
      </c>
      <c r="D47" s="5" t="str">
        <f aca="false">DEMAND_MODEL!G47</f>
        <v>Medium</v>
      </c>
      <c r="E47" s="5" t="n">
        <f aca="false">DEMAND_MODEL!K47</f>
        <v>0.428571428571429</v>
      </c>
      <c r="F47" s="5" t="n">
        <f aca="false">DEMAND_MODEL!L47</f>
        <v>0.428571428571429</v>
      </c>
      <c r="G47" s="5" t="n">
        <f aca="false">IFERROR(VLOOKUP(D47,SETTINGS!A14:B16,2,FALSE()),14)</f>
        <v>14</v>
      </c>
      <c r="H47" s="5" t="n">
        <f aca="false">E47*(LeadTime+ReorderCycle+SafetyDays)</f>
        <v>5.57142857142857</v>
      </c>
      <c r="I47" s="5" t="n">
        <f aca="false">F47*(LeadTime+ReorderCycle+SafetyDays)</f>
        <v>5.57142857142857</v>
      </c>
      <c r="J47" s="5" t="n">
        <f aca="false">IF(D47="Slow",MIN(H47,SlowMoverCap),H47)</f>
        <v>5.57142857142857</v>
      </c>
      <c r="K47" s="5" t="n">
        <f aca="false">IF(D47="Slow",MIN(I47,SlowMoverCap),I47)</f>
        <v>5.57142857142857</v>
      </c>
    </row>
    <row r="48" customFormat="false" ht="15" hidden="false" customHeight="false" outlineLevel="0" collapsed="false">
      <c r="A48" s="5" t="n">
        <f aca="false">DEMAND_MODEL!A48</f>
        <v>47</v>
      </c>
      <c r="B48" s="5" t="n">
        <f aca="false">DEMAND_MODEL!B48</f>
        <v>44967</v>
      </c>
      <c r="C48" s="5" t="str">
        <f aca="false">DEMAND_MODEL!C48</f>
        <v>CHOC FONDANT BKD V-FX956 32X105G</v>
      </c>
      <c r="D48" s="5" t="str">
        <f aca="false">DEMAND_MODEL!G48</f>
        <v>Medium</v>
      </c>
      <c r="E48" s="5" t="n">
        <f aca="false">DEMAND_MODEL!K48</f>
        <v>0.285714285714286</v>
      </c>
      <c r="F48" s="5" t="n">
        <f aca="false">DEMAND_MODEL!L48</f>
        <v>0.428571428571429</v>
      </c>
      <c r="G48" s="5" t="n">
        <f aca="false">IFERROR(VLOOKUP(D48,SETTINGS!A14:B16,2,FALSE()),14)</f>
        <v>14</v>
      </c>
      <c r="H48" s="5" t="n">
        <f aca="false">E48*(LeadTime+ReorderCycle+SafetyDays)</f>
        <v>3.71428571428571</v>
      </c>
      <c r="I48" s="5" t="n">
        <f aca="false">F48*(LeadTime+ReorderCycle+SafetyDays)</f>
        <v>5.57142857142857</v>
      </c>
      <c r="J48" s="5" t="n">
        <f aca="false">IF(D48="Slow",MIN(H48,SlowMoverCap),H48)</f>
        <v>3.71428571428571</v>
      </c>
      <c r="K48" s="5" t="n">
        <f aca="false">IF(D48="Slow",MIN(I48,SlowMoverCap),I48)</f>
        <v>5.57142857142857</v>
      </c>
    </row>
    <row r="49" customFormat="false" ht="15" hidden="false" customHeight="false" outlineLevel="0" collapsed="false">
      <c r="A49" s="5" t="n">
        <f aca="false">DEMAND_MODEL!A49</f>
        <v>48</v>
      </c>
      <c r="B49" s="5" t="n">
        <f aca="false">DEMAND_MODEL!B49</f>
        <v>33785</v>
      </c>
      <c r="C49" s="5" t="str">
        <f aca="false">DEMAND_MODEL!C49</f>
        <v>LADIP CAKE MARSHMELLOW C.DOUGH X2</v>
      </c>
      <c r="D49" s="5" t="str">
        <f aca="false">DEMAND_MODEL!G49</f>
        <v>Medium</v>
      </c>
      <c r="E49" s="5" t="n">
        <f aca="false">DEMAND_MODEL!K49</f>
        <v>0.428571428571429</v>
      </c>
      <c r="F49" s="5" t="n">
        <f aca="false">DEMAND_MODEL!L49</f>
        <v>0.285714285714286</v>
      </c>
      <c r="G49" s="5" t="n">
        <f aca="false">IFERROR(VLOOKUP(D49,SETTINGS!A14:B16,2,FALSE()),14)</f>
        <v>14</v>
      </c>
      <c r="H49" s="5" t="n">
        <f aca="false">E49*(LeadTime+ReorderCycle+SafetyDays)</f>
        <v>5.57142857142857</v>
      </c>
      <c r="I49" s="5" t="n">
        <f aca="false">F49*(LeadTime+ReorderCycle+SafetyDays)</f>
        <v>3.71428571428571</v>
      </c>
      <c r="J49" s="5" t="n">
        <f aca="false">IF(D49="Slow",MIN(H49,SlowMoverCap),H49)</f>
        <v>5.57142857142857</v>
      </c>
      <c r="K49" s="5" t="n">
        <f aca="false">IF(D49="Slow",MIN(I49,SlowMoverCap),I49)</f>
        <v>3.71428571428571</v>
      </c>
    </row>
    <row r="50" customFormat="false" ht="15" hidden="false" customHeight="false" outlineLevel="0" collapsed="false">
      <c r="A50" s="5" t="n">
        <f aca="false">DEMAND_MODEL!A50</f>
        <v>49</v>
      </c>
      <c r="B50" s="5" t="n">
        <f aca="false">DEMAND_MODEL!B50</f>
        <v>33784</v>
      </c>
      <c r="C50" s="5" t="str">
        <f aca="false">DEMAND_MODEL!C50</f>
        <v>LADIP CAKE CARNIVAL 10" X2</v>
      </c>
      <c r="D50" s="5" t="str">
        <f aca="false">DEMAND_MODEL!G50</f>
        <v>Medium</v>
      </c>
      <c r="E50" s="5" t="n">
        <f aca="false">DEMAND_MODEL!K50</f>
        <v>0.142857142857143</v>
      </c>
      <c r="F50" s="5" t="n">
        <f aca="false">DEMAND_MODEL!L50</f>
        <v>0.285714285714286</v>
      </c>
      <c r="G50" s="5" t="n">
        <f aca="false">IFERROR(VLOOKUP(D50,SETTINGS!A14:B16,2,FALSE()),14)</f>
        <v>14</v>
      </c>
      <c r="H50" s="5" t="n">
        <f aca="false">E50*(LeadTime+ReorderCycle+SafetyDays)</f>
        <v>1.85714285714286</v>
      </c>
      <c r="I50" s="5" t="n">
        <f aca="false">F50*(LeadTime+ReorderCycle+SafetyDays)</f>
        <v>3.71428571428571</v>
      </c>
      <c r="J50" s="5" t="n">
        <f aca="false">IF(D50="Slow",MIN(H50,SlowMoverCap),H50)</f>
        <v>1.85714285714286</v>
      </c>
      <c r="K50" s="5" t="n">
        <f aca="false">IF(D50="Slow",MIN(I50,SlowMoverCap),I50)</f>
        <v>3.71428571428571</v>
      </c>
    </row>
    <row r="51" customFormat="false" ht="15" hidden="false" customHeight="false" outlineLevel="0" collapsed="false">
      <c r="A51" s="5" t="n">
        <f aca="false">DEMAND_MODEL!A51</f>
        <v>50</v>
      </c>
      <c r="B51" s="5" t="n">
        <f aca="false">DEMAND_MODEL!B51</f>
        <v>33780</v>
      </c>
      <c r="C51" s="5" t="str">
        <f aca="false">DEMAND_MODEL!C51</f>
        <v>LADIP CAKE RAINBOW X2</v>
      </c>
      <c r="D51" s="5" t="str">
        <f aca="false">DEMAND_MODEL!G51</f>
        <v>Medium</v>
      </c>
      <c r="E51" s="5" t="n">
        <f aca="false">DEMAND_MODEL!K51</f>
        <v>0.285714285714286</v>
      </c>
      <c r="F51" s="5" t="n">
        <f aca="false">DEMAND_MODEL!L51</f>
        <v>0.142857142857143</v>
      </c>
      <c r="G51" s="5" t="n">
        <f aca="false">IFERROR(VLOOKUP(D51,SETTINGS!A14:B16,2,FALSE()),14)</f>
        <v>14</v>
      </c>
      <c r="H51" s="5" t="n">
        <f aca="false">E51*(LeadTime+ReorderCycle+SafetyDays)</f>
        <v>3.71428571428571</v>
      </c>
      <c r="I51" s="5" t="n">
        <f aca="false">F51*(LeadTime+ReorderCycle+SafetyDays)</f>
        <v>1.85714285714286</v>
      </c>
      <c r="J51" s="5" t="n">
        <f aca="false">IF(D51="Slow",MIN(H51,SlowMoverCap),H51)</f>
        <v>3.71428571428571</v>
      </c>
      <c r="K51" s="5" t="n">
        <f aca="false">IF(D51="Slow",MIN(I51,SlowMoverCap),I51)</f>
        <v>1.85714285714286</v>
      </c>
    </row>
    <row r="52" customFormat="false" ht="15" hidden="false" customHeight="false" outlineLevel="0" collapsed="false">
      <c r="A52" s="5" t="n">
        <f aca="false">DEMAND_MODEL!A52</f>
        <v>51</v>
      </c>
      <c r="B52" s="5" t="n">
        <f aca="false">DEMAND_MODEL!B52</f>
        <v>28983</v>
      </c>
      <c r="C52" s="5" t="str">
        <f aca="false">DEMAND_MODEL!C52</f>
        <v>BROWNIE PLAIN 10" 14PC X2</v>
      </c>
      <c r="D52" s="5" t="str">
        <f aca="false">DEMAND_MODEL!G52</f>
        <v>Medium</v>
      </c>
      <c r="E52" s="5" t="n">
        <f aca="false">DEMAND_MODEL!K52</f>
        <v>0.285714285714286</v>
      </c>
      <c r="F52" s="5" t="n">
        <f aca="false">DEMAND_MODEL!L52</f>
        <v>0.428571428571429</v>
      </c>
      <c r="G52" s="5" t="n">
        <f aca="false">IFERROR(VLOOKUP(D52,SETTINGS!A14:B16,2,FALSE()),14)</f>
        <v>14</v>
      </c>
      <c r="H52" s="5" t="n">
        <f aca="false">E52*(LeadTime+ReorderCycle+SafetyDays)</f>
        <v>3.71428571428571</v>
      </c>
      <c r="I52" s="5" t="n">
        <f aca="false">F52*(LeadTime+ReorderCycle+SafetyDays)</f>
        <v>5.57142857142857</v>
      </c>
      <c r="J52" s="5" t="n">
        <f aca="false">IF(D52="Slow",MIN(H52,SlowMoverCap),H52)</f>
        <v>3.71428571428571</v>
      </c>
      <c r="K52" s="5" t="n">
        <f aca="false">IF(D52="Slow",MIN(I52,SlowMoverCap),I52)</f>
        <v>5.57142857142857</v>
      </c>
    </row>
    <row r="53" customFormat="false" ht="15" hidden="false" customHeight="false" outlineLevel="0" collapsed="false">
      <c r="A53" s="5" t="n">
        <f aca="false">DEMAND_MODEL!A53</f>
        <v>52</v>
      </c>
      <c r="B53" s="5" t="n">
        <f aca="false">DEMAND_MODEL!B53</f>
        <v>28988</v>
      </c>
      <c r="C53" s="5" t="str">
        <f aca="false">DEMAND_MODEL!C53</f>
        <v>CAKE CARROT BEAUX 10" 14PC</v>
      </c>
      <c r="D53" s="5" t="str">
        <f aca="false">DEMAND_MODEL!G53</f>
        <v>Medium</v>
      </c>
      <c r="E53" s="5" t="n">
        <f aca="false">DEMAND_MODEL!K53</f>
        <v>0.571428571428571</v>
      </c>
      <c r="F53" s="5" t="n">
        <f aca="false">DEMAND_MODEL!L53</f>
        <v>0.142857142857143</v>
      </c>
      <c r="G53" s="5" t="n">
        <f aca="false">IFERROR(VLOOKUP(D53,SETTINGS!A14:B16,2,FALSE()),14)</f>
        <v>14</v>
      </c>
      <c r="H53" s="5" t="n">
        <f aca="false">E53*(LeadTime+ReorderCycle+SafetyDays)</f>
        <v>7.42857142857143</v>
      </c>
      <c r="I53" s="5" t="n">
        <f aca="false">F53*(LeadTime+ReorderCycle+SafetyDays)</f>
        <v>1.85714285714286</v>
      </c>
      <c r="J53" s="5" t="n">
        <f aca="false">IF(D53="Slow",MIN(H53,SlowMoverCap),H53)</f>
        <v>7.42857142857143</v>
      </c>
      <c r="K53" s="5" t="n">
        <f aca="false">IF(D53="Slow",MIN(I53,SlowMoverCap),I53)</f>
        <v>1.85714285714286</v>
      </c>
    </row>
    <row r="54" customFormat="false" ht="15" hidden="false" customHeight="false" outlineLevel="0" collapsed="false">
      <c r="A54" s="5" t="n">
        <f aca="false">DEMAND_MODEL!A54</f>
        <v>53</v>
      </c>
      <c r="B54" s="5" t="n">
        <f aca="false">DEMAND_MODEL!B54</f>
        <v>28989</v>
      </c>
      <c r="C54" s="5" t="str">
        <f aca="false">DEMAND_MODEL!C54</f>
        <v>CAKE REODELIGHT 10" 16PC</v>
      </c>
      <c r="D54" s="5" t="str">
        <f aca="false">DEMAND_MODEL!G54</f>
        <v>Medium</v>
      </c>
      <c r="E54" s="5" t="n">
        <f aca="false">DEMAND_MODEL!K54</f>
        <v>0.571428571428571</v>
      </c>
      <c r="F54" s="5" t="n">
        <f aca="false">DEMAND_MODEL!L54</f>
        <v>0.428571428571429</v>
      </c>
      <c r="G54" s="5" t="n">
        <f aca="false">IFERROR(VLOOKUP(D54,SETTINGS!A14:B16,2,FALSE()),14)</f>
        <v>14</v>
      </c>
      <c r="H54" s="5" t="n">
        <f aca="false">E54*(LeadTime+ReorderCycle+SafetyDays)</f>
        <v>7.42857142857143</v>
      </c>
      <c r="I54" s="5" t="n">
        <f aca="false">F54*(LeadTime+ReorderCycle+SafetyDays)</f>
        <v>5.57142857142857</v>
      </c>
      <c r="J54" s="5" t="n">
        <f aca="false">IF(D54="Slow",MIN(H54,SlowMoverCap),H54)</f>
        <v>7.42857142857143</v>
      </c>
      <c r="K54" s="5" t="n">
        <f aca="false">IF(D54="Slow",MIN(I54,SlowMoverCap),I54)</f>
        <v>5.57142857142857</v>
      </c>
    </row>
    <row r="55" customFormat="false" ht="15" hidden="false" customHeight="false" outlineLevel="0" collapsed="false">
      <c r="A55" s="5" t="n">
        <f aca="false">DEMAND_MODEL!A55</f>
        <v>54</v>
      </c>
      <c r="B55" s="5" t="n">
        <f aca="false">DEMAND_MODEL!B55</f>
        <v>28990</v>
      </c>
      <c r="C55" s="5" t="str">
        <f aca="false">DEMAND_MODEL!C55</f>
        <v>CAKE TIRAMISU 9" 12PC</v>
      </c>
      <c r="D55" s="5" t="str">
        <f aca="false">DEMAND_MODEL!G55</f>
        <v>Medium</v>
      </c>
      <c r="E55" s="5" t="n">
        <f aca="false">DEMAND_MODEL!K55</f>
        <v>0.571428571428571</v>
      </c>
      <c r="F55" s="5" t="n">
        <f aca="false">DEMAND_MODEL!L55</f>
        <v>0.428571428571429</v>
      </c>
      <c r="G55" s="5" t="n">
        <f aca="false">IFERROR(VLOOKUP(D55,SETTINGS!A14:B16,2,FALSE()),14)</f>
        <v>14</v>
      </c>
      <c r="H55" s="5" t="n">
        <f aca="false">E55*(LeadTime+ReorderCycle+SafetyDays)</f>
        <v>7.42857142857143</v>
      </c>
      <c r="I55" s="5" t="n">
        <f aca="false">F55*(LeadTime+ReorderCycle+SafetyDays)</f>
        <v>5.57142857142857</v>
      </c>
      <c r="J55" s="5" t="n">
        <f aca="false">IF(D55="Slow",MIN(H55,SlowMoverCap),H55)</f>
        <v>7.42857142857143</v>
      </c>
      <c r="K55" s="5" t="n">
        <f aca="false">IF(D55="Slow",MIN(I55,SlowMoverCap),I55)</f>
        <v>5.57142857142857</v>
      </c>
    </row>
    <row r="56" customFormat="false" ht="15" hidden="false" customHeight="false" outlineLevel="0" collapsed="false">
      <c r="A56" s="5" t="n">
        <f aca="false">DEMAND_MODEL!A56</f>
        <v>55</v>
      </c>
      <c r="B56" s="5" t="n">
        <f aca="false">DEMAND_MODEL!B56</f>
        <v>28992</v>
      </c>
      <c r="C56" s="5" t="str">
        <f aca="false">DEMAND_MODEL!C56</f>
        <v>CAKE RED VELVET 10" 14PC  X1</v>
      </c>
      <c r="D56" s="5" t="str">
        <f aca="false">DEMAND_MODEL!G56</f>
        <v>Medium</v>
      </c>
      <c r="E56" s="5" t="n">
        <f aca="false">DEMAND_MODEL!K56</f>
        <v>0.428571428571429</v>
      </c>
      <c r="F56" s="5" t="n">
        <f aca="false">DEMAND_MODEL!L56</f>
        <v>0.428571428571429</v>
      </c>
      <c r="G56" s="5" t="n">
        <f aca="false">IFERROR(VLOOKUP(D56,SETTINGS!A14:B16,2,FALSE()),14)</f>
        <v>14</v>
      </c>
      <c r="H56" s="5" t="n">
        <f aca="false">E56*(LeadTime+ReorderCycle+SafetyDays)</f>
        <v>5.57142857142857</v>
      </c>
      <c r="I56" s="5" t="n">
        <f aca="false">F56*(LeadTime+ReorderCycle+SafetyDays)</f>
        <v>5.57142857142857</v>
      </c>
      <c r="J56" s="5" t="n">
        <f aca="false">IF(D56="Slow",MIN(H56,SlowMoverCap),H56)</f>
        <v>5.57142857142857</v>
      </c>
      <c r="K56" s="5" t="n">
        <f aca="false">IF(D56="Slow",MIN(I56,SlowMoverCap),I56)</f>
        <v>5.57142857142857</v>
      </c>
    </row>
    <row r="57" customFormat="false" ht="15" hidden="false" customHeight="false" outlineLevel="0" collapsed="false">
      <c r="A57" s="5" t="n">
        <f aca="false">DEMAND_MODEL!A57</f>
        <v>56</v>
      </c>
      <c r="B57" s="5" t="n">
        <f aca="false">DEMAND_MODEL!B57</f>
        <v>27030</v>
      </c>
      <c r="C57" s="5" t="str">
        <f aca="false">DEMAND_MODEL!C57</f>
        <v>*NOUVEAU - gât choc décadent 6" 6un</v>
      </c>
      <c r="D57" s="5" t="str">
        <f aca="false">DEMAND_MODEL!G57</f>
        <v>Medium</v>
      </c>
      <c r="E57" s="5" t="n">
        <f aca="false">DEMAND_MODEL!K57</f>
        <v>0.142857142857143</v>
      </c>
      <c r="F57" s="5" t="n">
        <f aca="false">DEMAND_MODEL!L57</f>
        <v>0.142857142857143</v>
      </c>
      <c r="G57" s="5" t="n">
        <f aca="false">IFERROR(VLOOKUP(D57,SETTINGS!A14:B16,2,FALSE()),14)</f>
        <v>14</v>
      </c>
      <c r="H57" s="5" t="n">
        <f aca="false">E57*(LeadTime+ReorderCycle+SafetyDays)</f>
        <v>1.85714285714286</v>
      </c>
      <c r="I57" s="5" t="n">
        <f aca="false">F57*(LeadTime+ReorderCycle+SafetyDays)</f>
        <v>1.85714285714286</v>
      </c>
      <c r="J57" s="5" t="n">
        <f aca="false">IF(D57="Slow",MIN(H57,SlowMoverCap),H57)</f>
        <v>1.85714285714286</v>
      </c>
      <c r="K57" s="5" t="n">
        <f aca="false">IF(D57="Slow",MIN(I57,SlowMoverCap),I57)</f>
        <v>1.85714285714286</v>
      </c>
    </row>
    <row r="58" customFormat="false" ht="15" hidden="false" customHeight="false" outlineLevel="0" collapsed="false">
      <c r="A58" s="5" t="n">
        <f aca="false">DEMAND_MODEL!A58</f>
        <v>57</v>
      </c>
      <c r="B58" s="5" t="n">
        <f aca="false">DEMAND_MODEL!B58</f>
        <v>27031</v>
      </c>
      <c r="C58" s="5" t="str">
        <f aca="false">DEMAND_MODEL!C58</f>
        <v>*NOUVEAU - gât choc-noiset. 6" 6un</v>
      </c>
      <c r="D58" s="5" t="str">
        <f aca="false">DEMAND_MODEL!G58</f>
        <v>Medium</v>
      </c>
      <c r="E58" s="5" t="n">
        <f aca="false">DEMAND_MODEL!K58</f>
        <v>0.571428571428571</v>
      </c>
      <c r="F58" s="5" t="n">
        <f aca="false">DEMAND_MODEL!L58</f>
        <v>0.285714285714286</v>
      </c>
      <c r="G58" s="5" t="n">
        <f aca="false">IFERROR(VLOOKUP(D58,SETTINGS!A14:B16,2,FALSE()),14)</f>
        <v>14</v>
      </c>
      <c r="H58" s="5" t="n">
        <f aca="false">E58*(LeadTime+ReorderCycle+SafetyDays)</f>
        <v>7.42857142857143</v>
      </c>
      <c r="I58" s="5" t="n">
        <f aca="false">F58*(LeadTime+ReorderCycle+SafetyDays)</f>
        <v>3.71428571428571</v>
      </c>
      <c r="J58" s="5" t="n">
        <f aca="false">IF(D58="Slow",MIN(H58,SlowMoverCap),H58)</f>
        <v>7.42857142857143</v>
      </c>
      <c r="K58" s="5" t="n">
        <f aca="false">IF(D58="Slow",MIN(I58,SlowMoverCap),I58)</f>
        <v>3.71428571428571</v>
      </c>
    </row>
    <row r="59" customFormat="false" ht="15" hidden="false" customHeight="false" outlineLevel="0" collapsed="false">
      <c r="A59" s="5" t="n">
        <f aca="false">DEMAND_MODEL!A59</f>
        <v>58</v>
      </c>
      <c r="B59" s="5" t="n">
        <f aca="false">DEMAND_MODEL!B59</f>
        <v>27032</v>
      </c>
      <c r="C59" s="5" t="str">
        <f aca="false">DEMAND_MODEL!C59</f>
        <v>*NOUVEAU - gât Mangue Msse 6" 6un</v>
      </c>
      <c r="D59" s="5" t="str">
        <f aca="false">DEMAND_MODEL!G59</f>
        <v>Medium</v>
      </c>
      <c r="E59" s="5" t="n">
        <f aca="false">DEMAND_MODEL!K59</f>
        <v>0.571428571428571</v>
      </c>
      <c r="F59" s="5" t="n">
        <f aca="false">DEMAND_MODEL!L59</f>
        <v>0.285714285714286</v>
      </c>
      <c r="G59" s="5" t="n">
        <f aca="false">IFERROR(VLOOKUP(D59,SETTINGS!A14:B16,2,FALSE()),14)</f>
        <v>14</v>
      </c>
      <c r="H59" s="5" t="n">
        <f aca="false">E59*(LeadTime+ReorderCycle+SafetyDays)</f>
        <v>7.42857142857143</v>
      </c>
      <c r="I59" s="5" t="n">
        <f aca="false">F59*(LeadTime+ReorderCycle+SafetyDays)</f>
        <v>3.71428571428571</v>
      </c>
      <c r="J59" s="5" t="n">
        <f aca="false">IF(D59="Slow",MIN(H59,SlowMoverCap),H59)</f>
        <v>7.42857142857143</v>
      </c>
      <c r="K59" s="5" t="n">
        <f aca="false">IF(D59="Slow",MIN(I59,SlowMoverCap),I59)</f>
        <v>3.71428571428571</v>
      </c>
    </row>
    <row r="60" customFormat="false" ht="15" hidden="false" customHeight="false" outlineLevel="0" collapsed="false">
      <c r="A60" s="5" t="n">
        <f aca="false">DEMAND_MODEL!A60</f>
        <v>59</v>
      </c>
      <c r="B60" s="5" t="n">
        <f aca="false">DEMAND_MODEL!B60</f>
        <v>27033</v>
      </c>
      <c r="C60" s="5" t="str">
        <f aca="false">DEMAND_MODEL!C60</f>
        <v>LADIP CAKE RED BERRY MOUSSE 6" 6UN</v>
      </c>
      <c r="D60" s="5" t="str">
        <f aca="false">DEMAND_MODEL!G60</f>
        <v>Medium</v>
      </c>
      <c r="E60" s="5" t="n">
        <f aca="false">DEMAND_MODEL!K60</f>
        <v>0.285714285714286</v>
      </c>
      <c r="F60" s="5" t="n">
        <f aca="false">DEMAND_MODEL!L60</f>
        <v>0.285714285714286</v>
      </c>
      <c r="G60" s="5" t="n">
        <f aca="false">IFERROR(VLOOKUP(D60,SETTINGS!A14:B16,2,FALSE()),14)</f>
        <v>14</v>
      </c>
      <c r="H60" s="5" t="n">
        <f aca="false">E60*(LeadTime+ReorderCycle+SafetyDays)</f>
        <v>3.71428571428571</v>
      </c>
      <c r="I60" s="5" t="n">
        <f aca="false">F60*(LeadTime+ReorderCycle+SafetyDays)</f>
        <v>3.71428571428571</v>
      </c>
      <c r="J60" s="5" t="n">
        <f aca="false">IF(D60="Slow",MIN(H60,SlowMoverCap),H60)</f>
        <v>3.71428571428571</v>
      </c>
      <c r="K60" s="5" t="n">
        <f aca="false">IF(D60="Slow",MIN(I60,SlowMoverCap),I60)</f>
        <v>3.71428571428571</v>
      </c>
    </row>
    <row r="61" customFormat="false" ht="15" hidden="false" customHeight="false" outlineLevel="0" collapsed="false">
      <c r="A61" s="5" t="n">
        <f aca="false">DEMAND_MODEL!A61</f>
        <v>60</v>
      </c>
      <c r="B61" s="5" t="n">
        <f aca="false">DEMAND_MODEL!B61</f>
        <v>27034</v>
      </c>
      <c r="C61" s="5" t="str">
        <f aca="false">DEMAND_MODEL!C61</f>
        <v>*NOUVEAU -gât d'anniversaire 6"6un</v>
      </c>
      <c r="D61" s="5" t="str">
        <f aca="false">DEMAND_MODEL!G61</f>
        <v>Medium</v>
      </c>
      <c r="E61" s="5" t="n">
        <f aca="false">DEMAND_MODEL!K61</f>
        <v>0.285714285714286</v>
      </c>
      <c r="F61" s="5" t="n">
        <f aca="false">DEMAND_MODEL!L61</f>
        <v>0.285714285714286</v>
      </c>
      <c r="G61" s="5" t="n">
        <f aca="false">IFERROR(VLOOKUP(D61,SETTINGS!A14:B16,2,FALSE()),14)</f>
        <v>14</v>
      </c>
      <c r="H61" s="5" t="n">
        <f aca="false">E61*(LeadTime+ReorderCycle+SafetyDays)</f>
        <v>3.71428571428571</v>
      </c>
      <c r="I61" s="5" t="n">
        <f aca="false">F61*(LeadTime+ReorderCycle+SafetyDays)</f>
        <v>3.71428571428571</v>
      </c>
      <c r="J61" s="5" t="n">
        <f aca="false">IF(D61="Slow",MIN(H61,SlowMoverCap),H61)</f>
        <v>3.71428571428571</v>
      </c>
      <c r="K61" s="5" t="n">
        <f aca="false">IF(D61="Slow",MIN(I61,SlowMoverCap),I61)</f>
        <v>3.71428571428571</v>
      </c>
    </row>
    <row r="62" customFormat="false" ht="15" hidden="false" customHeight="false" outlineLevel="0" collapsed="false">
      <c r="A62" s="5" t="n">
        <f aca="false">DEMAND_MODEL!A62</f>
        <v>61</v>
      </c>
      <c r="B62" s="5" t="n">
        <f aca="false">DEMAND_MODEL!B62</f>
        <v>28967</v>
      </c>
      <c r="C62" s="5" t="str">
        <f aca="false">DEMAND_MODEL!C62</f>
        <v>PIE KEY LIME GRAHAM 10" KILO 12PC</v>
      </c>
      <c r="D62" s="5" t="str">
        <f aca="false">DEMAND_MODEL!G62</f>
        <v>Medium</v>
      </c>
      <c r="E62" s="5" t="n">
        <f aca="false">DEMAND_MODEL!K62</f>
        <v>0.142857142857143</v>
      </c>
      <c r="F62" s="5" t="n">
        <f aca="false">DEMAND_MODEL!L62</f>
        <v>0.428571428571429</v>
      </c>
      <c r="G62" s="5" t="n">
        <f aca="false">IFERROR(VLOOKUP(D62,SETTINGS!A14:B16,2,FALSE()),14)</f>
        <v>14</v>
      </c>
      <c r="H62" s="5" t="n">
        <f aca="false">E62*(LeadTime+ReorderCycle+SafetyDays)</f>
        <v>1.85714285714286</v>
      </c>
      <c r="I62" s="5" t="n">
        <f aca="false">F62*(LeadTime+ReorderCycle+SafetyDays)</f>
        <v>5.57142857142857</v>
      </c>
      <c r="J62" s="5" t="n">
        <f aca="false">IF(D62="Slow",MIN(H62,SlowMoverCap),H62)</f>
        <v>1.85714285714286</v>
      </c>
      <c r="K62" s="5" t="n">
        <f aca="false">IF(D62="Slow",MIN(I62,SlowMoverCap),I62)</f>
        <v>5.57142857142857</v>
      </c>
    </row>
    <row r="63" customFormat="false" ht="15" hidden="false" customHeight="false" outlineLevel="0" collapsed="false">
      <c r="A63" s="5" t="n">
        <f aca="false">DEMAND_MODEL!A63</f>
        <v>62</v>
      </c>
      <c r="B63" s="5" t="n">
        <f aca="false">DEMAND_MODEL!B63</f>
        <v>31229</v>
      </c>
      <c r="C63" s="5" t="str">
        <f aca="false">DEMAND_MODEL!C63</f>
        <v>LC ICE CRM MIX VANILLA 2X10L</v>
      </c>
      <c r="D63" s="5" t="str">
        <f aca="false">DEMAND_MODEL!G63</f>
        <v>Fast</v>
      </c>
      <c r="E63" s="5" t="n">
        <f aca="false">DEMAND_MODEL!K63</f>
        <v>0.857142857142857</v>
      </c>
      <c r="F63" s="5" t="n">
        <f aca="false">DEMAND_MODEL!L63</f>
        <v>0.857142857142857</v>
      </c>
      <c r="G63" s="5" t="n">
        <f aca="false">IFERROR(VLOOKUP(D63,SETTINGS!A14:B16,2,FALSE()),14)</f>
        <v>21</v>
      </c>
      <c r="H63" s="5" t="n">
        <f aca="false">E63*(LeadTime+ReorderCycle+SafetyDays)</f>
        <v>11.1428571428571</v>
      </c>
      <c r="I63" s="5" t="n">
        <f aca="false">F63*(LeadTime+ReorderCycle+SafetyDays)</f>
        <v>11.1428571428571</v>
      </c>
      <c r="J63" s="5" t="n">
        <f aca="false">IF(D63="Slow",MIN(H63,SlowMoverCap),H63)</f>
        <v>11.1428571428571</v>
      </c>
      <c r="K63" s="5" t="n">
        <f aca="false">IF(D63="Slow",MIN(I63,SlowMoverCap),I63)</f>
        <v>11.1428571428571</v>
      </c>
    </row>
    <row r="64" customFormat="false" ht="15" hidden="false" customHeight="false" outlineLevel="0" collapsed="false">
      <c r="A64" s="5" t="n">
        <f aca="false">DEMAND_MODEL!A64</f>
        <v>63</v>
      </c>
      <c r="B64" s="5" t="n">
        <f aca="false">DEMAND_MODEL!B64</f>
        <v>36756</v>
      </c>
      <c r="C64" s="5" t="str">
        <f aca="false">DEMAND_MODEL!C64</f>
        <v>LADIP MANGO S/SERVE VEGAN 8X1.89L</v>
      </c>
      <c r="D64" s="5" t="str">
        <f aca="false">DEMAND_MODEL!G64</f>
        <v>Fast</v>
      </c>
      <c r="E64" s="5" t="n">
        <f aca="false">DEMAND_MODEL!K64</f>
        <v>0.571428571428571</v>
      </c>
      <c r="F64" s="5" t="n">
        <f aca="false">DEMAND_MODEL!L64</f>
        <v>0.714285714285714</v>
      </c>
      <c r="G64" s="5" t="n">
        <f aca="false">IFERROR(VLOOKUP(D64,SETTINGS!A14:B16,2,FALSE()),14)</f>
        <v>21</v>
      </c>
      <c r="H64" s="5" t="n">
        <f aca="false">E64*(LeadTime+ReorderCycle+SafetyDays)</f>
        <v>7.42857142857143</v>
      </c>
      <c r="I64" s="5" t="n">
        <f aca="false">F64*(LeadTime+ReorderCycle+SafetyDays)</f>
        <v>9.28571428571429</v>
      </c>
      <c r="J64" s="5" t="n">
        <f aca="false">IF(D64="Slow",MIN(H64,SlowMoverCap),H64)</f>
        <v>7.42857142857143</v>
      </c>
      <c r="K64" s="5" t="n">
        <f aca="false">IF(D64="Slow",MIN(I64,SlowMoverCap),I64)</f>
        <v>9.28571428571429</v>
      </c>
    </row>
    <row r="65" customFormat="false" ht="15" hidden="false" customHeight="false" outlineLevel="0" collapsed="false">
      <c r="A65" s="5" t="n">
        <f aca="false">DEMAND_MODEL!A65</f>
        <v>64</v>
      </c>
      <c r="B65" s="5" t="n">
        <f aca="false">DEMAND_MODEL!B65</f>
        <v>31231</v>
      </c>
      <c r="C65" s="5" t="str">
        <f aca="false">DEMAND_MODEL!C65</f>
        <v>LC ICE CRM MIX CHOCOLATE 2X10L</v>
      </c>
      <c r="D65" s="5" t="str">
        <f aca="false">DEMAND_MODEL!G65</f>
        <v>Fast</v>
      </c>
      <c r="E65" s="5" t="n">
        <f aca="false">DEMAND_MODEL!K65</f>
        <v>1.14285714285714</v>
      </c>
      <c r="F65" s="5" t="n">
        <f aca="false">DEMAND_MODEL!L65</f>
        <v>0.571428571428571</v>
      </c>
      <c r="G65" s="5" t="n">
        <f aca="false">IFERROR(VLOOKUP(D65,SETTINGS!A14:B16,2,FALSE()),14)</f>
        <v>21</v>
      </c>
      <c r="H65" s="5" t="n">
        <f aca="false">E65*(LeadTime+ReorderCycle+SafetyDays)</f>
        <v>14.8571428571429</v>
      </c>
      <c r="I65" s="5" t="n">
        <f aca="false">F65*(LeadTime+ReorderCycle+SafetyDays)</f>
        <v>7.42857142857143</v>
      </c>
      <c r="J65" s="5" t="n">
        <f aca="false">IF(D65="Slow",MIN(H65,SlowMoverCap),H65)</f>
        <v>14.8571428571429</v>
      </c>
      <c r="K65" s="5" t="n">
        <f aca="false">IF(D65="Slow",MIN(I65,SlowMoverCap),I65)</f>
        <v>7.42857142857143</v>
      </c>
    </row>
    <row r="66" customFormat="false" ht="15" hidden="false" customHeight="false" outlineLevel="0" collapsed="false">
      <c r="A66" s="5" t="n">
        <f aca="false">DEMAND_MODEL!A66</f>
        <v>65</v>
      </c>
      <c r="B66" s="5" t="n">
        <f aca="false">DEMAND_MODEL!B66</f>
        <v>30283</v>
      </c>
      <c r="C66" s="5" t="str">
        <f aca="false">DEMAND_MODEL!C66</f>
        <v>BEV MILKSHAKE CARAMILK 12X310ML</v>
      </c>
      <c r="D66" s="5" t="str">
        <f aca="false">DEMAND_MODEL!G66</f>
        <v>Fast</v>
      </c>
      <c r="E66" s="5" t="n">
        <f aca="false">DEMAND_MODEL!K66</f>
        <v>1.14285714285714</v>
      </c>
      <c r="F66" s="5" t="n">
        <f aca="false">DEMAND_MODEL!L66</f>
        <v>0.428571428571429</v>
      </c>
      <c r="G66" s="5" t="n">
        <f aca="false">IFERROR(VLOOKUP(D66,SETTINGS!A14:B16,2,FALSE()),14)</f>
        <v>21</v>
      </c>
      <c r="H66" s="5" t="n">
        <f aca="false">E66*(LeadTime+ReorderCycle+SafetyDays)</f>
        <v>14.8571428571429</v>
      </c>
      <c r="I66" s="5" t="n">
        <f aca="false">F66*(LeadTime+ReorderCycle+SafetyDays)</f>
        <v>5.57142857142857</v>
      </c>
      <c r="J66" s="5" t="n">
        <f aca="false">IF(D66="Slow",MIN(H66,SlowMoverCap),H66)</f>
        <v>14.8571428571429</v>
      </c>
      <c r="K66" s="5" t="n">
        <f aca="false">IF(D66="Slow",MIN(I66,SlowMoverCap),I66)</f>
        <v>5.57142857142857</v>
      </c>
    </row>
    <row r="67" customFormat="false" ht="15" hidden="false" customHeight="false" outlineLevel="0" collapsed="false">
      <c r="A67" s="5" t="n">
        <f aca="false">DEMAND_MODEL!A67</f>
        <v>66</v>
      </c>
      <c r="B67" s="5" t="n">
        <f aca="false">DEMAND_MODEL!B67</f>
        <v>30282</v>
      </c>
      <c r="C67" s="5" t="str">
        <f aca="false">DEMAND_MODEL!C67</f>
        <v>BEV MILKSHAKE COFFE CRISP 12X473ML</v>
      </c>
      <c r="D67" s="5" t="str">
        <f aca="false">DEMAND_MODEL!G67</f>
        <v>Fast</v>
      </c>
      <c r="E67" s="5" t="n">
        <f aca="false">DEMAND_MODEL!K67</f>
        <v>1.28571428571429</v>
      </c>
      <c r="F67" s="5" t="n">
        <f aca="false">DEMAND_MODEL!L67</f>
        <v>0.714285714285714</v>
      </c>
      <c r="G67" s="5" t="n">
        <f aca="false">IFERROR(VLOOKUP(D67,SETTINGS!A14:B16,2,FALSE()),14)</f>
        <v>21</v>
      </c>
      <c r="H67" s="5" t="n">
        <f aca="false">E67*(LeadTime+ReorderCycle+SafetyDays)</f>
        <v>16.7142857142857</v>
      </c>
      <c r="I67" s="5" t="n">
        <f aca="false">F67*(LeadTime+ReorderCycle+SafetyDays)</f>
        <v>9.28571428571429</v>
      </c>
      <c r="J67" s="5" t="n">
        <f aca="false">IF(D67="Slow",MIN(H67,SlowMoverCap),H67)</f>
        <v>16.7142857142857</v>
      </c>
      <c r="K67" s="5" t="n">
        <f aca="false">IF(D67="Slow",MIN(I67,SlowMoverCap),I67)</f>
        <v>9.28571428571429</v>
      </c>
    </row>
    <row r="68" customFormat="false" ht="15" hidden="false" customHeight="false" outlineLevel="0" collapsed="false">
      <c r="A68" s="5" t="n">
        <f aca="false">DEMAND_MODEL!A68</f>
        <v>67</v>
      </c>
      <c r="B68" s="5" t="n">
        <f aca="false">DEMAND_MODEL!B68</f>
        <v>31225</v>
      </c>
      <c r="C68" s="5" t="str">
        <f aca="false">DEMAND_MODEL!C68</f>
        <v>PRVT MILK HOMO 2L</v>
      </c>
      <c r="D68" s="5" t="str">
        <f aca="false">DEMAND_MODEL!G68</f>
        <v>Fast</v>
      </c>
      <c r="E68" s="5" t="n">
        <f aca="false">DEMAND_MODEL!K68</f>
        <v>0.571428571428571</v>
      </c>
      <c r="F68" s="5" t="n">
        <f aca="false">DEMAND_MODEL!L68</f>
        <v>0.857142857142857</v>
      </c>
      <c r="G68" s="5" t="n">
        <f aca="false">IFERROR(VLOOKUP(D68,SETTINGS!A14:B16,2,FALSE()),14)</f>
        <v>21</v>
      </c>
      <c r="H68" s="5" t="n">
        <f aca="false">E68*(LeadTime+ReorderCycle+SafetyDays)</f>
        <v>7.42857142857143</v>
      </c>
      <c r="I68" s="5" t="n">
        <f aca="false">F68*(LeadTime+ReorderCycle+SafetyDays)</f>
        <v>11.1428571428571</v>
      </c>
      <c r="J68" s="5" t="n">
        <f aca="false">IF(D68="Slow",MIN(H68,SlowMoverCap),H68)</f>
        <v>7.42857142857143</v>
      </c>
      <c r="K68" s="5" t="n">
        <f aca="false">IF(D68="Slow",MIN(I68,SlowMoverCap),I68)</f>
        <v>11.1428571428571</v>
      </c>
    </row>
    <row r="69" customFormat="false" ht="15" hidden="false" customHeight="false" outlineLevel="0" collapsed="false">
      <c r="A69" s="5" t="n">
        <f aca="false">DEMAND_MODEL!A69</f>
        <v>68</v>
      </c>
      <c r="B69" s="5" t="n">
        <f aca="false">DEMAND_MODEL!B69</f>
        <v>31227</v>
      </c>
      <c r="C69" s="5" t="str">
        <f aca="false">DEMAND_MODEL!C69</f>
        <v>PRVT MILK CHOCOLATE 2L</v>
      </c>
      <c r="D69" s="5" t="str">
        <f aca="false">DEMAND_MODEL!G69</f>
        <v>Fast</v>
      </c>
      <c r="E69" s="5" t="n">
        <f aca="false">DEMAND_MODEL!K69</f>
        <v>1.28571428571429</v>
      </c>
      <c r="F69" s="5" t="n">
        <f aca="false">DEMAND_MODEL!L69</f>
        <v>0.571428571428571</v>
      </c>
      <c r="G69" s="5" t="n">
        <f aca="false">IFERROR(VLOOKUP(D69,SETTINGS!A14:B16,2,FALSE()),14)</f>
        <v>21</v>
      </c>
      <c r="H69" s="5" t="n">
        <f aca="false">E69*(LeadTime+ReorderCycle+SafetyDays)</f>
        <v>16.7142857142857</v>
      </c>
      <c r="I69" s="5" t="n">
        <f aca="false">F69*(LeadTime+ReorderCycle+SafetyDays)</f>
        <v>7.42857142857143</v>
      </c>
      <c r="J69" s="5" t="n">
        <f aca="false">IF(D69="Slow",MIN(H69,SlowMoverCap),H69)</f>
        <v>16.7142857142857</v>
      </c>
      <c r="K69" s="5" t="n">
        <f aca="false">IF(D69="Slow",MIN(I69,SlowMoverCap),I69)</f>
        <v>7.42857142857143</v>
      </c>
    </row>
    <row r="70" customFormat="false" ht="15" hidden="false" customHeight="false" outlineLevel="0" collapsed="false">
      <c r="A70" s="5" t="n">
        <f aca="false">DEMAND_MODEL!A70</f>
        <v>69</v>
      </c>
      <c r="B70" s="5" t="n">
        <f aca="false">DEMAND_MODEL!B70</f>
        <v>31226</v>
      </c>
      <c r="C70" s="5" t="str">
        <f aca="false">DEMAND_MODEL!C70</f>
        <v>PRVT MILK STRAWBERRY 473ML</v>
      </c>
      <c r="D70" s="5" t="str">
        <f aca="false">DEMAND_MODEL!G70</f>
        <v>Fast</v>
      </c>
      <c r="E70" s="5" t="n">
        <f aca="false">DEMAND_MODEL!K70</f>
        <v>1.42857142857143</v>
      </c>
      <c r="F70" s="5" t="n">
        <f aca="false">DEMAND_MODEL!L70</f>
        <v>0.714285714285714</v>
      </c>
      <c r="G70" s="5" t="n">
        <f aca="false">IFERROR(VLOOKUP(D70,SETTINGS!A14:B16,2,FALSE()),14)</f>
        <v>21</v>
      </c>
      <c r="H70" s="5" t="n">
        <f aca="false">E70*(LeadTime+ReorderCycle+SafetyDays)</f>
        <v>18.5714285714286</v>
      </c>
      <c r="I70" s="5" t="n">
        <f aca="false">F70*(LeadTime+ReorderCycle+SafetyDays)</f>
        <v>9.28571428571429</v>
      </c>
      <c r="J70" s="5" t="n">
        <f aca="false">IF(D70="Slow",MIN(H70,SlowMoverCap),H70)</f>
        <v>18.5714285714286</v>
      </c>
      <c r="K70" s="5" t="n">
        <f aca="false">IF(D70="Slow",MIN(I70,SlowMoverCap),I70)</f>
        <v>9.28571428571429</v>
      </c>
    </row>
    <row r="71" customFormat="false" ht="15" hidden="false" customHeight="false" outlineLevel="0" collapsed="false">
      <c r="A71" s="5" t="n">
        <f aca="false">DEMAND_MODEL!A71</f>
        <v>70</v>
      </c>
      <c r="B71" s="5" t="n">
        <f aca="false">DEMAND_MODEL!B71</f>
        <v>31221</v>
      </c>
      <c r="C71" s="5" t="str">
        <f aca="false">DEMAND_MODEL!C71</f>
        <v>WHIP CREAM AEROSOL 19% 12X225G</v>
      </c>
      <c r="D71" s="5" t="str">
        <f aca="false">DEMAND_MODEL!G71</f>
        <v>Fast</v>
      </c>
      <c r="E71" s="5" t="n">
        <f aca="false">DEMAND_MODEL!K71</f>
        <v>0.857142857142857</v>
      </c>
      <c r="F71" s="5" t="n">
        <f aca="false">DEMAND_MODEL!L71</f>
        <v>0.714285714285714</v>
      </c>
      <c r="G71" s="5" t="n">
        <f aca="false">IFERROR(VLOOKUP(D71,SETTINGS!A14:B16,2,FALSE()),14)</f>
        <v>21</v>
      </c>
      <c r="H71" s="5" t="n">
        <f aca="false">E71*(LeadTime+ReorderCycle+SafetyDays)</f>
        <v>11.1428571428571</v>
      </c>
      <c r="I71" s="5" t="n">
        <f aca="false">F71*(LeadTime+ReorderCycle+SafetyDays)</f>
        <v>9.28571428571429</v>
      </c>
      <c r="J71" s="5" t="n">
        <f aca="false">IF(D71="Slow",MIN(H71,SlowMoverCap),H71)</f>
        <v>11.1428571428571</v>
      </c>
      <c r="K71" s="5" t="n">
        <f aca="false">IF(D71="Slow",MIN(I71,SlowMoverCap),I71)</f>
        <v>9.28571428571429</v>
      </c>
    </row>
    <row r="72" customFormat="false" ht="15" hidden="false" customHeight="false" outlineLevel="0" collapsed="false">
      <c r="A72" s="5" t="n">
        <f aca="false">DEMAND_MODEL!A72</f>
        <v>71</v>
      </c>
      <c r="B72" s="5" t="n">
        <f aca="false">DEMAND_MODEL!B72</f>
        <v>64878</v>
      </c>
      <c r="C72" s="5" t="str">
        <f aca="false">DEMAND_MODEL!C72</f>
        <v>DIPP CUP 16OZ PL 31016MTYL PP* 1M</v>
      </c>
      <c r="D72" s="5" t="str">
        <f aca="false">DEMAND_MODEL!G72</f>
        <v>Fast</v>
      </c>
      <c r="E72" s="5" t="n">
        <f aca="false">DEMAND_MODEL!K72</f>
        <v>1</v>
      </c>
      <c r="F72" s="5" t="n">
        <f aca="false">DEMAND_MODEL!L72</f>
        <v>0.571428571428571</v>
      </c>
      <c r="G72" s="5" t="n">
        <f aca="false">IFERROR(VLOOKUP(D72,SETTINGS!A14:B16,2,FALSE()),14)</f>
        <v>21</v>
      </c>
      <c r="H72" s="5" t="n">
        <f aca="false">E72*(LeadTime+ReorderCycle+SafetyDays)</f>
        <v>13</v>
      </c>
      <c r="I72" s="5" t="n">
        <f aca="false">F72*(LeadTime+ReorderCycle+SafetyDays)</f>
        <v>7.42857142857143</v>
      </c>
      <c r="J72" s="5" t="n">
        <f aca="false">IF(D72="Slow",MIN(H72,SlowMoverCap),H72)</f>
        <v>13</v>
      </c>
      <c r="K72" s="5" t="n">
        <f aca="false">IF(D72="Slow",MIN(I72,SlowMoverCap),I72)</f>
        <v>7.42857142857143</v>
      </c>
    </row>
    <row r="73" customFormat="false" ht="15" hidden="false" customHeight="false" outlineLevel="0" collapsed="false">
      <c r="A73" s="5" t="n">
        <f aca="false">DEMAND_MODEL!A73</f>
        <v>72</v>
      </c>
      <c r="B73" s="5" t="n">
        <f aca="false">DEMAND_MODEL!B73</f>
        <v>61594</v>
      </c>
      <c r="C73" s="5" t="str">
        <f aca="false">DEMAND_MODEL!C73</f>
        <v>Couv. Plat 16oz 10x100 units</v>
      </c>
      <c r="D73" s="5" t="str">
        <f aca="false">DEMAND_MODEL!G73</f>
        <v>Fast</v>
      </c>
      <c r="E73" s="5" t="n">
        <f aca="false">DEMAND_MODEL!K73</f>
        <v>1.28571428571429</v>
      </c>
      <c r="F73" s="5" t="n">
        <f aca="false">DEMAND_MODEL!L73</f>
        <v>0.714285714285714</v>
      </c>
      <c r="G73" s="5" t="n">
        <f aca="false">IFERROR(VLOOKUP(D73,SETTINGS!A14:B16,2,FALSE()),14)</f>
        <v>21</v>
      </c>
      <c r="H73" s="5" t="n">
        <f aca="false">E73*(LeadTime+ReorderCycle+SafetyDays)</f>
        <v>16.7142857142857</v>
      </c>
      <c r="I73" s="5" t="n">
        <f aca="false">F73*(LeadTime+ReorderCycle+SafetyDays)</f>
        <v>9.28571428571429</v>
      </c>
      <c r="J73" s="5" t="n">
        <f aca="false">IF(D73="Slow",MIN(H73,SlowMoverCap),H73)</f>
        <v>16.7142857142857</v>
      </c>
      <c r="K73" s="5" t="n">
        <f aca="false">IF(D73="Slow",MIN(I73,SlowMoverCap),I73)</f>
        <v>9.28571428571429</v>
      </c>
    </row>
    <row r="74" customFormat="false" ht="15" hidden="false" customHeight="false" outlineLevel="0" collapsed="false">
      <c r="A74" s="5" t="n">
        <f aca="false">DEMAND_MODEL!A74</f>
        <v>73</v>
      </c>
      <c r="B74" s="5" t="n">
        <f aca="false">DEMAND_MODEL!B74</f>
        <v>61593</v>
      </c>
      <c r="C74" s="5" t="str">
        <f aca="false">DEMAND_MODEL!C74</f>
        <v>LID 16 OZ DOME W/SPOON HOLE PP X100</v>
      </c>
      <c r="D74" s="5" t="str">
        <f aca="false">DEMAND_MODEL!G74</f>
        <v>Fast</v>
      </c>
      <c r="E74" s="5" t="n">
        <f aca="false">DEMAND_MODEL!K74</f>
        <v>1.28571428571429</v>
      </c>
      <c r="F74" s="5" t="n">
        <f aca="false">DEMAND_MODEL!L74</f>
        <v>1</v>
      </c>
      <c r="G74" s="5" t="n">
        <f aca="false">IFERROR(VLOOKUP(D74,SETTINGS!A14:B16,2,FALSE()),14)</f>
        <v>21</v>
      </c>
      <c r="H74" s="5" t="n">
        <f aca="false">E74*(LeadTime+ReorderCycle+SafetyDays)</f>
        <v>16.7142857142857</v>
      </c>
      <c r="I74" s="5" t="n">
        <f aca="false">F74*(LeadTime+ReorderCycle+SafetyDays)</f>
        <v>13</v>
      </c>
      <c r="J74" s="5" t="n">
        <f aca="false">IF(D74="Slow",MIN(H74,SlowMoverCap),H74)</f>
        <v>16.7142857142857</v>
      </c>
      <c r="K74" s="5" t="n">
        <f aca="false">IF(D74="Slow",MIN(I74,SlowMoverCap),I74)</f>
        <v>13</v>
      </c>
    </row>
    <row r="75" customFormat="false" ht="15" hidden="false" customHeight="false" outlineLevel="0" collapsed="false">
      <c r="A75" s="5" t="n">
        <f aca="false">DEMAND_MODEL!A75</f>
        <v>74</v>
      </c>
      <c r="B75" s="5" t="n">
        <f aca="false">DEMAND_MODEL!B75</f>
        <v>32911</v>
      </c>
      <c r="C75" s="5" t="str">
        <f aca="false">DEMAND_MODEL!C75</f>
        <v>Montreal paper cup 16oz</v>
      </c>
      <c r="D75" s="5" t="str">
        <f aca="false">DEMAND_MODEL!G75</f>
        <v>Fast</v>
      </c>
      <c r="E75" s="5" t="n">
        <f aca="false">DEMAND_MODEL!K75</f>
        <v>1.14285714285714</v>
      </c>
      <c r="F75" s="5" t="n">
        <f aca="false">DEMAND_MODEL!L75</f>
        <v>0.571428571428571</v>
      </c>
      <c r="G75" s="5" t="n">
        <f aca="false">IFERROR(VLOOKUP(D75,SETTINGS!A14:B16,2,FALSE()),14)</f>
        <v>21</v>
      </c>
      <c r="H75" s="5" t="n">
        <f aca="false">E75*(LeadTime+ReorderCycle+SafetyDays)</f>
        <v>14.8571428571429</v>
      </c>
      <c r="I75" s="5" t="n">
        <f aca="false">F75*(LeadTime+ReorderCycle+SafetyDays)</f>
        <v>7.42857142857143</v>
      </c>
      <c r="J75" s="5" t="n">
        <f aca="false">IF(D75="Slow",MIN(H75,SlowMoverCap),H75)</f>
        <v>14.8571428571429</v>
      </c>
      <c r="K75" s="5" t="n">
        <f aca="false">IF(D75="Slow",MIN(I75,SlowMoverCap),I75)</f>
        <v>7.42857142857143</v>
      </c>
    </row>
    <row r="76" customFormat="false" ht="15" hidden="false" customHeight="false" outlineLevel="0" collapsed="false">
      <c r="A76" s="5" t="n">
        <f aca="false">DEMAND_MODEL!A76</f>
        <v>75</v>
      </c>
      <c r="B76" s="5" t="n">
        <f aca="false">DEMAND_MODEL!B76</f>
        <v>32912</v>
      </c>
      <c r="C76" s="5" t="str">
        <f aca="false">DEMAND_MODEL!C76</f>
        <v>Montreal 16oz flat lid</v>
      </c>
      <c r="D76" s="5" t="str">
        <f aca="false">DEMAND_MODEL!G76</f>
        <v>Fast</v>
      </c>
      <c r="E76" s="5" t="n">
        <f aca="false">DEMAND_MODEL!K76</f>
        <v>0.714285714285714</v>
      </c>
      <c r="F76" s="5" t="n">
        <f aca="false">DEMAND_MODEL!L76</f>
        <v>0.428571428571429</v>
      </c>
      <c r="G76" s="5" t="n">
        <f aca="false">IFERROR(VLOOKUP(D76,SETTINGS!A14:B16,2,FALSE()),14)</f>
        <v>21</v>
      </c>
      <c r="H76" s="5" t="n">
        <f aca="false">E76*(LeadTime+ReorderCycle+SafetyDays)</f>
        <v>9.28571428571429</v>
      </c>
      <c r="I76" s="5" t="n">
        <f aca="false">F76*(LeadTime+ReorderCycle+SafetyDays)</f>
        <v>5.57142857142857</v>
      </c>
      <c r="J76" s="5" t="n">
        <f aca="false">IF(D76="Slow",MIN(H76,SlowMoverCap),H76)</f>
        <v>9.28571428571429</v>
      </c>
      <c r="K76" s="5" t="n">
        <f aca="false">IF(D76="Slow",MIN(I76,SlowMoverCap),I76)</f>
        <v>5.57142857142857</v>
      </c>
    </row>
    <row r="77" customFormat="false" ht="15" hidden="false" customHeight="false" outlineLevel="0" collapsed="false">
      <c r="A77" s="5" t="n">
        <f aca="false">DEMAND_MODEL!A77</f>
        <v>76</v>
      </c>
      <c r="B77" s="5" t="n">
        <f aca="false">DEMAND_MODEL!B77</f>
        <v>34434</v>
      </c>
      <c r="C77" s="5" t="str">
        <f aca="false">DEMAND_MODEL!C77</f>
        <v>Montreal 16oz dome lids</v>
      </c>
      <c r="D77" s="5" t="str">
        <f aca="false">DEMAND_MODEL!G77</f>
        <v>Fast</v>
      </c>
      <c r="E77" s="5" t="n">
        <f aca="false">DEMAND_MODEL!K77</f>
        <v>0.571428571428571</v>
      </c>
      <c r="F77" s="5" t="n">
        <f aca="false">DEMAND_MODEL!L77</f>
        <v>0.428571428571429</v>
      </c>
      <c r="G77" s="5" t="n">
        <f aca="false">IFERROR(VLOOKUP(D77,SETTINGS!A14:B16,2,FALSE()),14)</f>
        <v>21</v>
      </c>
      <c r="H77" s="5" t="n">
        <f aca="false">E77*(LeadTime+ReorderCycle+SafetyDays)</f>
        <v>7.42857142857143</v>
      </c>
      <c r="I77" s="5" t="n">
        <f aca="false">F77*(LeadTime+ReorderCycle+SafetyDays)</f>
        <v>5.57142857142857</v>
      </c>
      <c r="J77" s="5" t="n">
        <f aca="false">IF(D77="Slow",MIN(H77,SlowMoverCap),H77)</f>
        <v>7.42857142857143</v>
      </c>
      <c r="K77" s="5" t="n">
        <f aca="false">IF(D77="Slow",MIN(I77,SlowMoverCap),I77)</f>
        <v>5.57142857142857</v>
      </c>
    </row>
    <row r="78" customFormat="false" ht="15" hidden="false" customHeight="false" outlineLevel="0" collapsed="false">
      <c r="A78" s="5" t="n">
        <f aca="false">DEMAND_MODEL!A78</f>
        <v>77</v>
      </c>
      <c r="B78" s="5" t="n">
        <f aca="false">DEMAND_MODEL!B78</f>
        <v>63815</v>
      </c>
      <c r="C78" s="5" t="str">
        <f aca="false">DEMAND_MODEL!C78</f>
        <v>STRAW 10" PAP  BLK JUMBO 8MM WRP 2M</v>
      </c>
      <c r="D78" s="5" t="str">
        <f aca="false">DEMAND_MODEL!G78</f>
        <v>Fast</v>
      </c>
      <c r="E78" s="5" t="n">
        <f aca="false">DEMAND_MODEL!K78</f>
        <v>1.42857142857143</v>
      </c>
      <c r="F78" s="5" t="n">
        <f aca="false">DEMAND_MODEL!L78</f>
        <v>0.285714285714286</v>
      </c>
      <c r="G78" s="5" t="n">
        <f aca="false">IFERROR(VLOOKUP(D78,SETTINGS!A14:B16,2,FALSE()),14)</f>
        <v>21</v>
      </c>
      <c r="H78" s="5" t="n">
        <f aca="false">E78*(LeadTime+ReorderCycle+SafetyDays)</f>
        <v>18.5714285714286</v>
      </c>
      <c r="I78" s="5" t="n">
        <f aca="false">F78*(LeadTime+ReorderCycle+SafetyDays)</f>
        <v>3.71428571428571</v>
      </c>
      <c r="J78" s="5" t="n">
        <f aca="false">IF(D78="Slow",MIN(H78,SlowMoverCap),H78)</f>
        <v>18.5714285714286</v>
      </c>
      <c r="K78" s="5" t="n">
        <f aca="false">IF(D78="Slow",MIN(I78,SlowMoverCap),I78)</f>
        <v>3.71428571428571</v>
      </c>
    </row>
    <row r="79" customFormat="false" ht="15" hidden="false" customHeight="false" outlineLevel="0" collapsed="false">
      <c r="A79" s="5" t="n">
        <f aca="false">DEMAND_MODEL!A79</f>
        <v>78</v>
      </c>
      <c r="B79" s="5" t="n">
        <f aca="false">DEMAND_MODEL!B79</f>
        <v>63816</v>
      </c>
      <c r="C79" s="5" t="str">
        <f aca="false">DEMAND_MODEL!C79</f>
        <v>STRAW 7.75"PAPER S/J 8MM BLK WRP 2M</v>
      </c>
      <c r="D79" s="5" t="str">
        <f aca="false">DEMAND_MODEL!G79</f>
        <v>Fast</v>
      </c>
      <c r="E79" s="5" t="n">
        <f aca="false">DEMAND_MODEL!K79</f>
        <v>1.28571428571429</v>
      </c>
      <c r="F79" s="5" t="n">
        <f aca="false">DEMAND_MODEL!L79</f>
        <v>0.714285714285714</v>
      </c>
      <c r="G79" s="5" t="n">
        <f aca="false">IFERROR(VLOOKUP(D79,SETTINGS!A14:B16,2,FALSE()),14)</f>
        <v>21</v>
      </c>
      <c r="H79" s="5" t="n">
        <f aca="false">E79*(LeadTime+ReorderCycle+SafetyDays)</f>
        <v>16.7142857142857</v>
      </c>
      <c r="I79" s="5" t="n">
        <f aca="false">F79*(LeadTime+ReorderCycle+SafetyDays)</f>
        <v>9.28571428571429</v>
      </c>
      <c r="J79" s="5" t="n">
        <f aca="false">IF(D79="Slow",MIN(H79,SlowMoverCap),H79)</f>
        <v>16.7142857142857</v>
      </c>
      <c r="K79" s="5" t="n">
        <f aca="false">IF(D79="Slow",MIN(I79,SlowMoverCap),I79)</f>
        <v>9.28571428571429</v>
      </c>
    </row>
    <row r="80" customFormat="false" ht="15" hidden="false" customHeight="false" outlineLevel="0" collapsed="false">
      <c r="A80" s="5" t="n">
        <f aca="false">DEMAND_MODEL!A80</f>
        <v>79</v>
      </c>
      <c r="B80" s="5" t="n">
        <f aca="false">DEMAND_MODEL!B80</f>
        <v>61558</v>
      </c>
      <c r="C80" s="5" t="str">
        <f aca="false">DEMAND_MODEL!C80</f>
        <v>STRAW 8.5" BBL/TEA 12MM WH/PAP 2M</v>
      </c>
      <c r="D80" s="5" t="str">
        <f aca="false">DEMAND_MODEL!G80</f>
        <v>Fast</v>
      </c>
      <c r="E80" s="5" t="n">
        <f aca="false">DEMAND_MODEL!K80</f>
        <v>1.28571428571429</v>
      </c>
      <c r="F80" s="5" t="n">
        <f aca="false">DEMAND_MODEL!L80</f>
        <v>0.857142857142857</v>
      </c>
      <c r="G80" s="5" t="n">
        <f aca="false">IFERROR(VLOOKUP(D80,SETTINGS!A14:B16,2,FALSE()),14)</f>
        <v>21</v>
      </c>
      <c r="H80" s="5" t="n">
        <f aca="false">E80*(LeadTime+ReorderCycle+SafetyDays)</f>
        <v>16.7142857142857</v>
      </c>
      <c r="I80" s="5" t="n">
        <f aca="false">F80*(LeadTime+ReorderCycle+SafetyDays)</f>
        <v>11.1428571428571</v>
      </c>
      <c r="J80" s="5" t="n">
        <f aca="false">IF(D80="Slow",MIN(H80,SlowMoverCap),H80)</f>
        <v>16.7142857142857</v>
      </c>
      <c r="K80" s="5" t="n">
        <f aca="false">IF(D80="Slow",MIN(I80,SlowMoverCap),I80)</f>
        <v>11.1428571428571</v>
      </c>
    </row>
    <row r="81" customFormat="false" ht="15" hidden="false" customHeight="false" outlineLevel="0" collapsed="false">
      <c r="A81" s="5" t="n">
        <f aca="false">DEMAND_MODEL!A81</f>
        <v>80</v>
      </c>
      <c r="B81" s="5" t="n">
        <f aca="false">DEMAND_MODEL!B81</f>
        <v>23511</v>
      </c>
      <c r="C81" s="5" t="str">
        <f aca="false">DEMAND_MODEL!C81</f>
        <v>Nouv CRM GLC BISC MONSTRE 11.4L</v>
      </c>
      <c r="D81" s="5" t="str">
        <f aca="false">DEMAND_MODEL!G81</f>
        <v>Fast</v>
      </c>
      <c r="E81" s="5" t="n">
        <f aca="false">DEMAND_MODEL!K81</f>
        <v>0.857142857142857</v>
      </c>
      <c r="F81" s="5" t="n">
        <f aca="false">DEMAND_MODEL!L81</f>
        <v>0.571428571428571</v>
      </c>
      <c r="G81" s="5" t="n">
        <f aca="false">IFERROR(VLOOKUP(D81,SETTINGS!A14:B16,2,FALSE()),14)</f>
        <v>21</v>
      </c>
      <c r="H81" s="5" t="n">
        <f aca="false">E81*(LeadTime+ReorderCycle+SafetyDays)</f>
        <v>11.1428571428571</v>
      </c>
      <c r="I81" s="5" t="n">
        <f aca="false">F81*(LeadTime+ReorderCycle+SafetyDays)</f>
        <v>7.42857142857143</v>
      </c>
      <c r="J81" s="5" t="n">
        <f aca="false">IF(D81="Slow",MIN(H81,SlowMoverCap),H81)</f>
        <v>11.1428571428571</v>
      </c>
      <c r="K81" s="5" t="n">
        <f aca="false">IF(D81="Slow",MIN(I81,SlowMoverCap),I81)</f>
        <v>7.42857142857143</v>
      </c>
    </row>
    <row r="82" customFormat="false" ht="15" hidden="false" customHeight="false" outlineLevel="0" collapsed="false">
      <c r="A82" s="5" t="n">
        <f aca="false">DEMAND_MODEL!A82</f>
        <v>81</v>
      </c>
      <c r="B82" s="5" t="n">
        <f aca="false">DEMAND_MODEL!B82</f>
        <v>15422</v>
      </c>
      <c r="C82" s="5" t="str">
        <f aca="false">DEMAND_MODEL!C82</f>
        <v>ICE CREAM CHOCOLATE 11.4L</v>
      </c>
      <c r="D82" s="5" t="str">
        <f aca="false">DEMAND_MODEL!G82</f>
        <v>Fast</v>
      </c>
      <c r="E82" s="5" t="n">
        <f aca="false">DEMAND_MODEL!K82</f>
        <v>0.571428571428571</v>
      </c>
      <c r="F82" s="5" t="n">
        <f aca="false">DEMAND_MODEL!L82</f>
        <v>0.428571428571429</v>
      </c>
      <c r="G82" s="5" t="n">
        <f aca="false">IFERROR(VLOOKUP(D82,SETTINGS!A14:B16,2,FALSE()),14)</f>
        <v>21</v>
      </c>
      <c r="H82" s="5" t="n">
        <f aca="false">E82*(LeadTime+ReorderCycle+SafetyDays)</f>
        <v>7.42857142857143</v>
      </c>
      <c r="I82" s="5" t="n">
        <f aca="false">F82*(LeadTime+ReorderCycle+SafetyDays)</f>
        <v>5.57142857142857</v>
      </c>
      <c r="J82" s="5" t="n">
        <f aca="false">IF(D82="Slow",MIN(H82,SlowMoverCap),H82)</f>
        <v>7.42857142857143</v>
      </c>
      <c r="K82" s="5" t="n">
        <f aca="false">IF(D82="Slow",MIN(I82,SlowMoverCap),I82)</f>
        <v>5.57142857142857</v>
      </c>
    </row>
    <row r="83" customFormat="false" ht="15" hidden="false" customHeight="false" outlineLevel="0" collapsed="false">
      <c r="A83" s="5" t="n">
        <f aca="false">DEMAND_MODEL!A83</f>
        <v>82</v>
      </c>
      <c r="B83" s="5" t="n">
        <f aca="false">DEMAND_MODEL!B83</f>
        <v>36840</v>
      </c>
      <c r="C83" s="5" t="str">
        <f aca="false">DEMAND_MODEL!C83</f>
        <v>ICE CREAM COTTON CANDY 11449 11.4L</v>
      </c>
      <c r="D83" s="5" t="str">
        <f aca="false">DEMAND_MODEL!G83</f>
        <v>Fast</v>
      </c>
      <c r="E83" s="5" t="n">
        <f aca="false">DEMAND_MODEL!K83</f>
        <v>0.285714285714286</v>
      </c>
      <c r="F83" s="5" t="n">
        <f aca="false">DEMAND_MODEL!L83</f>
        <v>0.285714285714286</v>
      </c>
      <c r="G83" s="5" t="n">
        <f aca="false">IFERROR(VLOOKUP(D83,SETTINGS!A14:B16,2,FALSE()),14)</f>
        <v>21</v>
      </c>
      <c r="H83" s="5" t="n">
        <f aca="false">E83*(LeadTime+ReorderCycle+SafetyDays)</f>
        <v>3.71428571428571</v>
      </c>
      <c r="I83" s="5" t="n">
        <f aca="false">F83*(LeadTime+ReorderCycle+SafetyDays)</f>
        <v>3.71428571428571</v>
      </c>
      <c r="J83" s="5" t="n">
        <f aca="false">IF(D83="Slow",MIN(H83,SlowMoverCap),H83)</f>
        <v>3.71428571428571</v>
      </c>
      <c r="K83" s="5" t="n">
        <f aca="false">IF(D83="Slow",MIN(I83,SlowMoverCap),I83)</f>
        <v>3.71428571428571</v>
      </c>
    </row>
    <row r="84" customFormat="false" ht="15" hidden="false" customHeight="false" outlineLevel="0" collapsed="false">
      <c r="A84" s="5" t="n">
        <f aca="false">DEMAND_MODEL!A84</f>
        <v>83</v>
      </c>
      <c r="B84" s="5" t="n">
        <f aca="false">DEMAND_MODEL!B84</f>
        <v>36827</v>
      </c>
      <c r="C84" s="5" t="str">
        <f aca="false">DEMAND_MODEL!C84</f>
        <v>ICE CREAM COOKIE/CRM 11438 11.4L</v>
      </c>
      <c r="D84" s="5" t="str">
        <f aca="false">DEMAND_MODEL!G84</f>
        <v>Fast</v>
      </c>
      <c r="E84" s="5" t="n">
        <f aca="false">DEMAND_MODEL!K84</f>
        <v>0.857142857142857</v>
      </c>
      <c r="F84" s="5" t="n">
        <f aca="false">DEMAND_MODEL!L84</f>
        <v>0.285714285714286</v>
      </c>
      <c r="G84" s="5" t="n">
        <f aca="false">IFERROR(VLOOKUP(D84,SETTINGS!A14:B16,2,FALSE()),14)</f>
        <v>21</v>
      </c>
      <c r="H84" s="5" t="n">
        <f aca="false">E84*(LeadTime+ReorderCycle+SafetyDays)</f>
        <v>11.1428571428571</v>
      </c>
      <c r="I84" s="5" t="n">
        <f aca="false">F84*(LeadTime+ReorderCycle+SafetyDays)</f>
        <v>3.71428571428571</v>
      </c>
      <c r="J84" s="5" t="n">
        <f aca="false">IF(D84="Slow",MIN(H84,SlowMoverCap),H84)</f>
        <v>11.1428571428571</v>
      </c>
      <c r="K84" s="5" t="n">
        <f aca="false">IF(D84="Slow",MIN(I84,SlowMoverCap),I84)</f>
        <v>3.71428571428571</v>
      </c>
    </row>
    <row r="85" customFormat="false" ht="15" hidden="false" customHeight="false" outlineLevel="0" collapsed="false">
      <c r="A85" s="5" t="n">
        <f aca="false">DEMAND_MODEL!A85</f>
        <v>84</v>
      </c>
      <c r="B85" s="5" t="n">
        <f aca="false">DEMAND_MODEL!B85</f>
        <v>36830</v>
      </c>
      <c r="C85" s="5" t="str">
        <f aca="false">DEMAND_MODEL!C85</f>
        <v>ICE CREAM CHOC BROWNIE 11446 11.4L</v>
      </c>
      <c r="D85" s="5" t="str">
        <f aca="false">DEMAND_MODEL!G85</f>
        <v>Fast</v>
      </c>
      <c r="E85" s="5" t="n">
        <f aca="false">DEMAND_MODEL!K85</f>
        <v>0.428571428571429</v>
      </c>
      <c r="F85" s="5" t="n">
        <f aca="false">DEMAND_MODEL!L85</f>
        <v>0.428571428571429</v>
      </c>
      <c r="G85" s="5" t="n">
        <f aca="false">IFERROR(VLOOKUP(D85,SETTINGS!A14:B16,2,FALSE()),14)</f>
        <v>21</v>
      </c>
      <c r="H85" s="5" t="n">
        <f aca="false">E85*(LeadTime+ReorderCycle+SafetyDays)</f>
        <v>5.57142857142857</v>
      </c>
      <c r="I85" s="5" t="n">
        <f aca="false">F85*(LeadTime+ReorderCycle+SafetyDays)</f>
        <v>5.57142857142857</v>
      </c>
      <c r="J85" s="5" t="n">
        <f aca="false">IF(D85="Slow",MIN(H85,SlowMoverCap),H85)</f>
        <v>5.57142857142857</v>
      </c>
      <c r="K85" s="5" t="n">
        <f aca="false">IF(D85="Slow",MIN(I85,SlowMoverCap),I85)</f>
        <v>5.57142857142857</v>
      </c>
    </row>
    <row r="86" customFormat="false" ht="15" hidden="false" customHeight="false" outlineLevel="0" collapsed="false">
      <c r="A86" s="5" t="n">
        <f aca="false">DEMAND_MODEL!A86</f>
        <v>85</v>
      </c>
      <c r="B86" s="5" t="n">
        <f aca="false">DEMAND_MODEL!B86</f>
        <v>36828</v>
      </c>
      <c r="C86" s="5" t="str">
        <f aca="false">DEMAND_MODEL!C86</f>
        <v>ICE CREAM PRALN/CRM 11440 11.4L</v>
      </c>
      <c r="D86" s="5" t="str">
        <f aca="false">DEMAND_MODEL!G86</f>
        <v>Fast</v>
      </c>
      <c r="E86" s="5" t="n">
        <f aca="false">DEMAND_MODEL!K86</f>
        <v>0.714285714285714</v>
      </c>
      <c r="F86" s="5" t="n">
        <f aca="false">DEMAND_MODEL!L86</f>
        <v>0.428571428571429</v>
      </c>
      <c r="G86" s="5" t="n">
        <f aca="false">IFERROR(VLOOKUP(D86,SETTINGS!A14:B16,2,FALSE()),14)</f>
        <v>21</v>
      </c>
      <c r="H86" s="5" t="n">
        <f aca="false">E86*(LeadTime+ReorderCycle+SafetyDays)</f>
        <v>9.28571428571429</v>
      </c>
      <c r="I86" s="5" t="n">
        <f aca="false">F86*(LeadTime+ReorderCycle+SafetyDays)</f>
        <v>5.57142857142857</v>
      </c>
      <c r="J86" s="5" t="n">
        <f aca="false">IF(D86="Slow",MIN(H86,SlowMoverCap),H86)</f>
        <v>9.28571428571429</v>
      </c>
      <c r="K86" s="5" t="n">
        <f aca="false">IF(D86="Slow",MIN(I86,SlowMoverCap),I86)</f>
        <v>5.57142857142857</v>
      </c>
    </row>
    <row r="87" customFormat="false" ht="15" hidden="false" customHeight="false" outlineLevel="0" collapsed="false">
      <c r="A87" s="5" t="n">
        <f aca="false">DEMAND_MODEL!A87</f>
        <v>86</v>
      </c>
      <c r="B87" s="5" t="n">
        <f aca="false">DEMAND_MODEL!B87</f>
        <v>36837</v>
      </c>
      <c r="C87" s="5" t="str">
        <f aca="false">DEMAND_MODEL!C87</f>
        <v>ICE CREAM RIBAMBL 3-COL 11429 11.4L</v>
      </c>
      <c r="D87" s="5" t="str">
        <f aca="false">DEMAND_MODEL!G87</f>
        <v>Fast</v>
      </c>
      <c r="E87" s="5" t="n">
        <f aca="false">DEMAND_MODEL!K87</f>
        <v>0.285714285714286</v>
      </c>
      <c r="F87" s="5" t="n">
        <f aca="false">DEMAND_MODEL!L87</f>
        <v>0.285714285714286</v>
      </c>
      <c r="G87" s="5" t="n">
        <f aca="false">IFERROR(VLOOKUP(D87,SETTINGS!A14:B16,2,FALSE()),14)</f>
        <v>21</v>
      </c>
      <c r="H87" s="5" t="n">
        <f aca="false">E87*(LeadTime+ReorderCycle+SafetyDays)</f>
        <v>3.71428571428571</v>
      </c>
      <c r="I87" s="5" t="n">
        <f aca="false">F87*(LeadTime+ReorderCycle+SafetyDays)</f>
        <v>3.71428571428571</v>
      </c>
      <c r="J87" s="5" t="n">
        <f aca="false">IF(D87="Slow",MIN(H87,SlowMoverCap),H87)</f>
        <v>3.71428571428571</v>
      </c>
      <c r="K87" s="5" t="n">
        <f aca="false">IF(D87="Slow",MIN(I87,SlowMoverCap),I87)</f>
        <v>3.71428571428571</v>
      </c>
    </row>
    <row r="88" customFormat="false" ht="15" hidden="false" customHeight="false" outlineLevel="0" collapsed="false">
      <c r="A88" s="5" t="n">
        <f aca="false">DEMAND_MODEL!A88</f>
        <v>87</v>
      </c>
      <c r="B88" s="5" t="n">
        <f aca="false">DEMAND_MODEL!B88</f>
        <v>36835</v>
      </c>
      <c r="C88" s="5" t="str">
        <f aca="false">DEMAND_MODEL!C88</f>
        <v>ICE CREAM MAPLE TAFFY 11426 11.4L</v>
      </c>
      <c r="D88" s="5" t="str">
        <f aca="false">DEMAND_MODEL!G88</f>
        <v>Fast</v>
      </c>
      <c r="E88" s="5" t="n">
        <f aca="false">DEMAND_MODEL!K88</f>
        <v>0.571428571428571</v>
      </c>
      <c r="F88" s="5" t="n">
        <f aca="false">DEMAND_MODEL!L88</f>
        <v>0.142857142857143</v>
      </c>
      <c r="G88" s="5" t="n">
        <f aca="false">IFERROR(VLOOKUP(D88,SETTINGS!A14:B16,2,FALSE()),14)</f>
        <v>21</v>
      </c>
      <c r="H88" s="5" t="n">
        <f aca="false">E88*(LeadTime+ReorderCycle+SafetyDays)</f>
        <v>7.42857142857143</v>
      </c>
      <c r="I88" s="5" t="n">
        <f aca="false">F88*(LeadTime+ReorderCycle+SafetyDays)</f>
        <v>1.85714285714286</v>
      </c>
      <c r="J88" s="5" t="n">
        <f aca="false">IF(D88="Slow",MIN(H88,SlowMoverCap),H88)</f>
        <v>7.42857142857143</v>
      </c>
      <c r="K88" s="5" t="n">
        <f aca="false">IF(D88="Slow",MIN(I88,SlowMoverCap),I88)</f>
        <v>1.85714285714286</v>
      </c>
    </row>
    <row r="89" customFormat="false" ht="15" hidden="false" customHeight="false" outlineLevel="0" collapsed="false">
      <c r="A89" s="5" t="n">
        <f aca="false">DEMAND_MODEL!A89</f>
        <v>88</v>
      </c>
      <c r="B89" s="5" t="n">
        <f aca="false">DEMAND_MODEL!B89</f>
        <v>36831</v>
      </c>
      <c r="C89" s="5" t="str">
        <f aca="false">DEMAND_MODEL!C89</f>
        <v>ICE CREAM VANILLA 11401 11.4L</v>
      </c>
      <c r="D89" s="5" t="str">
        <f aca="false">DEMAND_MODEL!G89</f>
        <v>Fast</v>
      </c>
      <c r="E89" s="5" t="n">
        <f aca="false">DEMAND_MODEL!K89</f>
        <v>1.14285714285714</v>
      </c>
      <c r="F89" s="5" t="n">
        <f aca="false">DEMAND_MODEL!L89</f>
        <v>0.571428571428571</v>
      </c>
      <c r="G89" s="5" t="n">
        <f aca="false">IFERROR(VLOOKUP(D89,SETTINGS!A14:B16,2,FALSE()),14)</f>
        <v>21</v>
      </c>
      <c r="H89" s="5" t="n">
        <f aca="false">E89*(LeadTime+ReorderCycle+SafetyDays)</f>
        <v>14.8571428571429</v>
      </c>
      <c r="I89" s="5" t="n">
        <f aca="false">F89*(LeadTime+ReorderCycle+SafetyDays)</f>
        <v>7.42857142857143</v>
      </c>
      <c r="J89" s="5" t="n">
        <f aca="false">IF(D89="Slow",MIN(H89,SlowMoverCap),H89)</f>
        <v>14.8571428571429</v>
      </c>
      <c r="K89" s="5" t="n">
        <f aca="false">IF(D89="Slow",MIN(I89,SlowMoverCap),I89)</f>
        <v>7.42857142857143</v>
      </c>
    </row>
    <row r="90" customFormat="false" ht="15" hidden="false" customHeight="false" outlineLevel="0" collapsed="false">
      <c r="A90" s="5" t="n">
        <f aca="false">DEMAND_MODEL!A90</f>
        <v>89</v>
      </c>
      <c r="B90" s="5" t="n">
        <f aca="false">DEMAND_MODEL!B90</f>
        <v>15425</v>
      </c>
      <c r="C90" s="5" t="str">
        <f aca="false">DEMAND_MODEL!C90</f>
        <v>ICE CRM COOKIE DGH/CHOC FUDGE 11.4L</v>
      </c>
      <c r="D90" s="5" t="str">
        <f aca="false">DEMAND_MODEL!G90</f>
        <v>Fast</v>
      </c>
      <c r="E90" s="5" t="n">
        <f aca="false">DEMAND_MODEL!K90</f>
        <v>0.714285714285714</v>
      </c>
      <c r="F90" s="5" t="n">
        <f aca="false">DEMAND_MODEL!L90</f>
        <v>0.142857142857143</v>
      </c>
      <c r="G90" s="5" t="n">
        <f aca="false">IFERROR(VLOOKUP(D90,SETTINGS!A14:B16,2,FALSE()),14)</f>
        <v>21</v>
      </c>
      <c r="H90" s="5" t="n">
        <f aca="false">E90*(LeadTime+ReorderCycle+SafetyDays)</f>
        <v>9.28571428571429</v>
      </c>
      <c r="I90" s="5" t="n">
        <f aca="false">F90*(LeadTime+ReorderCycle+SafetyDays)</f>
        <v>1.85714285714286</v>
      </c>
      <c r="J90" s="5" t="n">
        <f aca="false">IF(D90="Slow",MIN(H90,SlowMoverCap),H90)</f>
        <v>9.28571428571429</v>
      </c>
      <c r="K90" s="5" t="n">
        <f aca="false">IF(D90="Slow",MIN(I90,SlowMoverCap),I90)</f>
        <v>1.85714285714286</v>
      </c>
    </row>
    <row r="91" customFormat="false" ht="15" hidden="false" customHeight="false" outlineLevel="0" collapsed="false">
      <c r="A91" s="5" t="n">
        <f aca="false">DEMAND_MODEL!A91</f>
        <v>90</v>
      </c>
      <c r="B91" s="5" t="n">
        <f aca="false">DEMAND_MODEL!B91</f>
        <v>15424</v>
      </c>
      <c r="C91" s="5" t="str">
        <f aca="false">DEMAND_MODEL!C91</f>
        <v>ICE CREAM MINT CHOC CHIP  11.4L</v>
      </c>
      <c r="D91" s="5" t="str">
        <f aca="false">DEMAND_MODEL!G91</f>
        <v>Fast</v>
      </c>
      <c r="E91" s="5" t="n">
        <f aca="false">DEMAND_MODEL!K91</f>
        <v>0.285714285714286</v>
      </c>
      <c r="F91" s="5" t="n">
        <f aca="false">DEMAND_MODEL!L91</f>
        <v>0.571428571428571</v>
      </c>
      <c r="G91" s="5" t="n">
        <f aca="false">IFERROR(VLOOKUP(D91,SETTINGS!A14:B16,2,FALSE()),14)</f>
        <v>21</v>
      </c>
      <c r="H91" s="5" t="n">
        <f aca="false">E91*(LeadTime+ReorderCycle+SafetyDays)</f>
        <v>3.71428571428571</v>
      </c>
      <c r="I91" s="5" t="n">
        <f aca="false">F91*(LeadTime+ReorderCycle+SafetyDays)</f>
        <v>7.42857142857143</v>
      </c>
      <c r="J91" s="5" t="n">
        <f aca="false">IF(D91="Slow",MIN(H91,SlowMoverCap),H91)</f>
        <v>3.71428571428571</v>
      </c>
      <c r="K91" s="5" t="n">
        <f aca="false">IF(D91="Slow",MIN(I91,SlowMoverCap),I91)</f>
        <v>7.42857142857143</v>
      </c>
    </row>
    <row r="92" customFormat="false" ht="15" hidden="false" customHeight="false" outlineLevel="0" collapsed="false">
      <c r="A92" s="5" t="n">
        <f aca="false">DEMAND_MODEL!A92</f>
        <v>91</v>
      </c>
      <c r="B92" s="5" t="n">
        <f aca="false">DEMAND_MODEL!B92</f>
        <v>36884</v>
      </c>
      <c r="C92" s="5" t="str">
        <f aca="false">DEMAND_MODEL!C92</f>
        <v>ICE CRM CHOC/CHERRY/AMARETTO 11.4L</v>
      </c>
      <c r="D92" s="5" t="str">
        <f aca="false">DEMAND_MODEL!G92</f>
        <v>Fast</v>
      </c>
      <c r="E92" s="5" t="n">
        <f aca="false">DEMAND_MODEL!K92</f>
        <v>0.428571428571429</v>
      </c>
      <c r="F92" s="5" t="n">
        <f aca="false">DEMAND_MODEL!L92</f>
        <v>0.428571428571429</v>
      </c>
      <c r="G92" s="5" t="n">
        <f aca="false">IFERROR(VLOOKUP(D92,SETTINGS!A14:B16,2,FALSE()),14)</f>
        <v>21</v>
      </c>
      <c r="H92" s="5" t="n">
        <f aca="false">E92*(LeadTime+ReorderCycle+SafetyDays)</f>
        <v>5.57142857142857</v>
      </c>
      <c r="I92" s="5" t="n">
        <f aca="false">F92*(LeadTime+ReorderCycle+SafetyDays)</f>
        <v>5.57142857142857</v>
      </c>
      <c r="J92" s="5" t="n">
        <f aca="false">IF(D92="Slow",MIN(H92,SlowMoverCap),H92)</f>
        <v>5.57142857142857</v>
      </c>
      <c r="K92" s="5" t="n">
        <f aca="false">IF(D92="Slow",MIN(I92,SlowMoverCap),I92)</f>
        <v>5.57142857142857</v>
      </c>
    </row>
    <row r="93" customFormat="false" ht="15" hidden="false" customHeight="false" outlineLevel="0" collapsed="false">
      <c r="A93" s="5" t="n">
        <f aca="false">DEMAND_MODEL!A93</f>
        <v>92</v>
      </c>
      <c r="B93" s="5" t="n">
        <f aca="false">DEMAND_MODEL!B93</f>
        <v>15426</v>
      </c>
      <c r="C93" s="5" t="str">
        <f aca="false">DEMAND_MODEL!C93</f>
        <v>ICE CRM DBL STRAWBERRY 11407 11.4L</v>
      </c>
      <c r="D93" s="5" t="str">
        <f aca="false">DEMAND_MODEL!G93</f>
        <v>Fast</v>
      </c>
      <c r="E93" s="5" t="n">
        <f aca="false">DEMAND_MODEL!K93</f>
        <v>0.857142857142857</v>
      </c>
      <c r="F93" s="5" t="n">
        <f aca="false">DEMAND_MODEL!L93</f>
        <v>0.142857142857143</v>
      </c>
      <c r="G93" s="5" t="n">
        <f aca="false">IFERROR(VLOOKUP(D93,SETTINGS!A14:B16,2,FALSE()),14)</f>
        <v>21</v>
      </c>
      <c r="H93" s="5" t="n">
        <f aca="false">E93*(LeadTime+ReorderCycle+SafetyDays)</f>
        <v>11.1428571428571</v>
      </c>
      <c r="I93" s="5" t="n">
        <f aca="false">F93*(LeadTime+ReorderCycle+SafetyDays)</f>
        <v>1.85714285714286</v>
      </c>
      <c r="J93" s="5" t="n">
        <f aca="false">IF(D93="Slow",MIN(H93,SlowMoverCap),H93)</f>
        <v>11.1428571428571</v>
      </c>
      <c r="K93" s="5" t="n">
        <f aca="false">IF(D93="Slow",MIN(I93,SlowMoverCap),I93)</f>
        <v>1.85714285714286</v>
      </c>
    </row>
    <row r="94" customFormat="false" ht="15" hidden="false" customHeight="false" outlineLevel="0" collapsed="false">
      <c r="A94" s="5" t="n">
        <f aca="false">DEMAND_MODEL!A94</f>
        <v>93</v>
      </c>
      <c r="B94" s="5" t="n">
        <f aca="false">DEMAND_MODEL!B94</f>
        <v>36846</v>
      </c>
      <c r="C94" s="5" t="str">
        <f aca="false">DEMAND_MODEL!C94</f>
        <v>ICE CRM SALTED CARAMEL 11445 11.4L</v>
      </c>
      <c r="D94" s="5" t="str">
        <f aca="false">DEMAND_MODEL!G94</f>
        <v>Fast</v>
      </c>
      <c r="E94" s="5" t="n">
        <f aca="false">DEMAND_MODEL!K94</f>
        <v>0.428571428571429</v>
      </c>
      <c r="F94" s="5" t="n">
        <f aca="false">DEMAND_MODEL!L94</f>
        <v>0.571428571428571</v>
      </c>
      <c r="G94" s="5" t="n">
        <f aca="false">IFERROR(VLOOKUP(D94,SETTINGS!A14:B16,2,FALSE()),14)</f>
        <v>21</v>
      </c>
      <c r="H94" s="5" t="n">
        <f aca="false">E94*(LeadTime+ReorderCycle+SafetyDays)</f>
        <v>5.57142857142857</v>
      </c>
      <c r="I94" s="5" t="n">
        <f aca="false">F94*(LeadTime+ReorderCycle+SafetyDays)</f>
        <v>7.42857142857143</v>
      </c>
      <c r="J94" s="5" t="n">
        <f aca="false">IF(D94="Slow",MIN(H94,SlowMoverCap),H94)</f>
        <v>5.57142857142857</v>
      </c>
      <c r="K94" s="5" t="n">
        <f aca="false">IF(D94="Slow",MIN(I94,SlowMoverCap),I94)</f>
        <v>7.42857142857143</v>
      </c>
    </row>
    <row r="95" customFormat="false" ht="15" hidden="false" customHeight="false" outlineLevel="0" collapsed="false">
      <c r="A95" s="5" t="n">
        <f aca="false">DEMAND_MODEL!A95</f>
        <v>94</v>
      </c>
      <c r="B95" s="5" t="n">
        <f aca="false">DEMAND_MODEL!B95</f>
        <v>15423</v>
      </c>
      <c r="C95" s="5" t="str">
        <f aca="false">DEMAND_MODEL!C95</f>
        <v>ICE CREAM PISTACHIO 11416 11.4L</v>
      </c>
      <c r="D95" s="5" t="str">
        <f aca="false">DEMAND_MODEL!G95</f>
        <v>Fast</v>
      </c>
      <c r="E95" s="5" t="n">
        <f aca="false">DEMAND_MODEL!K95</f>
        <v>0.714285714285714</v>
      </c>
      <c r="F95" s="5" t="n">
        <f aca="false">DEMAND_MODEL!L95</f>
        <v>0.285714285714286</v>
      </c>
      <c r="G95" s="5" t="n">
        <f aca="false">IFERROR(VLOOKUP(D95,SETTINGS!A14:B16,2,FALSE()),14)</f>
        <v>21</v>
      </c>
      <c r="H95" s="5" t="n">
        <f aca="false">E95*(LeadTime+ReorderCycle+SafetyDays)</f>
        <v>9.28571428571429</v>
      </c>
      <c r="I95" s="5" t="n">
        <f aca="false">F95*(LeadTime+ReorderCycle+SafetyDays)</f>
        <v>3.71428571428571</v>
      </c>
      <c r="J95" s="5" t="n">
        <f aca="false">IF(D95="Slow",MIN(H95,SlowMoverCap),H95)</f>
        <v>9.28571428571429</v>
      </c>
      <c r="K95" s="5" t="n">
        <f aca="false">IF(D95="Slow",MIN(I95,SlowMoverCap),I95)</f>
        <v>3.71428571428571</v>
      </c>
    </row>
    <row r="96" customFormat="false" ht="15" hidden="false" customHeight="false" outlineLevel="0" collapsed="false">
      <c r="A96" s="5" t="n">
        <f aca="false">DEMAND_MODEL!A96</f>
        <v>95</v>
      </c>
      <c r="B96" s="5" t="n">
        <f aca="false">DEMAND_MODEL!B96</f>
        <v>36824</v>
      </c>
      <c r="C96" s="5" t="str">
        <f aca="false">DEMAND_MODEL!C96</f>
        <v>LC ICE CRM PCN/CARAM/FDG11435 11.4L</v>
      </c>
      <c r="D96" s="5" t="str">
        <f aca="false">DEMAND_MODEL!G96</f>
        <v>Fast</v>
      </c>
      <c r="E96" s="5" t="n">
        <f aca="false">DEMAND_MODEL!K96</f>
        <v>0.714285714285714</v>
      </c>
      <c r="F96" s="5" t="n">
        <f aca="false">DEMAND_MODEL!L96</f>
        <v>0.428571428571429</v>
      </c>
      <c r="G96" s="5" t="n">
        <f aca="false">IFERROR(VLOOKUP(D96,SETTINGS!A14:B16,2,FALSE()),14)</f>
        <v>21</v>
      </c>
      <c r="H96" s="5" t="n">
        <f aca="false">E96*(LeadTime+ReorderCycle+SafetyDays)</f>
        <v>9.28571428571429</v>
      </c>
      <c r="I96" s="5" t="n">
        <f aca="false">F96*(LeadTime+ReorderCycle+SafetyDays)</f>
        <v>5.57142857142857</v>
      </c>
      <c r="J96" s="5" t="n">
        <f aca="false">IF(D96="Slow",MIN(H96,SlowMoverCap),H96)</f>
        <v>9.28571428571429</v>
      </c>
      <c r="K96" s="5" t="n">
        <f aca="false">IF(D96="Slow",MIN(I96,SlowMoverCap),I96)</f>
        <v>5.57142857142857</v>
      </c>
    </row>
    <row r="97" customFormat="false" ht="15" hidden="false" customHeight="false" outlineLevel="0" collapsed="false">
      <c r="A97" s="5" t="n">
        <f aca="false">DEMAND_MODEL!A97</f>
        <v>96</v>
      </c>
      <c r="B97" s="5" t="n">
        <f aca="false">DEMAND_MODEL!B97</f>
        <v>36833</v>
      </c>
      <c r="C97" s="5" t="str">
        <f aca="false">DEMAND_MODEL!C97</f>
        <v>ICE CREAM BUBBLE GUM 11413 11.4L</v>
      </c>
      <c r="D97" s="5" t="str">
        <f aca="false">DEMAND_MODEL!G97</f>
        <v>Fast</v>
      </c>
      <c r="E97" s="5" t="n">
        <f aca="false">DEMAND_MODEL!K97</f>
        <v>0.714285714285714</v>
      </c>
      <c r="F97" s="5" t="n">
        <f aca="false">DEMAND_MODEL!L97</f>
        <v>0.285714285714286</v>
      </c>
      <c r="G97" s="5" t="n">
        <f aca="false">IFERROR(VLOOKUP(D97,SETTINGS!A14:B16,2,FALSE()),14)</f>
        <v>21</v>
      </c>
      <c r="H97" s="5" t="n">
        <f aca="false">E97*(LeadTime+ReorderCycle+SafetyDays)</f>
        <v>9.28571428571429</v>
      </c>
      <c r="I97" s="5" t="n">
        <f aca="false">F97*(LeadTime+ReorderCycle+SafetyDays)</f>
        <v>3.71428571428571</v>
      </c>
      <c r="J97" s="5" t="n">
        <f aca="false">IF(D97="Slow",MIN(H97,SlowMoverCap),H97)</f>
        <v>9.28571428571429</v>
      </c>
      <c r="K97" s="5" t="n">
        <f aca="false">IF(D97="Slow",MIN(I97,SlowMoverCap),I97)</f>
        <v>3.71428571428571</v>
      </c>
    </row>
    <row r="98" customFormat="false" ht="15" hidden="false" customHeight="false" outlineLevel="0" collapsed="false">
      <c r="A98" s="5" t="n">
        <f aca="false">DEMAND_MODEL!A98</f>
        <v>97</v>
      </c>
      <c r="B98" s="5" t="n">
        <f aca="false">DEMAND_MODEL!B98</f>
        <v>32183</v>
      </c>
      <c r="C98" s="5" t="str">
        <f aca="false">DEMAND_MODEL!C98</f>
        <v>ICE CREAM MANGO 851 11.4L</v>
      </c>
      <c r="D98" s="5" t="str">
        <f aca="false">DEMAND_MODEL!G98</f>
        <v>Fast</v>
      </c>
      <c r="E98" s="5" t="n">
        <f aca="false">DEMAND_MODEL!K98</f>
        <v>0.428571428571429</v>
      </c>
      <c r="F98" s="5" t="n">
        <f aca="false">DEMAND_MODEL!L98</f>
        <v>0.285714285714286</v>
      </c>
      <c r="G98" s="5" t="n">
        <f aca="false">IFERROR(VLOOKUP(D98,SETTINGS!A14:B16,2,FALSE()),14)</f>
        <v>21</v>
      </c>
      <c r="H98" s="5" t="n">
        <f aca="false">E98*(LeadTime+ReorderCycle+SafetyDays)</f>
        <v>5.57142857142857</v>
      </c>
      <c r="I98" s="5" t="n">
        <f aca="false">F98*(LeadTime+ReorderCycle+SafetyDays)</f>
        <v>3.71428571428571</v>
      </c>
      <c r="J98" s="5" t="n">
        <f aca="false">IF(D98="Slow",MIN(H98,SlowMoverCap),H98)</f>
        <v>5.57142857142857</v>
      </c>
      <c r="K98" s="5" t="n">
        <f aca="false">IF(D98="Slow",MIN(I98,SlowMoverCap),I98)</f>
        <v>3.71428571428571</v>
      </c>
    </row>
    <row r="99" customFormat="false" ht="15" hidden="false" customHeight="false" outlineLevel="0" collapsed="false">
      <c r="A99" s="5" t="n">
        <f aca="false">DEMAND_MODEL!A99</f>
        <v>98</v>
      </c>
      <c r="B99" s="5" t="n">
        <f aca="false">DEMAND_MODEL!B99</f>
        <v>15427</v>
      </c>
      <c r="C99" s="5" t="str">
        <f aca="false">DEMAND_MODEL!C99</f>
        <v>ICE CREAM RHUM&amp;RAISIN 11.4L</v>
      </c>
      <c r="D99" s="5" t="str">
        <f aca="false">DEMAND_MODEL!G99</f>
        <v>Fast</v>
      </c>
      <c r="E99" s="5" t="n">
        <f aca="false">DEMAND_MODEL!K99</f>
        <v>0.714285714285714</v>
      </c>
      <c r="F99" s="5" t="n">
        <f aca="false">DEMAND_MODEL!L99</f>
        <v>0.285714285714286</v>
      </c>
      <c r="G99" s="5" t="n">
        <f aca="false">IFERROR(VLOOKUP(D99,SETTINGS!A14:B16,2,FALSE()),14)</f>
        <v>21</v>
      </c>
      <c r="H99" s="5" t="n">
        <f aca="false">E99*(LeadTime+ReorderCycle+SafetyDays)</f>
        <v>9.28571428571429</v>
      </c>
      <c r="I99" s="5" t="n">
        <f aca="false">F99*(LeadTime+ReorderCycle+SafetyDays)</f>
        <v>3.71428571428571</v>
      </c>
      <c r="J99" s="5" t="n">
        <f aca="false">IF(D99="Slow",MIN(H99,SlowMoverCap),H99)</f>
        <v>9.28571428571429</v>
      </c>
      <c r="K99" s="5" t="n">
        <f aca="false">IF(D99="Slow",MIN(I99,SlowMoverCap),I99)</f>
        <v>3.71428571428571</v>
      </c>
    </row>
    <row r="100" customFormat="false" ht="15" hidden="false" customHeight="false" outlineLevel="0" collapsed="false">
      <c r="A100" s="5" t="n">
        <f aca="false">DEMAND_MODEL!A100</f>
        <v>99</v>
      </c>
      <c r="B100" s="5" t="n">
        <f aca="false">DEMAND_MODEL!B100</f>
        <v>15429</v>
      </c>
      <c r="C100" s="5" t="str">
        <f aca="false">DEMAND_MODEL!C100</f>
        <v>ICE CREAM CHERRY CHEESECAKE 11.4L</v>
      </c>
      <c r="D100" s="5" t="str">
        <f aca="false">DEMAND_MODEL!G100</f>
        <v>Fast</v>
      </c>
      <c r="E100" s="5" t="n">
        <f aca="false">DEMAND_MODEL!K100</f>
        <v>0.714285714285714</v>
      </c>
      <c r="F100" s="5" t="n">
        <f aca="false">DEMAND_MODEL!L100</f>
        <v>0.142857142857143</v>
      </c>
      <c r="G100" s="5" t="n">
        <f aca="false">IFERROR(VLOOKUP(D100,SETTINGS!A14:B16,2,FALSE()),14)</f>
        <v>21</v>
      </c>
      <c r="H100" s="5" t="n">
        <f aca="false">E100*(LeadTime+ReorderCycle+SafetyDays)</f>
        <v>9.28571428571429</v>
      </c>
      <c r="I100" s="5" t="n">
        <f aca="false">F100*(LeadTime+ReorderCycle+SafetyDays)</f>
        <v>1.85714285714286</v>
      </c>
      <c r="J100" s="5" t="n">
        <f aca="false">IF(D100="Slow",MIN(H100,SlowMoverCap),H100)</f>
        <v>9.28571428571429</v>
      </c>
      <c r="K100" s="5" t="n">
        <f aca="false">IF(D100="Slow",MIN(I100,SlowMoverCap),I100)</f>
        <v>1.85714285714286</v>
      </c>
    </row>
    <row r="101" customFormat="false" ht="15" hidden="false" customHeight="false" outlineLevel="0" collapsed="false">
      <c r="A101" s="5" t="n">
        <f aca="false">DEMAND_MODEL!A101</f>
        <v>100</v>
      </c>
      <c r="B101" s="5" t="n">
        <f aca="false">DEMAND_MODEL!B101</f>
        <v>32180</v>
      </c>
      <c r="C101" s="5" t="str">
        <f aca="false">DEMAND_MODEL!C101</f>
        <v>SORBET LEMON LIME 152 11.4L</v>
      </c>
      <c r="D101" s="5" t="str">
        <f aca="false">DEMAND_MODEL!G101</f>
        <v>Fast</v>
      </c>
      <c r="E101" s="5" t="n">
        <f aca="false">DEMAND_MODEL!K101</f>
        <v>0.285714285714286</v>
      </c>
      <c r="F101" s="5" t="n">
        <f aca="false">DEMAND_MODEL!L101</f>
        <v>0.285714285714286</v>
      </c>
      <c r="G101" s="5" t="n">
        <f aca="false">IFERROR(VLOOKUP(D101,SETTINGS!A14:B16,2,FALSE()),14)</f>
        <v>21</v>
      </c>
      <c r="H101" s="5" t="n">
        <f aca="false">E101*(LeadTime+ReorderCycle+SafetyDays)</f>
        <v>3.71428571428571</v>
      </c>
      <c r="I101" s="5" t="n">
        <f aca="false">F101*(LeadTime+ReorderCycle+SafetyDays)</f>
        <v>3.71428571428571</v>
      </c>
      <c r="J101" s="5" t="n">
        <f aca="false">IF(D101="Slow",MIN(H101,SlowMoverCap),H101)</f>
        <v>3.71428571428571</v>
      </c>
      <c r="K101" s="5" t="n">
        <f aca="false">IF(D101="Slow",MIN(I101,SlowMoverCap),I101)</f>
        <v>3.71428571428571</v>
      </c>
    </row>
    <row r="102" customFormat="false" ht="15" hidden="false" customHeight="false" outlineLevel="0" collapsed="false">
      <c r="A102" s="5" t="n">
        <f aca="false">DEMAND_MODEL!A102</f>
        <v>101</v>
      </c>
      <c r="B102" s="5" t="n">
        <f aca="false">DEMAND_MODEL!B102</f>
        <v>32181</v>
      </c>
      <c r="C102" s="5" t="str">
        <f aca="false">DEMAND_MODEL!C102</f>
        <v>SORBET STRAWBERRY 162 11.4L</v>
      </c>
      <c r="D102" s="5" t="str">
        <f aca="false">DEMAND_MODEL!G102</f>
        <v>Fast</v>
      </c>
      <c r="E102" s="5" t="n">
        <f aca="false">DEMAND_MODEL!K102</f>
        <v>0.428571428571429</v>
      </c>
      <c r="F102" s="5" t="n">
        <f aca="false">DEMAND_MODEL!L102</f>
        <v>0.142857142857143</v>
      </c>
      <c r="G102" s="5" t="n">
        <f aca="false">IFERROR(VLOOKUP(D102,SETTINGS!A14:B16,2,FALSE()),14)</f>
        <v>21</v>
      </c>
      <c r="H102" s="5" t="n">
        <f aca="false">E102*(LeadTime+ReorderCycle+SafetyDays)</f>
        <v>5.57142857142857</v>
      </c>
      <c r="I102" s="5" t="n">
        <f aca="false">F102*(LeadTime+ReorderCycle+SafetyDays)</f>
        <v>1.85714285714286</v>
      </c>
      <c r="J102" s="5" t="n">
        <f aca="false">IF(D102="Slow",MIN(H102,SlowMoverCap),H102)</f>
        <v>5.57142857142857</v>
      </c>
      <c r="K102" s="5" t="n">
        <f aca="false">IF(D102="Slow",MIN(I102,SlowMoverCap),I102)</f>
        <v>1.85714285714286</v>
      </c>
    </row>
    <row r="103" customFormat="false" ht="15" hidden="false" customHeight="false" outlineLevel="0" collapsed="false">
      <c r="A103" s="5" t="n">
        <f aca="false">DEMAND_MODEL!A103</f>
        <v>102</v>
      </c>
      <c r="B103" s="5" t="n">
        <f aca="false">DEMAND_MODEL!B103</f>
        <v>32182</v>
      </c>
      <c r="C103" s="5" t="str">
        <f aca="false">DEMAND_MODEL!C103</f>
        <v>SHERBERT WATERMELON 860 11.4L</v>
      </c>
      <c r="D103" s="5" t="str">
        <f aca="false">DEMAND_MODEL!G103</f>
        <v>Fast</v>
      </c>
      <c r="E103" s="5" t="n">
        <f aca="false">DEMAND_MODEL!K103</f>
        <v>0.142857142857143</v>
      </c>
      <c r="F103" s="5" t="n">
        <f aca="false">DEMAND_MODEL!L103</f>
        <v>0.285714285714286</v>
      </c>
      <c r="G103" s="5" t="n">
        <f aca="false">IFERROR(VLOOKUP(D103,SETTINGS!A14:B16,2,FALSE()),14)</f>
        <v>21</v>
      </c>
      <c r="H103" s="5" t="n">
        <f aca="false">E103*(LeadTime+ReorderCycle+SafetyDays)</f>
        <v>1.85714285714286</v>
      </c>
      <c r="I103" s="5" t="n">
        <f aca="false">F103*(LeadTime+ReorderCycle+SafetyDays)</f>
        <v>3.71428571428571</v>
      </c>
      <c r="J103" s="5" t="n">
        <f aca="false">IF(D103="Slow",MIN(H103,SlowMoverCap),H103)</f>
        <v>1.85714285714286</v>
      </c>
      <c r="K103" s="5" t="n">
        <f aca="false">IF(D103="Slow",MIN(I103,SlowMoverCap),I103)</f>
        <v>3.71428571428571</v>
      </c>
    </row>
    <row r="104" customFormat="false" ht="15" hidden="false" customHeight="false" outlineLevel="0" collapsed="false">
      <c r="A104" s="5" t="n">
        <f aca="false">DEMAND_MODEL!A104</f>
        <v>103</v>
      </c>
      <c r="B104" s="5" t="n">
        <f aca="false">DEMAND_MODEL!B104</f>
        <v>32184</v>
      </c>
      <c r="C104" s="5" t="str">
        <f aca="false">DEMAND_MODEL!C104</f>
        <v>SORBET PEACH 11.4L</v>
      </c>
      <c r="D104" s="5" t="str">
        <f aca="false">DEMAND_MODEL!G104</f>
        <v>Fast</v>
      </c>
      <c r="E104" s="5" t="n">
        <f aca="false">DEMAND_MODEL!K104</f>
        <v>0.428571428571429</v>
      </c>
      <c r="F104" s="5" t="n">
        <f aca="false">DEMAND_MODEL!L104</f>
        <v>0.142857142857143</v>
      </c>
      <c r="G104" s="5" t="n">
        <f aca="false">IFERROR(VLOOKUP(D104,SETTINGS!A14:B16,2,FALSE()),14)</f>
        <v>21</v>
      </c>
      <c r="H104" s="5" t="n">
        <f aca="false">E104*(LeadTime+ReorderCycle+SafetyDays)</f>
        <v>5.57142857142857</v>
      </c>
      <c r="I104" s="5" t="n">
        <f aca="false">F104*(LeadTime+ReorderCycle+SafetyDays)</f>
        <v>1.85714285714286</v>
      </c>
      <c r="J104" s="5" t="n">
        <f aca="false">IF(D104="Slow",MIN(H104,SlowMoverCap),H104)</f>
        <v>5.57142857142857</v>
      </c>
      <c r="K104" s="5" t="n">
        <f aca="false">IF(D104="Slow",MIN(I104,SlowMoverCap),I104)</f>
        <v>1.85714285714286</v>
      </c>
    </row>
    <row r="105" customFormat="false" ht="15" hidden="false" customHeight="false" outlineLevel="0" collapsed="false">
      <c r="A105" s="5" t="n">
        <f aca="false">DEMAND_MODEL!A105</f>
        <v>104</v>
      </c>
      <c r="B105" s="5" t="n">
        <f aca="false">DEMAND_MODEL!B105</f>
        <v>32185</v>
      </c>
      <c r="C105" s="5" t="str">
        <f aca="false">DEMAND_MODEL!C105</f>
        <v>MONSTER COOKIE ICE CRM BAR 8X4UN</v>
      </c>
      <c r="D105" s="5" t="str">
        <f aca="false">DEMAND_MODEL!G105</f>
        <v>Slow</v>
      </c>
      <c r="E105" s="5" t="n">
        <f aca="false">DEMAND_MODEL!K105</f>
        <v>0.142857142857143</v>
      </c>
      <c r="F105" s="5" t="n">
        <f aca="false">DEMAND_MODEL!L105</f>
        <v>0.428571428571429</v>
      </c>
      <c r="G105" s="5" t="n">
        <f aca="false">IFERROR(VLOOKUP(D105,SETTINGS!A14:B16,2,FALSE()),14)</f>
        <v>10</v>
      </c>
      <c r="H105" s="5" t="n">
        <f aca="false">E105*(LeadTime+ReorderCycle+SafetyDays)</f>
        <v>1.85714285714286</v>
      </c>
      <c r="I105" s="5" t="n">
        <f aca="false">F105*(LeadTime+ReorderCycle+SafetyDays)</f>
        <v>5.57142857142857</v>
      </c>
      <c r="J105" s="5" t="n">
        <f aca="false">IF(D105="Slow",MIN(H105,SlowMoverCap),H105)</f>
        <v>1.85714285714286</v>
      </c>
      <c r="K105" s="5" t="n">
        <f aca="false">IF(D105="Slow",MIN(I105,SlowMoverCap),I105)</f>
        <v>5.57142857142857</v>
      </c>
    </row>
    <row r="106" customFormat="false" ht="15" hidden="false" customHeight="false" outlineLevel="0" collapsed="false">
      <c r="A106" s="5" t="n">
        <f aca="false">DEMAND_MODEL!A106</f>
        <v>105</v>
      </c>
      <c r="B106" s="5" t="n">
        <f aca="false">DEMAND_MODEL!B106</f>
        <v>37191</v>
      </c>
      <c r="C106" s="5" t="str">
        <f aca="false">DEMAND_MODEL!C106</f>
        <v>BAR VEGAN CHOC SV20214 24UN</v>
      </c>
      <c r="D106" s="5" t="str">
        <f aca="false">DEMAND_MODEL!G106</f>
        <v>Slow</v>
      </c>
      <c r="E106" s="5" t="n">
        <f aca="false">DEMAND_MODEL!K106</f>
        <v>0.142857142857143</v>
      </c>
      <c r="F106" s="5" t="n">
        <f aca="false">DEMAND_MODEL!L106</f>
        <v>0.428571428571429</v>
      </c>
      <c r="G106" s="5" t="n">
        <f aca="false">IFERROR(VLOOKUP(D106,SETTINGS!A14:B16,2,FALSE()),14)</f>
        <v>10</v>
      </c>
      <c r="H106" s="5" t="n">
        <f aca="false">E106*(LeadTime+ReorderCycle+SafetyDays)</f>
        <v>1.85714285714286</v>
      </c>
      <c r="I106" s="5" t="n">
        <f aca="false">F106*(LeadTime+ReorderCycle+SafetyDays)</f>
        <v>5.57142857142857</v>
      </c>
      <c r="J106" s="5" t="n">
        <f aca="false">IF(D106="Slow",MIN(H106,SlowMoverCap),H106)</f>
        <v>1.85714285714286</v>
      </c>
      <c r="K106" s="5" t="n">
        <f aca="false">IF(D106="Slow",MIN(I106,SlowMoverCap),I106)</f>
        <v>5.57142857142857</v>
      </c>
    </row>
    <row r="107" customFormat="false" ht="15" hidden="false" customHeight="false" outlineLevel="0" collapsed="false">
      <c r="A107" s="5" t="n">
        <f aca="false">DEMAND_MODEL!A107</f>
        <v>106</v>
      </c>
      <c r="B107" s="5" t="n">
        <f aca="false">DEMAND_MODEL!B107</f>
        <v>37190</v>
      </c>
      <c r="C107" s="5" t="str">
        <f aca="false">DEMAND_MODEL!C107</f>
        <v>BAR VEGAN VANIL SV20114 24UN</v>
      </c>
      <c r="D107" s="5" t="str">
        <f aca="false">DEMAND_MODEL!G107</f>
        <v>Slow</v>
      </c>
      <c r="E107" s="5" t="n">
        <f aca="false">DEMAND_MODEL!K107</f>
        <v>0.285714285714286</v>
      </c>
      <c r="F107" s="5" t="n">
        <f aca="false">DEMAND_MODEL!L107</f>
        <v>0.428571428571429</v>
      </c>
      <c r="G107" s="5" t="n">
        <f aca="false">IFERROR(VLOOKUP(D107,SETTINGS!A14:B16,2,FALSE()),14)</f>
        <v>10</v>
      </c>
      <c r="H107" s="5" t="n">
        <f aca="false">E107*(LeadTime+ReorderCycle+SafetyDays)</f>
        <v>3.71428571428571</v>
      </c>
      <c r="I107" s="5" t="n">
        <f aca="false">F107*(LeadTime+ReorderCycle+SafetyDays)</f>
        <v>5.57142857142857</v>
      </c>
      <c r="J107" s="5" t="n">
        <f aca="false">IF(D107="Slow",MIN(H107,SlowMoverCap),H107)</f>
        <v>3.71428571428571</v>
      </c>
      <c r="K107" s="5" t="n">
        <f aca="false">IF(D107="Slow",MIN(I107,SlowMoverCap),I107)</f>
        <v>5.57142857142857</v>
      </c>
    </row>
    <row r="108" customFormat="false" ht="15" hidden="false" customHeight="false" outlineLevel="0" collapsed="false">
      <c r="A108" s="5" t="n">
        <f aca="false">DEMAND_MODEL!A108</f>
        <v>107</v>
      </c>
      <c r="B108" s="5" t="n">
        <f aca="false">DEMAND_MODEL!B108</f>
        <v>12586</v>
      </c>
      <c r="C108" s="5" t="str">
        <f aca="false">DEMAND_MODEL!C108</f>
        <v>MTY DIP 56% CHOCOLATE 6X1K</v>
      </c>
      <c r="D108" s="5" t="str">
        <f aca="false">DEMAND_MODEL!G108</f>
        <v>Fast</v>
      </c>
      <c r="E108" s="5" t="n">
        <f aca="false">DEMAND_MODEL!K108</f>
        <v>0.857142857142857</v>
      </c>
      <c r="F108" s="5" t="n">
        <f aca="false">DEMAND_MODEL!L108</f>
        <v>1</v>
      </c>
      <c r="G108" s="5" t="n">
        <f aca="false">IFERROR(VLOOKUP(D108,SETTINGS!A14:B16,2,FALSE()),14)</f>
        <v>21</v>
      </c>
      <c r="H108" s="5" t="n">
        <f aca="false">E108*(LeadTime+ReorderCycle+SafetyDays)</f>
        <v>11.1428571428571</v>
      </c>
      <c r="I108" s="5" t="n">
        <f aca="false">F108*(LeadTime+ReorderCycle+SafetyDays)</f>
        <v>13</v>
      </c>
      <c r="J108" s="5" t="n">
        <f aca="false">IF(D108="Slow",MIN(H108,SlowMoverCap),H108)</f>
        <v>11.1428571428571</v>
      </c>
      <c r="K108" s="5" t="n">
        <f aca="false">IF(D108="Slow",MIN(I108,SlowMoverCap),I108)</f>
        <v>13</v>
      </c>
    </row>
    <row r="109" customFormat="false" ht="15" hidden="false" customHeight="false" outlineLevel="0" collapsed="false">
      <c r="A109" s="5" t="n">
        <f aca="false">DEMAND_MODEL!A109</f>
        <v>108</v>
      </c>
      <c r="B109" s="5" t="n">
        <f aca="false">DEMAND_MODEL!B109</f>
        <v>12597</v>
      </c>
      <c r="C109" s="5" t="str">
        <f aca="false">DEMAND_MODEL!C109</f>
        <v>MTY DIP 70% DARK CHOC 6X1K</v>
      </c>
      <c r="D109" s="5" t="str">
        <f aca="false">DEMAND_MODEL!G109</f>
        <v>Fast</v>
      </c>
      <c r="E109" s="5" t="n">
        <f aca="false">DEMAND_MODEL!K109</f>
        <v>0.857142857142857</v>
      </c>
      <c r="F109" s="5" t="n">
        <f aca="false">DEMAND_MODEL!L109</f>
        <v>0.428571428571429</v>
      </c>
      <c r="G109" s="5" t="n">
        <f aca="false">IFERROR(VLOOKUP(D109,SETTINGS!A14:B16,2,FALSE()),14)</f>
        <v>21</v>
      </c>
      <c r="H109" s="5" t="n">
        <f aca="false">E109*(LeadTime+ReorderCycle+SafetyDays)</f>
        <v>11.1428571428571</v>
      </c>
      <c r="I109" s="5" t="n">
        <f aca="false">F109*(LeadTime+ReorderCycle+SafetyDays)</f>
        <v>5.57142857142857</v>
      </c>
      <c r="J109" s="5" t="n">
        <f aca="false">IF(D109="Slow",MIN(H109,SlowMoverCap),H109)</f>
        <v>11.1428571428571</v>
      </c>
      <c r="K109" s="5" t="n">
        <f aca="false">IF(D109="Slow",MIN(I109,SlowMoverCap),I109)</f>
        <v>5.57142857142857</v>
      </c>
    </row>
    <row r="110" customFormat="false" ht="15" hidden="false" customHeight="false" outlineLevel="0" collapsed="false">
      <c r="A110" s="5" t="n">
        <f aca="false">DEMAND_MODEL!A110</f>
        <v>109</v>
      </c>
      <c r="B110" s="5" t="n">
        <f aca="false">DEMAND_MODEL!B110</f>
        <v>19646</v>
      </c>
      <c r="C110" s="5" t="str">
        <f aca="false">DEMAND_MODEL!C110</f>
        <v>MTY DIP BANANA 6X1K</v>
      </c>
      <c r="D110" s="5" t="str">
        <f aca="false">DEMAND_MODEL!G110</f>
        <v>Fast</v>
      </c>
      <c r="E110" s="5" t="n">
        <f aca="false">DEMAND_MODEL!K110</f>
        <v>1.14285714285714</v>
      </c>
      <c r="F110" s="5" t="n">
        <f aca="false">DEMAND_MODEL!L110</f>
        <v>0.285714285714286</v>
      </c>
      <c r="G110" s="5" t="n">
        <f aca="false">IFERROR(VLOOKUP(D110,SETTINGS!A14:B16,2,FALSE()),14)</f>
        <v>21</v>
      </c>
      <c r="H110" s="5" t="n">
        <f aca="false">E110*(LeadTime+ReorderCycle+SafetyDays)</f>
        <v>14.8571428571429</v>
      </c>
      <c r="I110" s="5" t="n">
        <f aca="false">F110*(LeadTime+ReorderCycle+SafetyDays)</f>
        <v>3.71428571428571</v>
      </c>
      <c r="J110" s="5" t="n">
        <f aca="false">IF(D110="Slow",MIN(H110,SlowMoverCap),H110)</f>
        <v>14.8571428571429</v>
      </c>
      <c r="K110" s="5" t="n">
        <f aca="false">IF(D110="Slow",MIN(I110,SlowMoverCap),I110)</f>
        <v>3.71428571428571</v>
      </c>
    </row>
    <row r="111" customFormat="false" ht="15" hidden="false" customHeight="false" outlineLevel="0" collapsed="false">
      <c r="A111" s="5" t="n">
        <f aca="false">DEMAND_MODEL!A111</f>
        <v>110</v>
      </c>
      <c r="B111" s="5" t="n">
        <f aca="false">DEMAND_MODEL!B111</f>
        <v>19647</v>
      </c>
      <c r="C111" s="5" t="str">
        <f aca="false">DEMAND_MODEL!C111</f>
        <v>MTY DIP PEANUT BUTTER 6X1K</v>
      </c>
      <c r="D111" s="5" t="str">
        <f aca="false">DEMAND_MODEL!G111</f>
        <v>Fast</v>
      </c>
      <c r="E111" s="5" t="n">
        <f aca="false">DEMAND_MODEL!K111</f>
        <v>0.428571428571429</v>
      </c>
      <c r="F111" s="5" t="n">
        <f aca="false">DEMAND_MODEL!L111</f>
        <v>0.571428571428571</v>
      </c>
      <c r="G111" s="5" t="n">
        <f aca="false">IFERROR(VLOOKUP(D111,SETTINGS!A14:B16,2,FALSE()),14)</f>
        <v>21</v>
      </c>
      <c r="H111" s="5" t="n">
        <f aca="false">E111*(LeadTime+ReorderCycle+SafetyDays)</f>
        <v>5.57142857142857</v>
      </c>
      <c r="I111" s="5" t="n">
        <f aca="false">F111*(LeadTime+ReorderCycle+SafetyDays)</f>
        <v>7.42857142857143</v>
      </c>
      <c r="J111" s="5" t="n">
        <f aca="false">IF(D111="Slow",MIN(H111,SlowMoverCap),H111)</f>
        <v>5.57142857142857</v>
      </c>
      <c r="K111" s="5" t="n">
        <f aca="false">IF(D111="Slow",MIN(I111,SlowMoverCap),I111)</f>
        <v>7.42857142857143</v>
      </c>
    </row>
    <row r="112" customFormat="false" ht="15" hidden="false" customHeight="false" outlineLevel="0" collapsed="false">
      <c r="A112" s="5" t="n">
        <f aca="false">DEMAND_MODEL!A112</f>
        <v>111</v>
      </c>
      <c r="B112" s="5" t="n">
        <f aca="false">DEMAND_MODEL!B112</f>
        <v>24809</v>
      </c>
      <c r="C112" s="5" t="str">
        <f aca="false">DEMAND_MODEL!C112</f>
        <v>MTY DIP MAPLE 6X1K</v>
      </c>
      <c r="D112" s="5" t="str">
        <f aca="false">DEMAND_MODEL!G112</f>
        <v>Fast</v>
      </c>
      <c r="E112" s="5" t="n">
        <f aca="false">DEMAND_MODEL!K112</f>
        <v>1</v>
      </c>
      <c r="F112" s="5" t="n">
        <f aca="false">DEMAND_MODEL!L112</f>
        <v>0.571428571428571</v>
      </c>
      <c r="G112" s="5" t="n">
        <f aca="false">IFERROR(VLOOKUP(D112,SETTINGS!A14:B16,2,FALSE()),14)</f>
        <v>21</v>
      </c>
      <c r="H112" s="5" t="n">
        <f aca="false">E112*(LeadTime+ReorderCycle+SafetyDays)</f>
        <v>13</v>
      </c>
      <c r="I112" s="5" t="n">
        <f aca="false">F112*(LeadTime+ReorderCycle+SafetyDays)</f>
        <v>7.42857142857143</v>
      </c>
      <c r="J112" s="5" t="n">
        <f aca="false">IF(D112="Slow",MIN(H112,SlowMoverCap),H112)</f>
        <v>13</v>
      </c>
      <c r="K112" s="5" t="n">
        <f aca="false">IF(D112="Slow",MIN(I112,SlowMoverCap),I112)</f>
        <v>7.42857142857143</v>
      </c>
    </row>
    <row r="113" customFormat="false" ht="15" hidden="false" customHeight="false" outlineLevel="0" collapsed="false">
      <c r="A113" s="5" t="n">
        <f aca="false">DEMAND_MODEL!A113</f>
        <v>112</v>
      </c>
      <c r="B113" s="5" t="n">
        <f aca="false">DEMAND_MODEL!B113</f>
        <v>24805</v>
      </c>
      <c r="C113" s="5" t="str">
        <f aca="false">DEMAND_MODEL!C113</f>
        <v>MTY DIP WHITE 6X1K</v>
      </c>
      <c r="D113" s="5" t="str">
        <f aca="false">DEMAND_MODEL!G113</f>
        <v>Fast</v>
      </c>
      <c r="E113" s="5" t="n">
        <f aca="false">DEMAND_MODEL!K113</f>
        <v>0.714285714285714</v>
      </c>
      <c r="F113" s="5" t="n">
        <f aca="false">DEMAND_MODEL!L113</f>
        <v>0.285714285714286</v>
      </c>
      <c r="G113" s="5" t="n">
        <f aca="false">IFERROR(VLOOKUP(D113,SETTINGS!A14:B16,2,FALSE()),14)</f>
        <v>21</v>
      </c>
      <c r="H113" s="5" t="n">
        <f aca="false">E113*(LeadTime+ReorderCycle+SafetyDays)</f>
        <v>9.28571428571429</v>
      </c>
      <c r="I113" s="5" t="n">
        <f aca="false">F113*(LeadTime+ReorderCycle+SafetyDays)</f>
        <v>3.71428571428571</v>
      </c>
      <c r="J113" s="5" t="n">
        <f aca="false">IF(D113="Slow",MIN(H113,SlowMoverCap),H113)</f>
        <v>9.28571428571429</v>
      </c>
      <c r="K113" s="5" t="n">
        <f aca="false">IF(D113="Slow",MIN(I113,SlowMoverCap),I113)</f>
        <v>3.71428571428571</v>
      </c>
    </row>
    <row r="114" customFormat="false" ht="15" hidden="false" customHeight="false" outlineLevel="0" collapsed="false">
      <c r="A114" s="5" t="n">
        <f aca="false">DEMAND_MODEL!A114</f>
        <v>113</v>
      </c>
      <c r="B114" s="5" t="n">
        <f aca="false">DEMAND_MODEL!B114</f>
        <v>19600</v>
      </c>
      <c r="C114" s="5" t="str">
        <f aca="false">DEMAND_MODEL!C114</f>
        <v>MTY DIP CARAMEL ET SEL 6X1K</v>
      </c>
      <c r="D114" s="5" t="str">
        <f aca="false">DEMAND_MODEL!G114</f>
        <v>Fast</v>
      </c>
      <c r="E114" s="5" t="n">
        <f aca="false">DEMAND_MODEL!K114</f>
        <v>0.857142857142857</v>
      </c>
      <c r="F114" s="5" t="n">
        <f aca="false">DEMAND_MODEL!L114</f>
        <v>0.857142857142857</v>
      </c>
      <c r="G114" s="5" t="n">
        <f aca="false">IFERROR(VLOOKUP(D114,SETTINGS!A14:B16,2,FALSE()),14)</f>
        <v>21</v>
      </c>
      <c r="H114" s="5" t="n">
        <f aca="false">E114*(LeadTime+ReorderCycle+SafetyDays)</f>
        <v>11.1428571428571</v>
      </c>
      <c r="I114" s="5" t="n">
        <f aca="false">F114*(LeadTime+ReorderCycle+SafetyDays)</f>
        <v>11.1428571428571</v>
      </c>
      <c r="J114" s="5" t="n">
        <f aca="false">IF(D114="Slow",MIN(H114,SlowMoverCap),H114)</f>
        <v>11.1428571428571</v>
      </c>
      <c r="K114" s="5" t="n">
        <f aca="false">IF(D114="Slow",MIN(I114,SlowMoverCap),I114)</f>
        <v>11.1428571428571</v>
      </c>
    </row>
    <row r="115" customFormat="false" ht="15" hidden="false" customHeight="false" outlineLevel="0" collapsed="false">
      <c r="A115" s="5" t="n">
        <f aca="false">DEMAND_MODEL!A115</f>
        <v>114</v>
      </c>
      <c r="B115" s="5" t="n">
        <f aca="false">DEMAND_MODEL!B115</f>
        <v>24759</v>
      </c>
      <c r="C115" s="5" t="str">
        <f aca="false">DEMAND_MODEL!C115</f>
        <v>MTY DIP CHOC CARAMEL PECAN 6X1K</v>
      </c>
      <c r="D115" s="5" t="str">
        <f aca="false">DEMAND_MODEL!G115</f>
        <v>Fast</v>
      </c>
      <c r="E115" s="5" t="n">
        <f aca="false">DEMAND_MODEL!K115</f>
        <v>1.14285714285714</v>
      </c>
      <c r="F115" s="5" t="n">
        <f aca="false">DEMAND_MODEL!L115</f>
        <v>0.571428571428571</v>
      </c>
      <c r="G115" s="5" t="n">
        <f aca="false">IFERROR(VLOOKUP(D115,SETTINGS!A14:B16,2,FALSE()),14)</f>
        <v>21</v>
      </c>
      <c r="H115" s="5" t="n">
        <f aca="false">E115*(LeadTime+ReorderCycle+SafetyDays)</f>
        <v>14.8571428571429</v>
      </c>
      <c r="I115" s="5" t="n">
        <f aca="false">F115*(LeadTime+ReorderCycle+SafetyDays)</f>
        <v>7.42857142857143</v>
      </c>
      <c r="J115" s="5" t="n">
        <f aca="false">IF(D115="Slow",MIN(H115,SlowMoverCap),H115)</f>
        <v>14.8571428571429</v>
      </c>
      <c r="K115" s="5" t="n">
        <f aca="false">IF(D115="Slow",MIN(I115,SlowMoverCap),I115)</f>
        <v>7.42857142857143</v>
      </c>
    </row>
    <row r="116" customFormat="false" ht="15" hidden="false" customHeight="false" outlineLevel="0" collapsed="false">
      <c r="A116" s="5" t="n">
        <f aca="false">DEMAND_MODEL!A116</f>
        <v>115</v>
      </c>
      <c r="B116" s="5" t="n">
        <f aca="false">DEMAND_MODEL!B116</f>
        <v>19598</v>
      </c>
      <c r="C116" s="5" t="str">
        <f aca="false">DEMAND_MODEL!C116</f>
        <v>MTY DIP DULCE DE LECHE 6X1K</v>
      </c>
      <c r="D116" s="5" t="str">
        <f aca="false">DEMAND_MODEL!G116</f>
        <v>Fast</v>
      </c>
      <c r="E116" s="5" t="n">
        <f aca="false">DEMAND_MODEL!K116</f>
        <v>1</v>
      </c>
      <c r="F116" s="5" t="n">
        <f aca="false">DEMAND_MODEL!L116</f>
        <v>0.571428571428571</v>
      </c>
      <c r="G116" s="5" t="n">
        <f aca="false">IFERROR(VLOOKUP(D116,SETTINGS!A14:B16,2,FALSE()),14)</f>
        <v>21</v>
      </c>
      <c r="H116" s="5" t="n">
        <f aca="false">E116*(LeadTime+ReorderCycle+SafetyDays)</f>
        <v>13</v>
      </c>
      <c r="I116" s="5" t="n">
        <f aca="false">F116*(LeadTime+ReorderCycle+SafetyDays)</f>
        <v>7.42857142857143</v>
      </c>
      <c r="J116" s="5" t="n">
        <f aca="false">IF(D116="Slow",MIN(H116,SlowMoverCap),H116)</f>
        <v>13</v>
      </c>
      <c r="K116" s="5" t="n">
        <f aca="false">IF(D116="Slow",MIN(I116,SlowMoverCap),I116)</f>
        <v>7.42857142857143</v>
      </c>
    </row>
    <row r="117" customFormat="false" ht="15" hidden="false" customHeight="false" outlineLevel="0" collapsed="false">
      <c r="A117" s="5" t="n">
        <f aca="false">DEMAND_MODEL!A117</f>
        <v>116</v>
      </c>
      <c r="B117" s="5" t="n">
        <f aca="false">DEMAND_MODEL!B117</f>
        <v>12603</v>
      </c>
      <c r="C117" s="5" t="str">
        <f aca="false">DEMAND_MODEL!C117</f>
        <v>MTY DIP MILK CHOCOLATE 6X1K</v>
      </c>
      <c r="D117" s="5" t="str">
        <f aca="false">DEMAND_MODEL!G117</f>
        <v>Fast</v>
      </c>
      <c r="E117" s="5" t="n">
        <f aca="false">DEMAND_MODEL!K117</f>
        <v>1</v>
      </c>
      <c r="F117" s="5" t="n">
        <f aca="false">DEMAND_MODEL!L117</f>
        <v>0.571428571428571</v>
      </c>
      <c r="G117" s="5" t="n">
        <f aca="false">IFERROR(VLOOKUP(D117,SETTINGS!A14:B16,2,FALSE()),14)</f>
        <v>21</v>
      </c>
      <c r="H117" s="5" t="n">
        <f aca="false">E117*(LeadTime+ReorderCycle+SafetyDays)</f>
        <v>13</v>
      </c>
      <c r="I117" s="5" t="n">
        <f aca="false">F117*(LeadTime+ReorderCycle+SafetyDays)</f>
        <v>7.42857142857143</v>
      </c>
      <c r="J117" s="5" t="n">
        <f aca="false">IF(D117="Slow",MIN(H117,SlowMoverCap),H117)</f>
        <v>13</v>
      </c>
      <c r="K117" s="5" t="n">
        <f aca="false">IF(D117="Slow",MIN(I117,SlowMoverCap),I117)</f>
        <v>7.42857142857143</v>
      </c>
    </row>
    <row r="118" customFormat="false" ht="15" hidden="false" customHeight="false" outlineLevel="0" collapsed="false">
      <c r="A118" s="5" t="n">
        <f aca="false">DEMAND_MODEL!A118</f>
        <v>117</v>
      </c>
      <c r="B118" s="5" t="n">
        <f aca="false">DEMAND_MODEL!B118</f>
        <v>24475</v>
      </c>
      <c r="C118" s="5" t="str">
        <f aca="false">DEMAND_MODEL!C118</f>
        <v>MTY DIP IRISH CRM BAILEYS WH 6X1K</v>
      </c>
      <c r="D118" s="5" t="str">
        <f aca="false">DEMAND_MODEL!G118</f>
        <v>Fast</v>
      </c>
      <c r="E118" s="5" t="n">
        <f aca="false">DEMAND_MODEL!K118</f>
        <v>1.14285714285714</v>
      </c>
      <c r="F118" s="5" t="n">
        <f aca="false">DEMAND_MODEL!L118</f>
        <v>0.857142857142857</v>
      </c>
      <c r="G118" s="5" t="n">
        <f aca="false">IFERROR(VLOOKUP(D118,SETTINGS!A14:B16,2,FALSE()),14)</f>
        <v>21</v>
      </c>
      <c r="H118" s="5" t="n">
        <f aca="false">E118*(LeadTime+ReorderCycle+SafetyDays)</f>
        <v>14.8571428571429</v>
      </c>
      <c r="I118" s="5" t="n">
        <f aca="false">F118*(LeadTime+ReorderCycle+SafetyDays)</f>
        <v>11.1428571428571</v>
      </c>
      <c r="J118" s="5" t="n">
        <f aca="false">IF(D118="Slow",MIN(H118,SlowMoverCap),H118)</f>
        <v>14.8571428571429</v>
      </c>
      <c r="K118" s="5" t="n">
        <f aca="false">IF(D118="Slow",MIN(I118,SlowMoverCap),I118)</f>
        <v>11.1428571428571</v>
      </c>
    </row>
    <row r="119" customFormat="false" ht="15" hidden="false" customHeight="false" outlineLevel="0" collapsed="false">
      <c r="A119" s="5" t="n">
        <f aca="false">DEMAND_MODEL!A119</f>
        <v>118</v>
      </c>
      <c r="B119" s="5" t="n">
        <f aca="false">DEMAND_MODEL!B119</f>
        <v>12558</v>
      </c>
      <c r="C119" s="5" t="str">
        <f aca="false">DEMAND_MODEL!C119</f>
        <v>MTY DIP ESPRESSO 6X1KG</v>
      </c>
      <c r="D119" s="5" t="str">
        <f aca="false">DEMAND_MODEL!G119</f>
        <v>Fast</v>
      </c>
      <c r="E119" s="5" t="n">
        <f aca="false">DEMAND_MODEL!K119</f>
        <v>0.428571428571429</v>
      </c>
      <c r="F119" s="5" t="n">
        <f aca="false">DEMAND_MODEL!L119</f>
        <v>0.571428571428571</v>
      </c>
      <c r="G119" s="5" t="n">
        <f aca="false">IFERROR(VLOOKUP(D119,SETTINGS!A14:B16,2,FALSE()),14)</f>
        <v>21</v>
      </c>
      <c r="H119" s="5" t="n">
        <f aca="false">E119*(LeadTime+ReorderCycle+SafetyDays)</f>
        <v>5.57142857142857</v>
      </c>
      <c r="I119" s="5" t="n">
        <f aca="false">F119*(LeadTime+ReorderCycle+SafetyDays)</f>
        <v>7.42857142857143</v>
      </c>
      <c r="J119" s="5" t="n">
        <f aca="false">IF(D119="Slow",MIN(H119,SlowMoverCap),H119)</f>
        <v>5.57142857142857</v>
      </c>
      <c r="K119" s="5" t="n">
        <f aca="false">IF(D119="Slow",MIN(I119,SlowMoverCap),I119)</f>
        <v>7.42857142857143</v>
      </c>
    </row>
    <row r="120" customFormat="false" ht="15" hidden="false" customHeight="false" outlineLevel="0" collapsed="false">
      <c r="A120" s="5" t="n">
        <f aca="false">DEMAND_MODEL!A120</f>
        <v>119</v>
      </c>
      <c r="B120" s="5" t="n">
        <f aca="false">DEMAND_MODEL!B120</f>
        <v>12582</v>
      </c>
      <c r="C120" s="5" t="str">
        <f aca="false">DEMAND_MODEL!C120</f>
        <v>MTY DIP FLEUR DE SEL DARK 6X1K</v>
      </c>
      <c r="D120" s="5" t="str">
        <f aca="false">DEMAND_MODEL!G120</f>
        <v>Fast</v>
      </c>
      <c r="E120" s="5" t="n">
        <f aca="false">DEMAND_MODEL!K120</f>
        <v>0.571428571428571</v>
      </c>
      <c r="F120" s="5" t="n">
        <f aca="false">DEMAND_MODEL!L120</f>
        <v>0.571428571428571</v>
      </c>
      <c r="G120" s="5" t="n">
        <f aca="false">IFERROR(VLOOKUP(D120,SETTINGS!A14:B16,2,FALSE()),14)</f>
        <v>21</v>
      </c>
      <c r="H120" s="5" t="n">
        <f aca="false">E120*(LeadTime+ReorderCycle+SafetyDays)</f>
        <v>7.42857142857143</v>
      </c>
      <c r="I120" s="5" t="n">
        <f aca="false">F120*(LeadTime+ReorderCycle+SafetyDays)</f>
        <v>7.42857142857143</v>
      </c>
      <c r="J120" s="5" t="n">
        <f aca="false">IF(D120="Slow",MIN(H120,SlowMoverCap),H120)</f>
        <v>7.42857142857143</v>
      </c>
      <c r="K120" s="5" t="n">
        <f aca="false">IF(D120="Slow",MIN(I120,SlowMoverCap),I120)</f>
        <v>7.42857142857143</v>
      </c>
    </row>
    <row r="121" customFormat="false" ht="15" hidden="false" customHeight="false" outlineLevel="0" collapsed="false">
      <c r="A121" s="5" t="n">
        <f aca="false">DEMAND_MODEL!A121</f>
        <v>120</v>
      </c>
      <c r="B121" s="5" t="n">
        <f aca="false">DEMAND_MODEL!B121</f>
        <v>24435</v>
      </c>
      <c r="C121" s="5" t="str">
        <f aca="false">DEMAND_MODEL!C121</f>
        <v>MTY DIP STRAWBERRY CREAM 6X1K</v>
      </c>
      <c r="D121" s="5" t="str">
        <f aca="false">DEMAND_MODEL!G121</f>
        <v>Fast</v>
      </c>
      <c r="E121" s="5" t="n">
        <f aca="false">DEMAND_MODEL!K121</f>
        <v>0.714285714285714</v>
      </c>
      <c r="F121" s="5" t="n">
        <f aca="false">DEMAND_MODEL!L121</f>
        <v>0.428571428571429</v>
      </c>
      <c r="G121" s="5" t="n">
        <f aca="false">IFERROR(VLOOKUP(D121,SETTINGS!A14:B16,2,FALSE()),14)</f>
        <v>21</v>
      </c>
      <c r="H121" s="5" t="n">
        <f aca="false">E121*(LeadTime+ReorderCycle+SafetyDays)</f>
        <v>9.28571428571429</v>
      </c>
      <c r="I121" s="5" t="n">
        <f aca="false">F121*(LeadTime+ReorderCycle+SafetyDays)</f>
        <v>5.57142857142857</v>
      </c>
      <c r="J121" s="5" t="n">
        <f aca="false">IF(D121="Slow",MIN(H121,SlowMoverCap),H121)</f>
        <v>9.28571428571429</v>
      </c>
      <c r="K121" s="5" t="n">
        <f aca="false">IF(D121="Slow",MIN(I121,SlowMoverCap),I121)</f>
        <v>5.57142857142857</v>
      </c>
    </row>
    <row r="122" customFormat="false" ht="15" hidden="false" customHeight="false" outlineLevel="0" collapsed="false">
      <c r="A122" s="5" t="n">
        <f aca="false">DEMAND_MODEL!A122</f>
        <v>121</v>
      </c>
      <c r="B122" s="5" t="n">
        <f aca="false">DEMAND_MODEL!B122</f>
        <v>24768</v>
      </c>
      <c r="C122" s="5" t="str">
        <f aca="false">DEMAND_MODEL!C122</f>
        <v>MTY DIP CHEESE CAKE 6X1K</v>
      </c>
      <c r="D122" s="5" t="str">
        <f aca="false">DEMAND_MODEL!G122</f>
        <v>Fast</v>
      </c>
      <c r="E122" s="5" t="n">
        <f aca="false">DEMAND_MODEL!K122</f>
        <v>0.571428571428571</v>
      </c>
      <c r="F122" s="5" t="n">
        <f aca="false">DEMAND_MODEL!L122</f>
        <v>0.571428571428571</v>
      </c>
      <c r="G122" s="5" t="n">
        <f aca="false">IFERROR(VLOOKUP(D122,SETTINGS!A14:B16,2,FALSE()),14)</f>
        <v>21</v>
      </c>
      <c r="H122" s="5" t="n">
        <f aca="false">E122*(LeadTime+ReorderCycle+SafetyDays)</f>
        <v>7.42857142857143</v>
      </c>
      <c r="I122" s="5" t="n">
        <f aca="false">F122*(LeadTime+ReorderCycle+SafetyDays)</f>
        <v>7.42857142857143</v>
      </c>
      <c r="J122" s="5" t="n">
        <f aca="false">IF(D122="Slow",MIN(H122,SlowMoverCap),H122)</f>
        <v>7.42857142857143</v>
      </c>
      <c r="K122" s="5" t="n">
        <f aca="false">IF(D122="Slow",MIN(I122,SlowMoverCap),I122)</f>
        <v>7.42857142857143</v>
      </c>
    </row>
    <row r="123" customFormat="false" ht="15" hidden="false" customHeight="false" outlineLevel="0" collapsed="false">
      <c r="A123" s="5" t="n">
        <f aca="false">DEMAND_MODEL!A123</f>
        <v>122</v>
      </c>
      <c r="B123" s="5" t="n">
        <f aca="false">DEMAND_MODEL!B123</f>
        <v>24777</v>
      </c>
      <c r="C123" s="5" t="str">
        <f aca="false">DEMAND_MODEL!C123</f>
        <v>MTY DIP BIRTHDAY CAKE  6X1K</v>
      </c>
      <c r="D123" s="5" t="str">
        <f aca="false">DEMAND_MODEL!G123</f>
        <v>Fast</v>
      </c>
      <c r="E123" s="5" t="n">
        <f aca="false">DEMAND_MODEL!K123</f>
        <v>1.14285714285714</v>
      </c>
      <c r="F123" s="5" t="n">
        <f aca="false">DEMAND_MODEL!L123</f>
        <v>0.285714285714286</v>
      </c>
      <c r="G123" s="5" t="n">
        <f aca="false">IFERROR(VLOOKUP(D123,SETTINGS!A14:B16,2,FALSE()),14)</f>
        <v>21</v>
      </c>
      <c r="H123" s="5" t="n">
        <f aca="false">E123*(LeadTime+ReorderCycle+SafetyDays)</f>
        <v>14.8571428571429</v>
      </c>
      <c r="I123" s="5" t="n">
        <f aca="false">F123*(LeadTime+ReorderCycle+SafetyDays)</f>
        <v>3.71428571428571</v>
      </c>
      <c r="J123" s="5" t="n">
        <f aca="false">IF(D123="Slow",MIN(H123,SlowMoverCap),H123)</f>
        <v>14.8571428571429</v>
      </c>
      <c r="K123" s="5" t="n">
        <f aca="false">IF(D123="Slow",MIN(I123,SlowMoverCap),I123)</f>
        <v>3.71428571428571</v>
      </c>
    </row>
    <row r="124" customFormat="false" ht="15" hidden="false" customHeight="false" outlineLevel="0" collapsed="false">
      <c r="A124" s="5" t="n">
        <f aca="false">DEMAND_MODEL!A124</f>
        <v>123</v>
      </c>
      <c r="B124" s="5" t="n">
        <f aca="false">DEMAND_MODEL!B124</f>
        <v>24766</v>
      </c>
      <c r="C124" s="5" t="str">
        <f aca="false">DEMAND_MODEL!C124</f>
        <v>MTY DIP LEMONADE 6X1K</v>
      </c>
      <c r="D124" s="5" t="str">
        <f aca="false">DEMAND_MODEL!G124</f>
        <v>Fast</v>
      </c>
      <c r="E124" s="5" t="n">
        <f aca="false">DEMAND_MODEL!K124</f>
        <v>0.428571428571429</v>
      </c>
      <c r="F124" s="5" t="n">
        <f aca="false">DEMAND_MODEL!L124</f>
        <v>0.285714285714286</v>
      </c>
      <c r="G124" s="5" t="n">
        <f aca="false">IFERROR(VLOOKUP(D124,SETTINGS!A14:B16,2,FALSE()),14)</f>
        <v>21</v>
      </c>
      <c r="H124" s="5" t="n">
        <f aca="false">E124*(LeadTime+ReorderCycle+SafetyDays)</f>
        <v>5.57142857142857</v>
      </c>
      <c r="I124" s="5" t="n">
        <f aca="false">F124*(LeadTime+ReorderCycle+SafetyDays)</f>
        <v>3.71428571428571</v>
      </c>
      <c r="J124" s="5" t="n">
        <f aca="false">IF(D124="Slow",MIN(H124,SlowMoverCap),H124)</f>
        <v>5.57142857142857</v>
      </c>
      <c r="K124" s="5" t="n">
        <f aca="false">IF(D124="Slow",MIN(I124,SlowMoverCap),I124)</f>
        <v>3.71428571428571</v>
      </c>
    </row>
    <row r="125" customFormat="false" ht="15" hidden="false" customHeight="false" outlineLevel="0" collapsed="false">
      <c r="A125" s="5" t="n">
        <f aca="false">DEMAND_MODEL!A125</f>
        <v>124</v>
      </c>
      <c r="B125" s="5" t="n">
        <f aca="false">DEMAND_MODEL!B125</f>
        <v>12584</v>
      </c>
      <c r="C125" s="5" t="str">
        <f aca="false">DEMAND_MODEL!C125</f>
        <v>MTY DIP MANGO 6X1K</v>
      </c>
      <c r="D125" s="5" t="str">
        <f aca="false">DEMAND_MODEL!G125</f>
        <v>Fast</v>
      </c>
      <c r="E125" s="5" t="n">
        <f aca="false">DEMAND_MODEL!K125</f>
        <v>1.14285714285714</v>
      </c>
      <c r="F125" s="5" t="n">
        <f aca="false">DEMAND_MODEL!L125</f>
        <v>0.857142857142857</v>
      </c>
      <c r="G125" s="5" t="n">
        <f aca="false">IFERROR(VLOOKUP(D125,SETTINGS!A14:B16,2,FALSE()),14)</f>
        <v>21</v>
      </c>
      <c r="H125" s="5" t="n">
        <f aca="false">E125*(LeadTime+ReorderCycle+SafetyDays)</f>
        <v>14.8571428571429</v>
      </c>
      <c r="I125" s="5" t="n">
        <f aca="false">F125*(LeadTime+ReorderCycle+SafetyDays)</f>
        <v>11.1428571428571</v>
      </c>
      <c r="J125" s="5" t="n">
        <f aca="false">IF(D125="Slow",MIN(H125,SlowMoverCap),H125)</f>
        <v>14.8571428571429</v>
      </c>
      <c r="K125" s="5" t="n">
        <f aca="false">IF(D125="Slow",MIN(I125,SlowMoverCap),I125)</f>
        <v>11.1428571428571</v>
      </c>
    </row>
    <row r="126" customFormat="false" ht="15" hidden="false" customHeight="false" outlineLevel="0" collapsed="false">
      <c r="A126" s="5" t="n">
        <f aca="false">DEMAND_MODEL!A126</f>
        <v>125</v>
      </c>
      <c r="B126" s="5" t="n">
        <f aca="false">DEMAND_MODEL!B126</f>
        <v>24763</v>
      </c>
      <c r="C126" s="5" t="str">
        <f aca="false">DEMAND_MODEL!C126</f>
        <v>MTY MINT DARK CHOC  6X1K</v>
      </c>
      <c r="D126" s="5" t="str">
        <f aca="false">DEMAND_MODEL!G126</f>
        <v>Fast</v>
      </c>
      <c r="E126" s="5" t="n">
        <f aca="false">DEMAND_MODEL!K126</f>
        <v>1</v>
      </c>
      <c r="F126" s="5" t="n">
        <f aca="false">DEMAND_MODEL!L126</f>
        <v>0.428571428571429</v>
      </c>
      <c r="G126" s="5" t="n">
        <f aca="false">IFERROR(VLOOKUP(D126,SETTINGS!A14:B16,2,FALSE()),14)</f>
        <v>21</v>
      </c>
      <c r="H126" s="5" t="n">
        <f aca="false">E126*(LeadTime+ReorderCycle+SafetyDays)</f>
        <v>13</v>
      </c>
      <c r="I126" s="5" t="n">
        <f aca="false">F126*(LeadTime+ReorderCycle+SafetyDays)</f>
        <v>5.57142857142857</v>
      </c>
      <c r="J126" s="5" t="n">
        <f aca="false">IF(D126="Slow",MIN(H126,SlowMoverCap),H126)</f>
        <v>13</v>
      </c>
      <c r="K126" s="5" t="n">
        <f aca="false">IF(D126="Slow",MIN(I126,SlowMoverCap),I126)</f>
        <v>5.57142857142857</v>
      </c>
    </row>
    <row r="127" customFormat="false" ht="15" hidden="false" customHeight="false" outlineLevel="0" collapsed="false">
      <c r="A127" s="5" t="n">
        <f aca="false">DEMAND_MODEL!A127</f>
        <v>126</v>
      </c>
      <c r="B127" s="5" t="n">
        <f aca="false">DEMAND_MODEL!B127</f>
        <v>24761</v>
      </c>
      <c r="C127" s="5" t="str">
        <f aca="false">DEMAND_MODEL!C127</f>
        <v>MTY DIP ORANGE SORBET 6X1K</v>
      </c>
      <c r="D127" s="5" t="str">
        <f aca="false">DEMAND_MODEL!G127</f>
        <v>Fast</v>
      </c>
      <c r="E127" s="5" t="n">
        <f aca="false">DEMAND_MODEL!K127</f>
        <v>0.857142857142857</v>
      </c>
      <c r="F127" s="5" t="n">
        <f aca="false">DEMAND_MODEL!L127</f>
        <v>0.857142857142857</v>
      </c>
      <c r="G127" s="5" t="n">
        <f aca="false">IFERROR(VLOOKUP(D127,SETTINGS!A14:B16,2,FALSE()),14)</f>
        <v>21</v>
      </c>
      <c r="H127" s="5" t="n">
        <f aca="false">E127*(LeadTime+ReorderCycle+SafetyDays)</f>
        <v>11.1428571428571</v>
      </c>
      <c r="I127" s="5" t="n">
        <f aca="false">F127*(LeadTime+ReorderCycle+SafetyDays)</f>
        <v>11.1428571428571</v>
      </c>
      <c r="J127" s="5" t="n">
        <f aca="false">IF(D127="Slow",MIN(H127,SlowMoverCap),H127)</f>
        <v>11.1428571428571</v>
      </c>
      <c r="K127" s="5" t="n">
        <f aca="false">IF(D127="Slow",MIN(I127,SlowMoverCap),I127)</f>
        <v>11.1428571428571</v>
      </c>
    </row>
    <row r="128" customFormat="false" ht="15" hidden="false" customHeight="false" outlineLevel="0" collapsed="false">
      <c r="A128" s="5" t="n">
        <f aca="false">DEMAND_MODEL!A128</f>
        <v>127</v>
      </c>
      <c r="B128" s="5" t="n">
        <f aca="false">DEMAND_MODEL!B128</f>
        <v>24822</v>
      </c>
      <c r="C128" s="5" t="str">
        <f aca="false">DEMAND_MODEL!C128</f>
        <v>MTY DIP OREO 6X1K</v>
      </c>
      <c r="D128" s="5" t="str">
        <f aca="false">DEMAND_MODEL!G128</f>
        <v>Fast</v>
      </c>
      <c r="E128" s="5" t="n">
        <f aca="false">DEMAND_MODEL!K128</f>
        <v>1</v>
      </c>
      <c r="F128" s="5" t="n">
        <f aca="false">DEMAND_MODEL!L128</f>
        <v>0.428571428571429</v>
      </c>
      <c r="G128" s="5" t="n">
        <f aca="false">IFERROR(VLOOKUP(D128,SETTINGS!A14:B16,2,FALSE()),14)</f>
        <v>21</v>
      </c>
      <c r="H128" s="5" t="n">
        <f aca="false">E128*(LeadTime+ReorderCycle+SafetyDays)</f>
        <v>13</v>
      </c>
      <c r="I128" s="5" t="n">
        <f aca="false">F128*(LeadTime+ReorderCycle+SafetyDays)</f>
        <v>5.57142857142857</v>
      </c>
      <c r="J128" s="5" t="n">
        <f aca="false">IF(D128="Slow",MIN(H128,SlowMoverCap),H128)</f>
        <v>13</v>
      </c>
      <c r="K128" s="5" t="n">
        <f aca="false">IF(D128="Slow",MIN(I128,SlowMoverCap),I128)</f>
        <v>5.57142857142857</v>
      </c>
    </row>
    <row r="129" customFormat="false" ht="15" hidden="false" customHeight="false" outlineLevel="0" collapsed="false">
      <c r="A129" s="5" t="n">
        <f aca="false">DEMAND_MODEL!A129</f>
        <v>128</v>
      </c>
      <c r="B129" s="5" t="n">
        <f aca="false">DEMAND_MODEL!B129</f>
        <v>19648</v>
      </c>
      <c r="C129" s="5" t="str">
        <f aca="false">DEMAND_MODEL!C129</f>
        <v>MTY DIP COOKIE DOUGH 6X1K</v>
      </c>
      <c r="D129" s="5" t="str">
        <f aca="false">DEMAND_MODEL!G129</f>
        <v>Fast</v>
      </c>
      <c r="E129" s="5" t="n">
        <f aca="false">DEMAND_MODEL!K129</f>
        <v>0.714285714285714</v>
      </c>
      <c r="F129" s="5" t="n">
        <f aca="false">DEMAND_MODEL!L129</f>
        <v>0.714285714285714</v>
      </c>
      <c r="G129" s="5" t="n">
        <f aca="false">IFERROR(VLOOKUP(D129,SETTINGS!A14:B16,2,FALSE()),14)</f>
        <v>21</v>
      </c>
      <c r="H129" s="5" t="n">
        <f aca="false">E129*(LeadTime+ReorderCycle+SafetyDays)</f>
        <v>9.28571428571429</v>
      </c>
      <c r="I129" s="5" t="n">
        <f aca="false">F129*(LeadTime+ReorderCycle+SafetyDays)</f>
        <v>9.28571428571429</v>
      </c>
      <c r="J129" s="5" t="n">
        <f aca="false">IF(D129="Slow",MIN(H129,SlowMoverCap),H129)</f>
        <v>9.28571428571429</v>
      </c>
      <c r="K129" s="5" t="n">
        <f aca="false">IF(D129="Slow",MIN(I129,SlowMoverCap),I129)</f>
        <v>9.28571428571429</v>
      </c>
    </row>
    <row r="130" customFormat="false" ht="15" hidden="false" customHeight="false" outlineLevel="0" collapsed="false">
      <c r="A130" s="5" t="n">
        <f aca="false">DEMAND_MODEL!A130</f>
        <v>129</v>
      </c>
      <c r="B130" s="5" t="n">
        <f aca="false">DEMAND_MODEL!B130</f>
        <v>24762</v>
      </c>
      <c r="C130" s="5" t="str">
        <f aca="false">DEMAND_MODEL!C130</f>
        <v>MTY DIP PISTACHIO 6X1K</v>
      </c>
      <c r="D130" s="5" t="str">
        <f aca="false">DEMAND_MODEL!G130</f>
        <v>Fast</v>
      </c>
      <c r="E130" s="5" t="n">
        <f aca="false">DEMAND_MODEL!K130</f>
        <v>0.428571428571429</v>
      </c>
      <c r="F130" s="5" t="n">
        <f aca="false">DEMAND_MODEL!L130</f>
        <v>0.285714285714286</v>
      </c>
      <c r="G130" s="5" t="n">
        <f aca="false">IFERROR(VLOOKUP(D130,SETTINGS!A14:B16,2,FALSE()),14)</f>
        <v>21</v>
      </c>
      <c r="H130" s="5" t="n">
        <f aca="false">E130*(LeadTime+ReorderCycle+SafetyDays)</f>
        <v>5.57142857142857</v>
      </c>
      <c r="I130" s="5" t="n">
        <f aca="false">F130*(LeadTime+ReorderCycle+SafetyDays)</f>
        <v>3.71428571428571</v>
      </c>
      <c r="J130" s="5" t="n">
        <f aca="false">IF(D130="Slow",MIN(H130,SlowMoverCap),H130)</f>
        <v>5.57142857142857</v>
      </c>
      <c r="K130" s="5" t="n">
        <f aca="false">IF(D130="Slow",MIN(I130,SlowMoverCap),I130)</f>
        <v>3.71428571428571</v>
      </c>
    </row>
    <row r="131" customFormat="false" ht="15" hidden="false" customHeight="false" outlineLevel="0" collapsed="false">
      <c r="A131" s="5" t="n">
        <f aca="false">DEMAND_MODEL!A131</f>
        <v>130</v>
      </c>
      <c r="B131" s="5" t="n">
        <f aca="false">DEMAND_MODEL!B131</f>
        <v>19649</v>
      </c>
      <c r="C131" s="5" t="str">
        <f aca="false">DEMAND_MODEL!C131</f>
        <v>MTY DIP PRALINE/HAZLENUT 6X1K</v>
      </c>
      <c r="D131" s="5" t="str">
        <f aca="false">DEMAND_MODEL!G131</f>
        <v>Fast</v>
      </c>
      <c r="E131" s="5" t="n">
        <f aca="false">DEMAND_MODEL!K131</f>
        <v>1.14285714285714</v>
      </c>
      <c r="F131" s="5" t="n">
        <f aca="false">DEMAND_MODEL!L131</f>
        <v>0.285714285714286</v>
      </c>
      <c r="G131" s="5" t="n">
        <f aca="false">IFERROR(VLOOKUP(D131,SETTINGS!A14:B16,2,FALSE()),14)</f>
        <v>21</v>
      </c>
      <c r="H131" s="5" t="n">
        <f aca="false">E131*(LeadTime+ReorderCycle+SafetyDays)</f>
        <v>14.8571428571429</v>
      </c>
      <c r="I131" s="5" t="n">
        <f aca="false">F131*(LeadTime+ReorderCycle+SafetyDays)</f>
        <v>3.71428571428571</v>
      </c>
      <c r="J131" s="5" t="n">
        <f aca="false">IF(D131="Slow",MIN(H131,SlowMoverCap),H131)</f>
        <v>14.8571428571429</v>
      </c>
      <c r="K131" s="5" t="n">
        <f aca="false">IF(D131="Slow",MIN(I131,SlowMoverCap),I131)</f>
        <v>3.71428571428571</v>
      </c>
    </row>
    <row r="132" customFormat="false" ht="15" hidden="false" customHeight="false" outlineLevel="0" collapsed="false">
      <c r="A132" s="5" t="n">
        <f aca="false">DEMAND_MODEL!A132</f>
        <v>131</v>
      </c>
      <c r="B132" s="5" t="n">
        <f aca="false">DEMAND_MODEL!B132</f>
        <v>19594</v>
      </c>
      <c r="C132" s="5" t="str">
        <f aca="false">DEMAND_MODEL!C132</f>
        <v>MTY DIP RED VELVET 6X1K</v>
      </c>
      <c r="D132" s="5" t="str">
        <f aca="false">DEMAND_MODEL!G132</f>
        <v>Fast</v>
      </c>
      <c r="E132" s="5" t="n">
        <f aca="false">DEMAND_MODEL!K132</f>
        <v>0.714285714285714</v>
      </c>
      <c r="F132" s="5" t="n">
        <f aca="false">DEMAND_MODEL!L132</f>
        <v>0.857142857142857</v>
      </c>
      <c r="G132" s="5" t="n">
        <f aca="false">IFERROR(VLOOKUP(D132,SETTINGS!A14:B16,2,FALSE()),14)</f>
        <v>21</v>
      </c>
      <c r="H132" s="5" t="n">
        <f aca="false">E132*(LeadTime+ReorderCycle+SafetyDays)</f>
        <v>9.28571428571429</v>
      </c>
      <c r="I132" s="5" t="n">
        <f aca="false">F132*(LeadTime+ReorderCycle+SafetyDays)</f>
        <v>11.1428571428571</v>
      </c>
      <c r="J132" s="5" t="n">
        <f aca="false">IF(D132="Slow",MIN(H132,SlowMoverCap),H132)</f>
        <v>9.28571428571429</v>
      </c>
      <c r="K132" s="5" t="n">
        <f aca="false">IF(D132="Slow",MIN(I132,SlowMoverCap),I132)</f>
        <v>11.1428571428571</v>
      </c>
    </row>
    <row r="133" customFormat="false" ht="15" hidden="false" customHeight="false" outlineLevel="0" collapsed="false">
      <c r="A133" s="5" t="n">
        <f aca="false">DEMAND_MODEL!A133</f>
        <v>132</v>
      </c>
      <c r="B133" s="5" t="n">
        <f aca="false">DEMAND_MODEL!B133</f>
        <v>24434</v>
      </c>
      <c r="C133" s="5" t="str">
        <f aca="false">DEMAND_MODEL!C133</f>
        <v>MTY DIP SMORES 6X1K</v>
      </c>
      <c r="D133" s="5" t="str">
        <f aca="false">DEMAND_MODEL!G133</f>
        <v>Fast</v>
      </c>
      <c r="E133" s="5" t="n">
        <f aca="false">DEMAND_MODEL!K133</f>
        <v>1</v>
      </c>
      <c r="F133" s="5" t="n">
        <f aca="false">DEMAND_MODEL!L133</f>
        <v>0.571428571428571</v>
      </c>
      <c r="G133" s="5" t="n">
        <f aca="false">IFERROR(VLOOKUP(D133,SETTINGS!A14:B16,2,FALSE()),14)</f>
        <v>21</v>
      </c>
      <c r="H133" s="5" t="n">
        <f aca="false">E133*(LeadTime+ReorderCycle+SafetyDays)</f>
        <v>13</v>
      </c>
      <c r="I133" s="5" t="n">
        <f aca="false">F133*(LeadTime+ReorderCycle+SafetyDays)</f>
        <v>7.42857142857143</v>
      </c>
      <c r="J133" s="5" t="n">
        <f aca="false">IF(D133="Slow",MIN(H133,SlowMoverCap),H133)</f>
        <v>13</v>
      </c>
      <c r="K133" s="5" t="n">
        <f aca="false">IF(D133="Slow",MIN(I133,SlowMoverCap),I133)</f>
        <v>7.42857142857143</v>
      </c>
    </row>
    <row r="134" customFormat="false" ht="15" hidden="false" customHeight="false" outlineLevel="0" collapsed="false">
      <c r="A134" s="5" t="n">
        <f aca="false">DEMAND_MODEL!A134</f>
        <v>133</v>
      </c>
      <c r="B134" s="5" t="n">
        <f aca="false">DEMAND_MODEL!B134</f>
        <v>19651</v>
      </c>
      <c r="C134" s="5" t="str">
        <f aca="false">DEMAND_MODEL!C134</f>
        <v>MTY DIP BUENO 6X1K</v>
      </c>
      <c r="D134" s="5" t="str">
        <f aca="false">DEMAND_MODEL!G134</f>
        <v>Fast</v>
      </c>
      <c r="E134" s="5" t="n">
        <f aca="false">DEMAND_MODEL!K134</f>
        <v>1</v>
      </c>
      <c r="F134" s="5" t="n">
        <f aca="false">DEMAND_MODEL!L134</f>
        <v>0.857142857142857</v>
      </c>
      <c r="G134" s="5" t="n">
        <f aca="false">IFERROR(VLOOKUP(D134,SETTINGS!A14:B16,2,FALSE()),14)</f>
        <v>21</v>
      </c>
      <c r="H134" s="5" t="n">
        <f aca="false">E134*(LeadTime+ReorderCycle+SafetyDays)</f>
        <v>13</v>
      </c>
      <c r="I134" s="5" t="n">
        <f aca="false">F134*(LeadTime+ReorderCycle+SafetyDays)</f>
        <v>11.1428571428571</v>
      </c>
      <c r="J134" s="5" t="n">
        <f aca="false">IF(D134="Slow",MIN(H134,SlowMoverCap),H134)</f>
        <v>13</v>
      </c>
      <c r="K134" s="5" t="n">
        <f aca="false">IF(D134="Slow",MIN(I134,SlowMoverCap),I134)</f>
        <v>11.1428571428571</v>
      </c>
    </row>
    <row r="135" customFormat="false" ht="15" hidden="false" customHeight="false" outlineLevel="0" collapsed="false">
      <c r="A135" s="5" t="n">
        <f aca="false">DEMAND_MODEL!A135</f>
        <v>134</v>
      </c>
      <c r="B135" s="5" t="n">
        <f aca="false">DEMAND_MODEL!B135</f>
        <v>19652</v>
      </c>
      <c r="C135" s="5" t="str">
        <f aca="false">DEMAND_MODEL!C135</f>
        <v>MTY DIP LOTUS BISCOFF 6X1K</v>
      </c>
      <c r="D135" s="5" t="str">
        <f aca="false">DEMAND_MODEL!G135</f>
        <v>Fast</v>
      </c>
      <c r="E135" s="5" t="n">
        <f aca="false">DEMAND_MODEL!K135</f>
        <v>0.714285714285714</v>
      </c>
      <c r="F135" s="5" t="n">
        <f aca="false">DEMAND_MODEL!L135</f>
        <v>0.571428571428571</v>
      </c>
      <c r="G135" s="5" t="n">
        <f aca="false">IFERROR(VLOOKUP(D135,SETTINGS!A14:B16,2,FALSE()),14)</f>
        <v>21</v>
      </c>
      <c r="H135" s="5" t="n">
        <f aca="false">E135*(LeadTime+ReorderCycle+SafetyDays)</f>
        <v>9.28571428571429</v>
      </c>
      <c r="I135" s="5" t="n">
        <f aca="false">F135*(LeadTime+ReorderCycle+SafetyDays)</f>
        <v>7.42857142857143</v>
      </c>
      <c r="J135" s="5" t="n">
        <f aca="false">IF(D135="Slow",MIN(H135,SlowMoverCap),H135)</f>
        <v>9.28571428571429</v>
      </c>
      <c r="K135" s="5" t="n">
        <f aca="false">IF(D135="Slow",MIN(I135,SlowMoverCap),I135)</f>
        <v>7.42857142857143</v>
      </c>
    </row>
    <row r="136" customFormat="false" ht="15" hidden="false" customHeight="false" outlineLevel="0" collapsed="false">
      <c r="A136" s="5" t="n">
        <f aca="false">DEMAND_MODEL!A136</f>
        <v>135</v>
      </c>
      <c r="B136" s="5" t="n">
        <f aca="false">DEMAND_MODEL!B136</f>
        <v>24775</v>
      </c>
      <c r="C136" s="5" t="str">
        <f aca="false">DEMAND_MODEL!C136</f>
        <v>MTY LIQUIFIANT 6X700G</v>
      </c>
      <c r="D136" s="5" t="str">
        <f aca="false">DEMAND_MODEL!G136</f>
        <v>Fast</v>
      </c>
      <c r="E136" s="5" t="n">
        <f aca="false">DEMAND_MODEL!K136</f>
        <v>0.571428571428571</v>
      </c>
      <c r="F136" s="5" t="n">
        <f aca="false">DEMAND_MODEL!L136</f>
        <v>0.428571428571429</v>
      </c>
      <c r="G136" s="5" t="n">
        <f aca="false">IFERROR(VLOOKUP(D136,SETTINGS!A14:B16,2,FALSE()),14)</f>
        <v>21</v>
      </c>
      <c r="H136" s="5" t="n">
        <f aca="false">E136*(LeadTime+ReorderCycle+SafetyDays)</f>
        <v>7.42857142857143</v>
      </c>
      <c r="I136" s="5" t="n">
        <f aca="false">F136*(LeadTime+ReorderCycle+SafetyDays)</f>
        <v>5.57142857142857</v>
      </c>
      <c r="J136" s="5" t="n">
        <f aca="false">IF(D136="Slow",MIN(H136,SlowMoverCap),H136)</f>
        <v>7.42857142857143</v>
      </c>
      <c r="K136" s="5" t="n">
        <f aca="false">IF(D136="Slow",MIN(I136,SlowMoverCap),I136)</f>
        <v>5.57142857142857</v>
      </c>
    </row>
    <row r="137" customFormat="false" ht="15" hidden="false" customHeight="false" outlineLevel="0" collapsed="false">
      <c r="A137" s="5" t="n">
        <f aca="false">DEMAND_MODEL!A137</f>
        <v>136</v>
      </c>
      <c r="B137" s="5" t="n">
        <f aca="false">DEMAND_MODEL!B137</f>
        <v>50346</v>
      </c>
      <c r="C137" s="5" t="str">
        <f aca="false">DEMAND_MODEL!C137</f>
        <v>MTY CONE SOFT #55 SML 920</v>
      </c>
      <c r="D137" s="5" t="str">
        <f aca="false">DEMAND_MODEL!G137</f>
        <v>Fast</v>
      </c>
      <c r="E137" s="5" t="n">
        <f aca="false">DEMAND_MODEL!K137</f>
        <v>0.714285714285714</v>
      </c>
      <c r="F137" s="5" t="n">
        <f aca="false">DEMAND_MODEL!L137</f>
        <v>0.428571428571429</v>
      </c>
      <c r="G137" s="5" t="n">
        <f aca="false">IFERROR(VLOOKUP(D137,SETTINGS!A14:B16,2,FALSE()),14)</f>
        <v>21</v>
      </c>
      <c r="H137" s="5" t="n">
        <f aca="false">E137*(LeadTime+ReorderCycle+SafetyDays)</f>
        <v>9.28571428571429</v>
      </c>
      <c r="I137" s="5" t="n">
        <f aca="false">F137*(LeadTime+ReorderCycle+SafetyDays)</f>
        <v>5.57142857142857</v>
      </c>
      <c r="J137" s="5" t="n">
        <f aca="false">IF(D137="Slow",MIN(H137,SlowMoverCap),H137)</f>
        <v>9.28571428571429</v>
      </c>
      <c r="K137" s="5" t="n">
        <f aca="false">IF(D137="Slow",MIN(I137,SlowMoverCap),I137)</f>
        <v>5.57142857142857</v>
      </c>
    </row>
    <row r="138" customFormat="false" ht="15" hidden="false" customHeight="false" outlineLevel="0" collapsed="false">
      <c r="A138" s="5" t="n">
        <f aca="false">DEMAND_MODEL!A138</f>
        <v>137</v>
      </c>
      <c r="B138" s="5" t="n">
        <f aca="false">DEMAND_MODEL!B138</f>
        <v>50335</v>
      </c>
      <c r="C138" s="5" t="str">
        <f aca="false">DEMAND_MODEL!C138</f>
        <v>MTY CONE SOFT REG #59 10X100UN</v>
      </c>
      <c r="D138" s="5" t="str">
        <f aca="false">DEMAND_MODEL!G138</f>
        <v>Fast</v>
      </c>
      <c r="E138" s="5" t="n">
        <f aca="false">DEMAND_MODEL!K138</f>
        <v>1.42857142857143</v>
      </c>
      <c r="F138" s="5" t="n">
        <f aca="false">DEMAND_MODEL!L138</f>
        <v>0.714285714285714</v>
      </c>
      <c r="G138" s="5" t="n">
        <f aca="false">IFERROR(VLOOKUP(D138,SETTINGS!A14:B16,2,FALSE()),14)</f>
        <v>21</v>
      </c>
      <c r="H138" s="5" t="n">
        <f aca="false">E138*(LeadTime+ReorderCycle+SafetyDays)</f>
        <v>18.5714285714286</v>
      </c>
      <c r="I138" s="5" t="n">
        <f aca="false">F138*(LeadTime+ReorderCycle+SafetyDays)</f>
        <v>9.28571428571429</v>
      </c>
      <c r="J138" s="5" t="n">
        <f aca="false">IF(D138="Slow",MIN(H138,SlowMoverCap),H138)</f>
        <v>18.5714285714286</v>
      </c>
      <c r="K138" s="5" t="n">
        <f aca="false">IF(D138="Slow",MIN(I138,SlowMoverCap),I138)</f>
        <v>9.28571428571429</v>
      </c>
    </row>
    <row r="139" customFormat="false" ht="15" hidden="false" customHeight="false" outlineLevel="0" collapsed="false">
      <c r="A139" s="5" t="n">
        <f aca="false">DEMAND_MODEL!A139</f>
        <v>138</v>
      </c>
      <c r="B139" s="5" t="n">
        <f aca="false">DEMAND_MODEL!B139</f>
        <v>34437</v>
      </c>
      <c r="C139" s="5" t="str">
        <f aca="false">DEMAND_MODEL!C139</f>
        <v>CONE SUGAR #52 200UN</v>
      </c>
      <c r="D139" s="5" t="str">
        <f aca="false">DEMAND_MODEL!G139</f>
        <v>Fast</v>
      </c>
      <c r="E139" s="5" t="n">
        <f aca="false">DEMAND_MODEL!K139</f>
        <v>0.714285714285714</v>
      </c>
      <c r="F139" s="5" t="n">
        <f aca="false">DEMAND_MODEL!L139</f>
        <v>0.857142857142857</v>
      </c>
      <c r="G139" s="5" t="n">
        <f aca="false">IFERROR(VLOOKUP(D139,SETTINGS!A14:B16,2,FALSE()),14)</f>
        <v>21</v>
      </c>
      <c r="H139" s="5" t="n">
        <f aca="false">E139*(LeadTime+ReorderCycle+SafetyDays)</f>
        <v>9.28571428571429</v>
      </c>
      <c r="I139" s="5" t="n">
        <f aca="false">F139*(LeadTime+ReorderCycle+SafetyDays)</f>
        <v>11.1428571428571</v>
      </c>
      <c r="J139" s="5" t="n">
        <f aca="false">IF(D139="Slow",MIN(H139,SlowMoverCap),H139)</f>
        <v>9.28571428571429</v>
      </c>
      <c r="K139" s="5" t="n">
        <f aca="false">IF(D139="Slow",MIN(I139,SlowMoverCap),I139)</f>
        <v>11.1428571428571</v>
      </c>
    </row>
    <row r="140" customFormat="false" ht="15" hidden="false" customHeight="false" outlineLevel="0" collapsed="false">
      <c r="A140" s="5" t="n">
        <f aca="false">DEMAND_MODEL!A140</f>
        <v>139</v>
      </c>
      <c r="B140" s="5" t="n">
        <f aca="false">DEMAND_MODEL!B140</f>
        <v>50332</v>
      </c>
      <c r="C140" s="5" t="str">
        <f aca="false">DEMAND_MODEL!C140</f>
        <v>WAFFLE CONE #60 312UN</v>
      </c>
      <c r="D140" s="5" t="str">
        <f aca="false">DEMAND_MODEL!G140</f>
        <v>Fast</v>
      </c>
      <c r="E140" s="5" t="n">
        <f aca="false">DEMAND_MODEL!K140</f>
        <v>0.857142857142857</v>
      </c>
      <c r="F140" s="5" t="n">
        <f aca="false">DEMAND_MODEL!L140</f>
        <v>0.571428571428571</v>
      </c>
      <c r="G140" s="5" t="n">
        <f aca="false">IFERROR(VLOOKUP(D140,SETTINGS!A14:B16,2,FALSE()),14)</f>
        <v>21</v>
      </c>
      <c r="H140" s="5" t="n">
        <f aca="false">E140*(LeadTime+ReorderCycle+SafetyDays)</f>
        <v>11.1428571428571</v>
      </c>
      <c r="I140" s="5" t="n">
        <f aca="false">F140*(LeadTime+ReorderCycle+SafetyDays)</f>
        <v>7.42857142857143</v>
      </c>
      <c r="J140" s="5" t="n">
        <f aca="false">IF(D140="Slow",MIN(H140,SlowMoverCap),H140)</f>
        <v>11.1428571428571</v>
      </c>
      <c r="K140" s="5" t="n">
        <f aca="false">IF(D140="Slow",MIN(I140,SlowMoverCap),I140)</f>
        <v>7.42857142857143</v>
      </c>
    </row>
    <row r="141" customFormat="false" ht="15" hidden="false" customHeight="false" outlineLevel="0" collapsed="false">
      <c r="A141" s="5" t="n">
        <f aca="false">DEMAND_MODEL!A141</f>
        <v>140</v>
      </c>
      <c r="B141" s="5" t="n">
        <f aca="false">DEMAND_MODEL!B141</f>
        <v>14929</v>
      </c>
      <c r="C141" s="5" t="str">
        <f aca="false">DEMAND_MODEL!C141</f>
        <v>BISC OREO GRINDED 24X450G</v>
      </c>
      <c r="D141" s="5" t="str">
        <f aca="false">DEMAND_MODEL!G141</f>
        <v>Fast</v>
      </c>
      <c r="E141" s="5" t="n">
        <f aca="false">DEMAND_MODEL!K141</f>
        <v>0.571428571428571</v>
      </c>
      <c r="F141" s="5" t="n">
        <f aca="false">DEMAND_MODEL!L141</f>
        <v>0.142857142857143</v>
      </c>
      <c r="G141" s="5" t="n">
        <f aca="false">IFERROR(VLOOKUP(D141,SETTINGS!A14:B16,2,FALSE()),14)</f>
        <v>21</v>
      </c>
      <c r="H141" s="5" t="n">
        <f aca="false">E141*(LeadTime+ReorderCycle+SafetyDays)</f>
        <v>7.42857142857143</v>
      </c>
      <c r="I141" s="5" t="n">
        <f aca="false">F141*(LeadTime+ReorderCycle+SafetyDays)</f>
        <v>1.85714285714286</v>
      </c>
      <c r="J141" s="5" t="n">
        <f aca="false">IF(D141="Slow",MIN(H141,SlowMoverCap),H141)</f>
        <v>7.42857142857143</v>
      </c>
      <c r="K141" s="5" t="n">
        <f aca="false">IF(D141="Slow",MIN(I141,SlowMoverCap),I141)</f>
        <v>1.85714285714286</v>
      </c>
    </row>
    <row r="142" customFormat="false" ht="15" hidden="false" customHeight="false" outlineLevel="0" collapsed="false">
      <c r="A142" s="5" t="n">
        <f aca="false">DEMAND_MODEL!A142</f>
        <v>141</v>
      </c>
      <c r="B142" s="5" t="n">
        <f aca="false">DEMAND_MODEL!B142</f>
        <v>61647</v>
      </c>
      <c r="C142" s="5" t="str">
        <f aca="false">DEMAND_MODEL!C142</f>
        <v>CANDY COTTON CANDY PCS 80252 10LB</v>
      </c>
      <c r="D142" s="5" t="str">
        <f aca="false">DEMAND_MODEL!G142</f>
        <v>Fast</v>
      </c>
      <c r="E142" s="5" t="n">
        <f aca="false">DEMAND_MODEL!K142</f>
        <v>0.714285714285714</v>
      </c>
      <c r="F142" s="5" t="n">
        <f aca="false">DEMAND_MODEL!L142</f>
        <v>0.428571428571429</v>
      </c>
      <c r="G142" s="5" t="n">
        <f aca="false">IFERROR(VLOOKUP(D142,SETTINGS!A14:B16,2,FALSE()),14)</f>
        <v>21</v>
      </c>
      <c r="H142" s="5" t="n">
        <f aca="false">E142*(LeadTime+ReorderCycle+SafetyDays)</f>
        <v>9.28571428571429</v>
      </c>
      <c r="I142" s="5" t="n">
        <f aca="false">F142*(LeadTime+ReorderCycle+SafetyDays)</f>
        <v>5.57142857142857</v>
      </c>
      <c r="J142" s="5" t="n">
        <f aca="false">IF(D142="Slow",MIN(H142,SlowMoverCap),H142)</f>
        <v>9.28571428571429</v>
      </c>
      <c r="K142" s="5" t="n">
        <f aca="false">IF(D142="Slow",MIN(I142,SlowMoverCap),I142)</f>
        <v>5.57142857142857</v>
      </c>
    </row>
    <row r="143" customFormat="false" ht="15" hidden="false" customHeight="false" outlineLevel="0" collapsed="false">
      <c r="A143" s="5" t="n">
        <f aca="false">DEMAND_MODEL!A143</f>
        <v>142</v>
      </c>
      <c r="B143" s="5" t="n">
        <f aca="false">DEMAND_MODEL!B143</f>
        <v>23656</v>
      </c>
      <c r="C143" s="5" t="str">
        <f aca="false">DEMAND_MODEL!C143</f>
        <v>CANDY GUMMIE BEAR ASS'T 1X1.5K</v>
      </c>
      <c r="D143" s="5" t="str">
        <f aca="false">DEMAND_MODEL!G143</f>
        <v>Fast</v>
      </c>
      <c r="E143" s="5" t="n">
        <f aca="false">DEMAND_MODEL!K143</f>
        <v>0.571428571428571</v>
      </c>
      <c r="F143" s="5" t="n">
        <f aca="false">DEMAND_MODEL!L143</f>
        <v>0.142857142857143</v>
      </c>
      <c r="G143" s="5" t="n">
        <f aca="false">IFERROR(VLOOKUP(D143,SETTINGS!A14:B16,2,FALSE()),14)</f>
        <v>21</v>
      </c>
      <c r="H143" s="5" t="n">
        <f aca="false">E143*(LeadTime+ReorderCycle+SafetyDays)</f>
        <v>7.42857142857143</v>
      </c>
      <c r="I143" s="5" t="n">
        <f aca="false">F143*(LeadTime+ReorderCycle+SafetyDays)</f>
        <v>1.85714285714286</v>
      </c>
      <c r="J143" s="5" t="n">
        <f aca="false">IF(D143="Slow",MIN(H143,SlowMoverCap),H143)</f>
        <v>7.42857142857143</v>
      </c>
      <c r="K143" s="5" t="n">
        <f aca="false">IF(D143="Slow",MIN(I143,SlowMoverCap),I143)</f>
        <v>1.85714285714286</v>
      </c>
    </row>
    <row r="144" customFormat="false" ht="15" hidden="false" customHeight="false" outlineLevel="0" collapsed="false">
      <c r="A144" s="5" t="n">
        <f aca="false">DEMAND_MODEL!A144</f>
        <v>143</v>
      </c>
      <c r="B144" s="5" t="n">
        <f aca="false">DEMAND_MODEL!B144</f>
        <v>61654</v>
      </c>
      <c r="C144" s="5" t="str">
        <f aca="false">DEMAND_MODEL!C144</f>
        <v>CANDY NERDS RAINBOW N390-100 2X5LB</v>
      </c>
      <c r="D144" s="5" t="str">
        <f aca="false">DEMAND_MODEL!G144</f>
        <v>Fast</v>
      </c>
      <c r="E144" s="5" t="n">
        <f aca="false">DEMAND_MODEL!K144</f>
        <v>0.428571428571429</v>
      </c>
      <c r="F144" s="5" t="n">
        <f aca="false">DEMAND_MODEL!L144</f>
        <v>0.142857142857143</v>
      </c>
      <c r="G144" s="5" t="n">
        <f aca="false">IFERROR(VLOOKUP(D144,SETTINGS!A14:B16,2,FALSE()),14)</f>
        <v>21</v>
      </c>
      <c r="H144" s="5" t="n">
        <f aca="false">E144*(LeadTime+ReorderCycle+SafetyDays)</f>
        <v>5.57142857142857</v>
      </c>
      <c r="I144" s="5" t="n">
        <f aca="false">F144*(LeadTime+ReorderCycle+SafetyDays)</f>
        <v>1.85714285714286</v>
      </c>
      <c r="J144" s="5" t="n">
        <f aca="false">IF(D144="Slow",MIN(H144,SlowMoverCap),H144)</f>
        <v>5.57142857142857</v>
      </c>
      <c r="K144" s="5" t="n">
        <f aca="false">IF(D144="Slow",MIN(I144,SlowMoverCap),I144)</f>
        <v>1.85714285714286</v>
      </c>
    </row>
    <row r="145" customFormat="false" ht="15" hidden="false" customHeight="false" outlineLevel="0" collapsed="false">
      <c r="A145" s="5" t="n">
        <f aca="false">DEMAND_MODEL!A145</f>
        <v>144</v>
      </c>
      <c r="B145" s="5" t="n">
        <f aca="false">DEMAND_MODEL!B145</f>
        <v>14624</v>
      </c>
      <c r="C145" s="5" t="str">
        <f aca="false">DEMAND_MODEL!C145</f>
        <v>CRUMB GRAHAM DARE 5K</v>
      </c>
      <c r="D145" s="5" t="str">
        <f aca="false">DEMAND_MODEL!G145</f>
        <v>Fast</v>
      </c>
      <c r="E145" s="5" t="n">
        <f aca="false">DEMAND_MODEL!K145</f>
        <v>0.428571428571429</v>
      </c>
      <c r="F145" s="5" t="n">
        <f aca="false">DEMAND_MODEL!L145</f>
        <v>0.285714285714286</v>
      </c>
      <c r="G145" s="5" t="n">
        <f aca="false">IFERROR(VLOOKUP(D145,SETTINGS!A14:B16,2,FALSE()),14)</f>
        <v>21</v>
      </c>
      <c r="H145" s="5" t="n">
        <f aca="false">E145*(LeadTime+ReorderCycle+SafetyDays)</f>
        <v>5.57142857142857</v>
      </c>
      <c r="I145" s="5" t="n">
        <f aca="false">F145*(LeadTime+ReorderCycle+SafetyDays)</f>
        <v>3.71428571428571</v>
      </c>
      <c r="J145" s="5" t="n">
        <f aca="false">IF(D145="Slow",MIN(H145,SlowMoverCap),H145)</f>
        <v>5.57142857142857</v>
      </c>
      <c r="K145" s="5" t="n">
        <f aca="false">IF(D145="Slow",MIN(I145,SlowMoverCap),I145)</f>
        <v>3.71428571428571</v>
      </c>
    </row>
    <row r="146" customFormat="false" ht="15" hidden="false" customHeight="false" outlineLevel="0" collapsed="false">
      <c r="A146" s="5" t="n">
        <f aca="false">DEMAND_MODEL!A146</f>
        <v>145</v>
      </c>
      <c r="B146" s="5" t="n">
        <f aca="false">DEMAND_MODEL!B146</f>
        <v>11692</v>
      </c>
      <c r="C146" s="5" t="str">
        <f aca="false">DEMAND_MODEL!C146</f>
        <v>CHOC KIT KAT CRUSHED 4X907G</v>
      </c>
      <c r="D146" s="5" t="str">
        <f aca="false">DEMAND_MODEL!G146</f>
        <v>Fast</v>
      </c>
      <c r="E146" s="5" t="n">
        <f aca="false">DEMAND_MODEL!K146</f>
        <v>0.714285714285714</v>
      </c>
      <c r="F146" s="5" t="n">
        <f aca="false">DEMAND_MODEL!L146</f>
        <v>0.571428571428571</v>
      </c>
      <c r="G146" s="5" t="n">
        <f aca="false">IFERROR(VLOOKUP(D146,SETTINGS!A14:B16,2,FALSE()),14)</f>
        <v>21</v>
      </c>
      <c r="H146" s="5" t="n">
        <f aca="false">E146*(LeadTime+ReorderCycle+SafetyDays)</f>
        <v>9.28571428571429</v>
      </c>
      <c r="I146" s="5" t="n">
        <f aca="false">F146*(LeadTime+ReorderCycle+SafetyDays)</f>
        <v>7.42857142857143</v>
      </c>
      <c r="J146" s="5" t="n">
        <f aca="false">IF(D146="Slow",MIN(H146,SlowMoverCap),H146)</f>
        <v>9.28571428571429</v>
      </c>
      <c r="K146" s="5" t="n">
        <f aca="false">IF(D146="Slow",MIN(I146,SlowMoverCap),I146)</f>
        <v>7.42857142857143</v>
      </c>
    </row>
    <row r="147" customFormat="false" ht="15" hidden="false" customHeight="false" outlineLevel="0" collapsed="false">
      <c r="A147" s="5" t="n">
        <f aca="false">DEMAND_MODEL!A147</f>
        <v>146</v>
      </c>
      <c r="B147" s="5" t="n">
        <f aca="false">DEMAND_MODEL!B147</f>
        <v>62812</v>
      </c>
      <c r="C147" s="5" t="str">
        <f aca="false">DEMAND_MODEL!C147</f>
        <v>CHOC SKOR BITE BULK 413 4X1.36K</v>
      </c>
      <c r="D147" s="5" t="str">
        <f aca="false">DEMAND_MODEL!G147</f>
        <v>Fast</v>
      </c>
      <c r="E147" s="5" t="n">
        <f aca="false">DEMAND_MODEL!K147</f>
        <v>0.285714285714286</v>
      </c>
      <c r="F147" s="5" t="n">
        <f aca="false">DEMAND_MODEL!L147</f>
        <v>0.571428571428571</v>
      </c>
      <c r="G147" s="5" t="n">
        <f aca="false">IFERROR(VLOOKUP(D147,SETTINGS!A14:B16,2,FALSE()),14)</f>
        <v>21</v>
      </c>
      <c r="H147" s="5" t="n">
        <f aca="false">E147*(LeadTime+ReorderCycle+SafetyDays)</f>
        <v>3.71428571428571</v>
      </c>
      <c r="I147" s="5" t="n">
        <f aca="false">F147*(LeadTime+ReorderCycle+SafetyDays)</f>
        <v>7.42857142857143</v>
      </c>
      <c r="J147" s="5" t="n">
        <f aca="false">IF(D147="Slow",MIN(H147,SlowMoverCap),H147)</f>
        <v>3.71428571428571</v>
      </c>
      <c r="K147" s="5" t="n">
        <f aca="false">IF(D147="Slow",MIN(I147,SlowMoverCap),I147)</f>
        <v>7.42857142857143</v>
      </c>
    </row>
    <row r="148" customFormat="false" ht="15" hidden="false" customHeight="false" outlineLevel="0" collapsed="false">
      <c r="A148" s="5" t="n">
        <f aca="false">DEMAND_MODEL!A148</f>
        <v>147</v>
      </c>
      <c r="B148" s="5" t="n">
        <f aca="false">DEMAND_MODEL!B148</f>
        <v>44503</v>
      </c>
      <c r="C148" s="5" t="str">
        <f aca="false">DEMAND_MODEL!C148</f>
        <v>CHOC SMARTIES CRUSHED BULK 10X1.1K</v>
      </c>
      <c r="D148" s="5" t="str">
        <f aca="false">DEMAND_MODEL!G148</f>
        <v>Fast</v>
      </c>
      <c r="E148" s="5" t="n">
        <f aca="false">DEMAND_MODEL!K148</f>
        <v>0.285714285714286</v>
      </c>
      <c r="F148" s="5" t="n">
        <f aca="false">DEMAND_MODEL!L148</f>
        <v>0.428571428571429</v>
      </c>
      <c r="G148" s="5" t="n">
        <f aca="false">IFERROR(VLOOKUP(D148,SETTINGS!A14:B16,2,FALSE()),14)</f>
        <v>21</v>
      </c>
      <c r="H148" s="5" t="n">
        <f aca="false">E148*(LeadTime+ReorderCycle+SafetyDays)</f>
        <v>3.71428571428571</v>
      </c>
      <c r="I148" s="5" t="n">
        <f aca="false">F148*(LeadTime+ReorderCycle+SafetyDays)</f>
        <v>5.57142857142857</v>
      </c>
      <c r="J148" s="5" t="n">
        <f aca="false">IF(D148="Slow",MIN(H148,SlowMoverCap),H148)</f>
        <v>3.71428571428571</v>
      </c>
      <c r="K148" s="5" t="n">
        <f aca="false">IF(D148="Slow",MIN(I148,SlowMoverCap),I148)</f>
        <v>5.57142857142857</v>
      </c>
    </row>
    <row r="149" customFormat="false" ht="15" hidden="false" customHeight="false" outlineLevel="0" collapsed="false">
      <c r="A149" s="5" t="n">
        <f aca="false">DEMAND_MODEL!A149</f>
        <v>148</v>
      </c>
      <c r="B149" s="5" t="n">
        <f aca="false">DEMAND_MODEL!B149</f>
        <v>37163</v>
      </c>
      <c r="C149" s="5" t="str">
        <f aca="false">DEMAND_MODEL!C149</f>
        <v>MAPLE NUGGET SUGAR 4065 1X1K</v>
      </c>
      <c r="D149" s="5" t="str">
        <f aca="false">DEMAND_MODEL!G149</f>
        <v>Fast</v>
      </c>
      <c r="E149" s="5" t="n">
        <f aca="false">DEMAND_MODEL!K149</f>
        <v>0.857142857142857</v>
      </c>
      <c r="F149" s="5" t="n">
        <f aca="false">DEMAND_MODEL!L149</f>
        <v>0.142857142857143</v>
      </c>
      <c r="G149" s="5" t="n">
        <f aca="false">IFERROR(VLOOKUP(D149,SETTINGS!A14:B16,2,FALSE()),14)</f>
        <v>21</v>
      </c>
      <c r="H149" s="5" t="n">
        <f aca="false">E149*(LeadTime+ReorderCycle+SafetyDays)</f>
        <v>11.1428571428571</v>
      </c>
      <c r="I149" s="5" t="n">
        <f aca="false">F149*(LeadTime+ReorderCycle+SafetyDays)</f>
        <v>1.85714285714286</v>
      </c>
      <c r="J149" s="5" t="n">
        <f aca="false">IF(D149="Slow",MIN(H149,SlowMoverCap),H149)</f>
        <v>11.1428571428571</v>
      </c>
      <c r="K149" s="5" t="n">
        <f aca="false">IF(D149="Slow",MIN(I149,SlowMoverCap),I149)</f>
        <v>1.85714285714286</v>
      </c>
    </row>
    <row r="150" customFormat="false" ht="15" hidden="false" customHeight="false" outlineLevel="0" collapsed="false">
      <c r="A150" s="5" t="n">
        <f aca="false">DEMAND_MODEL!A150</f>
        <v>149</v>
      </c>
      <c r="B150" s="5" t="n">
        <f aca="false">DEMAND_MODEL!B150</f>
        <v>32978</v>
      </c>
      <c r="C150" s="5" t="str">
        <f aca="false">DEMAND_MODEL!C150</f>
        <v>NUTS ALMOND DICED 10658 25LB</v>
      </c>
      <c r="D150" s="5" t="str">
        <f aca="false">DEMAND_MODEL!G150</f>
        <v>Fast</v>
      </c>
      <c r="E150" s="5" t="n">
        <f aca="false">DEMAND_MODEL!K150</f>
        <v>0.285714285714286</v>
      </c>
      <c r="F150" s="5" t="n">
        <f aca="false">DEMAND_MODEL!L150</f>
        <v>0.571428571428571</v>
      </c>
      <c r="G150" s="5" t="n">
        <f aca="false">IFERROR(VLOOKUP(D150,SETTINGS!A14:B16,2,FALSE()),14)</f>
        <v>21</v>
      </c>
      <c r="H150" s="5" t="n">
        <f aca="false">E150*(LeadTime+ReorderCycle+SafetyDays)</f>
        <v>3.71428571428571</v>
      </c>
      <c r="I150" s="5" t="n">
        <f aca="false">F150*(LeadTime+ReorderCycle+SafetyDays)</f>
        <v>7.42857142857143</v>
      </c>
      <c r="J150" s="5" t="n">
        <f aca="false">IF(D150="Slow",MIN(H150,SlowMoverCap),H150)</f>
        <v>3.71428571428571</v>
      </c>
      <c r="K150" s="5" t="n">
        <f aca="false">IF(D150="Slow",MIN(I150,SlowMoverCap),I150)</f>
        <v>7.42857142857143</v>
      </c>
    </row>
    <row r="151" customFormat="false" ht="15" hidden="false" customHeight="false" outlineLevel="0" collapsed="false">
      <c r="A151" s="5" t="n">
        <f aca="false">DEMAND_MODEL!A151</f>
        <v>150</v>
      </c>
      <c r="B151" s="5" t="n">
        <f aca="false">DEMAND_MODEL!B151</f>
        <v>61496</v>
      </c>
      <c r="C151" s="5" t="str">
        <f aca="false">DEMAND_MODEL!C151</f>
        <v>NUTS PEANUT CRSHD RSTED 3X1K</v>
      </c>
      <c r="D151" s="5" t="str">
        <f aca="false">DEMAND_MODEL!G151</f>
        <v>Fast</v>
      </c>
      <c r="E151" s="5" t="n">
        <f aca="false">DEMAND_MODEL!K151</f>
        <v>0.428571428571429</v>
      </c>
      <c r="F151" s="5" t="n">
        <f aca="false">DEMAND_MODEL!L151</f>
        <v>0.571428571428571</v>
      </c>
      <c r="G151" s="5" t="n">
        <f aca="false">IFERROR(VLOOKUP(D151,SETTINGS!A14:B16,2,FALSE()),14)</f>
        <v>21</v>
      </c>
      <c r="H151" s="5" t="n">
        <f aca="false">E151*(LeadTime+ReorderCycle+SafetyDays)</f>
        <v>5.57142857142857</v>
      </c>
      <c r="I151" s="5" t="n">
        <f aca="false">F151*(LeadTime+ReorderCycle+SafetyDays)</f>
        <v>7.42857142857143</v>
      </c>
      <c r="J151" s="5" t="n">
        <f aca="false">IF(D151="Slow",MIN(H151,SlowMoverCap),H151)</f>
        <v>5.57142857142857</v>
      </c>
      <c r="K151" s="5" t="n">
        <f aca="false">IF(D151="Slow",MIN(I151,SlowMoverCap),I151)</f>
        <v>7.42857142857143</v>
      </c>
    </row>
    <row r="152" customFormat="false" ht="15" hidden="false" customHeight="false" outlineLevel="0" collapsed="false">
      <c r="A152" s="5" t="n">
        <f aca="false">DEMAND_MODEL!A152</f>
        <v>151</v>
      </c>
      <c r="B152" s="5" t="n">
        <f aca="false">DEMAND_MODEL!B152</f>
        <v>32981</v>
      </c>
      <c r="C152" s="5" t="str">
        <f aca="false">DEMAND_MODEL!C152</f>
        <v>COCONUT SHREDDED SWEET 10780 25LB</v>
      </c>
      <c r="D152" s="5" t="str">
        <f aca="false">DEMAND_MODEL!G152</f>
        <v>Fast</v>
      </c>
      <c r="E152" s="5" t="n">
        <f aca="false">DEMAND_MODEL!K152</f>
        <v>0.571428571428571</v>
      </c>
      <c r="F152" s="5" t="n">
        <f aca="false">DEMAND_MODEL!L152</f>
        <v>0.142857142857143</v>
      </c>
      <c r="G152" s="5" t="n">
        <f aca="false">IFERROR(VLOOKUP(D152,SETTINGS!A14:B16,2,FALSE()),14)</f>
        <v>21</v>
      </c>
      <c r="H152" s="5" t="n">
        <f aca="false">E152*(LeadTime+ReorderCycle+SafetyDays)</f>
        <v>7.42857142857143</v>
      </c>
      <c r="I152" s="5" t="n">
        <f aca="false">F152*(LeadTime+ReorderCycle+SafetyDays)</f>
        <v>1.85714285714286</v>
      </c>
      <c r="J152" s="5" t="n">
        <f aca="false">IF(D152="Slow",MIN(H152,SlowMoverCap),H152)</f>
        <v>7.42857142857143</v>
      </c>
      <c r="K152" s="5" t="n">
        <f aca="false">IF(D152="Slow",MIN(I152,SlowMoverCap),I152)</f>
        <v>1.85714285714286</v>
      </c>
    </row>
    <row r="153" customFormat="false" ht="15" hidden="false" customHeight="false" outlineLevel="0" collapsed="false">
      <c r="A153" s="5" t="n">
        <f aca="false">DEMAND_MODEL!A153</f>
        <v>152</v>
      </c>
      <c r="B153" s="5" t="n">
        <f aca="false">DEMAND_MODEL!B153</f>
        <v>15058</v>
      </c>
      <c r="C153" s="5" t="str">
        <f aca="false">DEMAND_MODEL!C153</f>
        <v>NUT HAZELNUT RSTD 3X1K</v>
      </c>
      <c r="D153" s="5" t="str">
        <f aca="false">DEMAND_MODEL!G153</f>
        <v>Fast</v>
      </c>
      <c r="E153" s="5" t="n">
        <f aca="false">DEMAND_MODEL!K153</f>
        <v>0.571428571428571</v>
      </c>
      <c r="F153" s="5" t="n">
        <f aca="false">DEMAND_MODEL!L153</f>
        <v>0.285714285714286</v>
      </c>
      <c r="G153" s="5" t="n">
        <f aca="false">IFERROR(VLOOKUP(D153,SETTINGS!A14:B16,2,FALSE()),14)</f>
        <v>21</v>
      </c>
      <c r="H153" s="5" t="n">
        <f aca="false">E153*(LeadTime+ReorderCycle+SafetyDays)</f>
        <v>7.42857142857143</v>
      </c>
      <c r="I153" s="5" t="n">
        <f aca="false">F153*(LeadTime+ReorderCycle+SafetyDays)</f>
        <v>3.71428571428571</v>
      </c>
      <c r="J153" s="5" t="n">
        <f aca="false">IF(D153="Slow",MIN(H153,SlowMoverCap),H153)</f>
        <v>7.42857142857143</v>
      </c>
      <c r="K153" s="5" t="n">
        <f aca="false">IF(D153="Slow",MIN(I153,SlowMoverCap),I153)</f>
        <v>3.71428571428571</v>
      </c>
    </row>
    <row r="154" customFormat="false" ht="15" hidden="false" customHeight="false" outlineLevel="0" collapsed="false">
      <c r="A154" s="5" t="n">
        <f aca="false">DEMAND_MODEL!A154</f>
        <v>153</v>
      </c>
      <c r="B154" s="5" t="n">
        <f aca="false">DEMAND_MODEL!B154</f>
        <v>40251</v>
      </c>
      <c r="C154" s="5" t="str">
        <f aca="false">DEMAND_MODEL!C154</f>
        <v>NUT PISTACHIO N/SHELL 1KG</v>
      </c>
      <c r="D154" s="5" t="str">
        <f aca="false">DEMAND_MODEL!G154</f>
        <v>Fast</v>
      </c>
      <c r="E154" s="5" t="n">
        <f aca="false">DEMAND_MODEL!K154</f>
        <v>0.714285714285714</v>
      </c>
      <c r="F154" s="5" t="n">
        <f aca="false">DEMAND_MODEL!L154</f>
        <v>0.285714285714286</v>
      </c>
      <c r="G154" s="5" t="n">
        <f aca="false">IFERROR(VLOOKUP(D154,SETTINGS!A14:B16,2,FALSE()),14)</f>
        <v>21</v>
      </c>
      <c r="H154" s="5" t="n">
        <f aca="false">E154*(LeadTime+ReorderCycle+SafetyDays)</f>
        <v>9.28571428571429</v>
      </c>
      <c r="I154" s="5" t="n">
        <f aca="false">F154*(LeadTime+ReorderCycle+SafetyDays)</f>
        <v>3.71428571428571</v>
      </c>
      <c r="J154" s="5" t="n">
        <f aca="false">IF(D154="Slow",MIN(H154,SlowMoverCap),H154)</f>
        <v>9.28571428571429</v>
      </c>
      <c r="K154" s="5" t="n">
        <f aca="false">IF(D154="Slow",MIN(I154,SlowMoverCap),I154)</f>
        <v>3.71428571428571</v>
      </c>
    </row>
    <row r="155" customFormat="false" ht="15" hidden="false" customHeight="false" outlineLevel="0" collapsed="false">
      <c r="A155" s="5" t="n">
        <f aca="false">DEMAND_MODEL!A155</f>
        <v>154</v>
      </c>
      <c r="B155" s="5" t="n">
        <f aca="false">DEMAND_MODEL!B155</f>
        <v>34732</v>
      </c>
      <c r="C155" s="5" t="str">
        <f aca="false">DEMAND_MODEL!C155</f>
        <v>PRETZEL MINI PRT5204 20LB</v>
      </c>
      <c r="D155" s="5" t="str">
        <f aca="false">DEMAND_MODEL!G155</f>
        <v>Fast</v>
      </c>
      <c r="E155" s="5" t="n">
        <f aca="false">DEMAND_MODEL!K155</f>
        <v>0.857142857142857</v>
      </c>
      <c r="F155" s="5" t="n">
        <f aca="false">DEMAND_MODEL!L155</f>
        <v>0.142857142857143</v>
      </c>
      <c r="G155" s="5" t="n">
        <f aca="false">IFERROR(VLOOKUP(D155,SETTINGS!A14:B16,2,FALSE()),14)</f>
        <v>21</v>
      </c>
      <c r="H155" s="5" t="n">
        <f aca="false">E155*(LeadTime+ReorderCycle+SafetyDays)</f>
        <v>11.1428571428571</v>
      </c>
      <c r="I155" s="5" t="n">
        <f aca="false">F155*(LeadTime+ReorderCycle+SafetyDays)</f>
        <v>1.85714285714286</v>
      </c>
      <c r="J155" s="5" t="n">
        <f aca="false">IF(D155="Slow",MIN(H155,SlowMoverCap),H155)</f>
        <v>11.1428571428571</v>
      </c>
      <c r="K155" s="5" t="n">
        <f aca="false">IF(D155="Slow",MIN(I155,SlowMoverCap),I155)</f>
        <v>1.85714285714286</v>
      </c>
    </row>
    <row r="156" customFormat="false" ht="15" hidden="false" customHeight="false" outlineLevel="0" collapsed="false">
      <c r="A156" s="5" t="n">
        <f aca="false">DEMAND_MODEL!A156</f>
        <v>155</v>
      </c>
      <c r="B156" s="5" t="n">
        <f aca="false">DEMAND_MODEL!B156</f>
        <v>61580</v>
      </c>
      <c r="C156" s="5" t="str">
        <f aca="false">DEMAND_MODEL!C156</f>
        <v>SPRINKLES CHOCOLATE K 3K</v>
      </c>
      <c r="D156" s="5" t="str">
        <f aca="false">DEMAND_MODEL!G156</f>
        <v>Fast</v>
      </c>
      <c r="E156" s="5" t="n">
        <f aca="false">DEMAND_MODEL!K156</f>
        <v>0.428571428571429</v>
      </c>
      <c r="F156" s="5" t="n">
        <f aca="false">DEMAND_MODEL!L156</f>
        <v>0.285714285714286</v>
      </c>
      <c r="G156" s="5" t="n">
        <f aca="false">IFERROR(VLOOKUP(D156,SETTINGS!A14:B16,2,FALSE()),14)</f>
        <v>21</v>
      </c>
      <c r="H156" s="5" t="n">
        <f aca="false">E156*(LeadTime+ReorderCycle+SafetyDays)</f>
        <v>5.57142857142857</v>
      </c>
      <c r="I156" s="5" t="n">
        <f aca="false">F156*(LeadTime+ReorderCycle+SafetyDays)</f>
        <v>3.71428571428571</v>
      </c>
      <c r="J156" s="5" t="n">
        <f aca="false">IF(D156="Slow",MIN(H156,SlowMoverCap),H156)</f>
        <v>5.57142857142857</v>
      </c>
      <c r="K156" s="5" t="n">
        <f aca="false">IF(D156="Slow",MIN(I156,SlowMoverCap),I156)</f>
        <v>3.71428571428571</v>
      </c>
    </row>
    <row r="157" customFormat="false" ht="15" hidden="false" customHeight="false" outlineLevel="0" collapsed="false">
      <c r="A157" s="5" t="n">
        <f aca="false">DEMAND_MODEL!A157</f>
        <v>156</v>
      </c>
      <c r="B157" s="5" t="n">
        <f aca="false">DEMAND_MODEL!B157</f>
        <v>61581</v>
      </c>
      <c r="C157" s="5" t="str">
        <f aca="false">DEMAND_MODEL!C157</f>
        <v>SPRINKLES RAINBOW 3K</v>
      </c>
      <c r="D157" s="5" t="str">
        <f aca="false">DEMAND_MODEL!G157</f>
        <v>Fast</v>
      </c>
      <c r="E157" s="5" t="n">
        <f aca="false">DEMAND_MODEL!K157</f>
        <v>0.857142857142857</v>
      </c>
      <c r="F157" s="5" t="n">
        <f aca="false">DEMAND_MODEL!L157</f>
        <v>0.142857142857143</v>
      </c>
      <c r="G157" s="5" t="n">
        <f aca="false">IFERROR(VLOOKUP(D157,SETTINGS!A14:B16,2,FALSE()),14)</f>
        <v>21</v>
      </c>
      <c r="H157" s="5" t="n">
        <f aca="false">E157*(LeadTime+ReorderCycle+SafetyDays)</f>
        <v>11.1428571428571</v>
      </c>
      <c r="I157" s="5" t="n">
        <f aca="false">F157*(LeadTime+ReorderCycle+SafetyDays)</f>
        <v>1.85714285714286</v>
      </c>
      <c r="J157" s="5" t="n">
        <f aca="false">IF(D157="Slow",MIN(H157,SlowMoverCap),H157)</f>
        <v>11.1428571428571</v>
      </c>
      <c r="K157" s="5" t="n">
        <f aca="false">IF(D157="Slow",MIN(I157,SlowMoverCap),I157)</f>
        <v>1.85714285714286</v>
      </c>
    </row>
    <row r="158" customFormat="false" ht="15" hidden="false" customHeight="false" outlineLevel="0" collapsed="false">
      <c r="A158" s="5" t="n">
        <f aca="false">DEMAND_MODEL!A158</f>
        <v>157</v>
      </c>
      <c r="B158" s="5" t="n">
        <f aca="false">DEMAND_MODEL!B158</f>
        <v>67089</v>
      </c>
      <c r="C158" s="5" t="str">
        <f aca="false">DEMAND_MODEL!C158</f>
        <v>SYRUP VANILLA MONIN K 750ML</v>
      </c>
      <c r="D158" s="5" t="str">
        <f aca="false">DEMAND_MODEL!G158</f>
        <v>Medium</v>
      </c>
      <c r="E158" s="5" t="n">
        <f aca="false">DEMAND_MODEL!K158</f>
        <v>0.142857142857143</v>
      </c>
      <c r="F158" s="5" t="n">
        <f aca="false">DEMAND_MODEL!L158</f>
        <v>0.285714285714286</v>
      </c>
      <c r="G158" s="5" t="n">
        <f aca="false">IFERROR(VLOOKUP(D158,SETTINGS!A14:B16,2,FALSE()),14)</f>
        <v>14</v>
      </c>
      <c r="H158" s="5" t="n">
        <f aca="false">E158*(LeadTime+ReorderCycle+SafetyDays)</f>
        <v>1.85714285714286</v>
      </c>
      <c r="I158" s="5" t="n">
        <f aca="false">F158*(LeadTime+ReorderCycle+SafetyDays)</f>
        <v>3.71428571428571</v>
      </c>
      <c r="J158" s="5" t="n">
        <f aca="false">IF(D158="Slow",MIN(H158,SlowMoverCap),H158)</f>
        <v>1.85714285714286</v>
      </c>
      <c r="K158" s="5" t="n">
        <f aca="false">IF(D158="Slow",MIN(I158,SlowMoverCap),I158)</f>
        <v>3.71428571428571</v>
      </c>
    </row>
    <row r="159" customFormat="false" ht="15" hidden="false" customHeight="false" outlineLevel="0" collapsed="false">
      <c r="A159" s="5" t="n">
        <f aca="false">DEMAND_MODEL!A159</f>
        <v>158</v>
      </c>
      <c r="B159" s="5" t="n">
        <f aca="false">DEMAND_MODEL!B159</f>
        <v>67123</v>
      </c>
      <c r="C159" s="5" t="str">
        <f aca="false">DEMAND_MODEL!C159</f>
        <v>SYRUP PUR CANE SUG MONIN 750ML</v>
      </c>
      <c r="D159" s="5" t="str">
        <f aca="false">DEMAND_MODEL!G159</f>
        <v>Medium</v>
      </c>
      <c r="E159" s="5" t="n">
        <f aca="false">DEMAND_MODEL!K159</f>
        <v>0.285714285714286</v>
      </c>
      <c r="F159" s="5" t="n">
        <f aca="false">DEMAND_MODEL!L159</f>
        <v>0.142857142857143</v>
      </c>
      <c r="G159" s="5" t="n">
        <f aca="false">IFERROR(VLOOKUP(D159,SETTINGS!A14:B16,2,FALSE()),14)</f>
        <v>14</v>
      </c>
      <c r="H159" s="5" t="n">
        <f aca="false">E159*(LeadTime+ReorderCycle+SafetyDays)</f>
        <v>3.71428571428571</v>
      </c>
      <c r="I159" s="5" t="n">
        <f aca="false">F159*(LeadTime+ReorderCycle+SafetyDays)</f>
        <v>1.85714285714286</v>
      </c>
      <c r="J159" s="5" t="n">
        <f aca="false">IF(D159="Slow",MIN(H159,SlowMoverCap),H159)</f>
        <v>3.71428571428571</v>
      </c>
      <c r="K159" s="5" t="n">
        <f aca="false">IF(D159="Slow",MIN(I159,SlowMoverCap),I159)</f>
        <v>1.85714285714286</v>
      </c>
    </row>
    <row r="160" customFormat="false" ht="15" hidden="false" customHeight="false" outlineLevel="0" collapsed="false">
      <c r="A160" s="5" t="n">
        <f aca="false">DEMAND_MODEL!A160</f>
        <v>159</v>
      </c>
      <c r="B160" s="5" t="n">
        <f aca="false">DEMAND_MODEL!B160</f>
        <v>67121</v>
      </c>
      <c r="C160" s="5" t="str">
        <f aca="false">DEMAND_MODEL!C160</f>
        <v>SYRUP MOJITO MONIN 750ML</v>
      </c>
      <c r="D160" s="5" t="str">
        <f aca="false">DEMAND_MODEL!G160</f>
        <v>Medium</v>
      </c>
      <c r="E160" s="5" t="n">
        <f aca="false">DEMAND_MODEL!K160</f>
        <v>0.428571428571429</v>
      </c>
      <c r="F160" s="5" t="n">
        <f aca="false">DEMAND_MODEL!L160</f>
        <v>0.285714285714286</v>
      </c>
      <c r="G160" s="5" t="n">
        <f aca="false">IFERROR(VLOOKUP(D160,SETTINGS!A14:B16,2,FALSE()),14)</f>
        <v>14</v>
      </c>
      <c r="H160" s="5" t="n">
        <f aca="false">E160*(LeadTime+ReorderCycle+SafetyDays)</f>
        <v>5.57142857142857</v>
      </c>
      <c r="I160" s="5" t="n">
        <f aca="false">F160*(LeadTime+ReorderCycle+SafetyDays)</f>
        <v>3.71428571428571</v>
      </c>
      <c r="J160" s="5" t="n">
        <f aca="false">IF(D160="Slow",MIN(H160,SlowMoverCap),H160)</f>
        <v>5.57142857142857</v>
      </c>
      <c r="K160" s="5" t="n">
        <f aca="false">IF(D160="Slow",MIN(I160,SlowMoverCap),I160)</f>
        <v>3.71428571428571</v>
      </c>
    </row>
    <row r="161" customFormat="false" ht="15" hidden="false" customHeight="false" outlineLevel="0" collapsed="false">
      <c r="A161" s="5" t="n">
        <f aca="false">DEMAND_MODEL!A161</f>
        <v>160</v>
      </c>
      <c r="B161" s="5" t="n">
        <f aca="false">DEMAND_MODEL!B161</f>
        <v>67094</v>
      </c>
      <c r="C161" s="5" t="str">
        <f aca="false">DEMAND_MODEL!C161</f>
        <v>PUMP SYRUP MONIN 750ML(WHITE) 1</v>
      </c>
      <c r="D161" s="5" t="str">
        <f aca="false">DEMAND_MODEL!G161</f>
        <v>Medium</v>
      </c>
      <c r="E161" s="5" t="n">
        <f aca="false">DEMAND_MODEL!K161</f>
        <v>0.142857142857143</v>
      </c>
      <c r="F161" s="5" t="n">
        <f aca="false">DEMAND_MODEL!L161</f>
        <v>0.285714285714286</v>
      </c>
      <c r="G161" s="5" t="n">
        <f aca="false">IFERROR(VLOOKUP(D161,SETTINGS!A14:B16,2,FALSE()),14)</f>
        <v>14</v>
      </c>
      <c r="H161" s="5" t="n">
        <f aca="false">E161*(LeadTime+ReorderCycle+SafetyDays)</f>
        <v>1.85714285714286</v>
      </c>
      <c r="I161" s="5" t="n">
        <f aca="false">F161*(LeadTime+ReorderCycle+SafetyDays)</f>
        <v>3.71428571428571</v>
      </c>
      <c r="J161" s="5" t="n">
        <f aca="false">IF(D161="Slow",MIN(H161,SlowMoverCap),H161)</f>
        <v>1.85714285714286</v>
      </c>
      <c r="K161" s="5" t="n">
        <f aca="false">IF(D161="Slow",MIN(I161,SlowMoverCap),I161)</f>
        <v>3.71428571428571</v>
      </c>
    </row>
    <row r="162" customFormat="false" ht="15" hidden="false" customHeight="false" outlineLevel="0" collapsed="false">
      <c r="A162" s="5" t="n">
        <f aca="false">DEMAND_MODEL!A162</f>
        <v>161</v>
      </c>
      <c r="B162" s="5" t="n">
        <f aca="false">DEMAND_MODEL!B162</f>
        <v>67106</v>
      </c>
      <c r="C162" s="5" t="str">
        <f aca="false">DEMAND_MODEL!C162</f>
        <v>COFF ICED CONCENTRATE M-FT216F 4X1L</v>
      </c>
      <c r="D162" s="5" t="str">
        <f aca="false">DEMAND_MODEL!G162</f>
        <v>Medium</v>
      </c>
      <c r="E162" s="5" t="n">
        <f aca="false">DEMAND_MODEL!K162</f>
        <v>0.142857142857143</v>
      </c>
      <c r="F162" s="5" t="n">
        <f aca="false">DEMAND_MODEL!L162</f>
        <v>0.285714285714286</v>
      </c>
      <c r="G162" s="5" t="n">
        <f aca="false">IFERROR(VLOOKUP(D162,SETTINGS!A14:B16,2,FALSE()),14)</f>
        <v>14</v>
      </c>
      <c r="H162" s="5" t="n">
        <f aca="false">E162*(LeadTime+ReorderCycle+SafetyDays)</f>
        <v>1.85714285714286</v>
      </c>
      <c r="I162" s="5" t="n">
        <f aca="false">F162*(LeadTime+ReorderCycle+SafetyDays)</f>
        <v>3.71428571428571</v>
      </c>
      <c r="J162" s="5" t="n">
        <f aca="false">IF(D162="Slow",MIN(H162,SlowMoverCap),H162)</f>
        <v>1.85714285714286</v>
      </c>
      <c r="K162" s="5" t="n">
        <f aca="false">IF(D162="Slow",MIN(I162,SlowMoverCap),I162)</f>
        <v>3.71428571428571</v>
      </c>
    </row>
    <row r="163" customFormat="false" ht="15" hidden="false" customHeight="false" outlineLevel="0" collapsed="false">
      <c r="A163" s="5" t="n">
        <f aca="false">DEMAND_MODEL!A163</f>
        <v>162</v>
      </c>
      <c r="B163" s="5" t="n">
        <f aca="false">DEMAND_MODEL!B163</f>
        <v>25645</v>
      </c>
      <c r="C163" s="5" t="str">
        <f aca="false">DEMAND_MODEL!C163</f>
        <v>WATER ESKA NATURAL SPRING 24X500ML</v>
      </c>
      <c r="D163" s="5" t="str">
        <f aca="false">DEMAND_MODEL!G163</f>
        <v>Fast</v>
      </c>
      <c r="E163" s="5" t="n">
        <f aca="false">DEMAND_MODEL!K163</f>
        <v>0.857142857142857</v>
      </c>
      <c r="F163" s="5" t="n">
        <f aca="false">DEMAND_MODEL!L163</f>
        <v>0.571428571428571</v>
      </c>
      <c r="G163" s="5" t="n">
        <f aca="false">IFERROR(VLOOKUP(D163,SETTINGS!A14:B16,2,FALSE()),14)</f>
        <v>21</v>
      </c>
      <c r="H163" s="5" t="n">
        <f aca="false">E163*(LeadTime+ReorderCycle+SafetyDays)</f>
        <v>11.1428571428571</v>
      </c>
      <c r="I163" s="5" t="n">
        <f aca="false">F163*(LeadTime+ReorderCycle+SafetyDays)</f>
        <v>7.42857142857143</v>
      </c>
      <c r="J163" s="5" t="n">
        <f aca="false">IF(D163="Slow",MIN(H163,SlowMoverCap),H163)</f>
        <v>11.1428571428571</v>
      </c>
      <c r="K163" s="5" t="n">
        <f aca="false">IF(D163="Slow",MIN(I163,SlowMoverCap),I163)</f>
        <v>7.42857142857143</v>
      </c>
    </row>
    <row r="164" customFormat="false" ht="15" hidden="false" customHeight="false" outlineLevel="0" collapsed="false">
      <c r="A164" s="5" t="n">
        <f aca="false">DEMAND_MODEL!A164</f>
        <v>163</v>
      </c>
      <c r="B164" s="5" t="n">
        <f aca="false">DEMAND_MODEL!B164</f>
        <v>724574</v>
      </c>
      <c r="C164" s="5" t="str">
        <f aca="false">DEMAND_MODEL!C164</f>
        <v>BEV RED BULL SUGAR FREE 24X250ML</v>
      </c>
      <c r="D164" s="5" t="str">
        <f aca="false">DEMAND_MODEL!G164</f>
        <v>Fast</v>
      </c>
      <c r="E164" s="5" t="n">
        <f aca="false">DEMAND_MODEL!K164</f>
        <v>0.714285714285714</v>
      </c>
      <c r="F164" s="5" t="n">
        <f aca="false">DEMAND_MODEL!L164</f>
        <v>0.285714285714286</v>
      </c>
      <c r="G164" s="5" t="n">
        <f aca="false">IFERROR(VLOOKUP(D164,SETTINGS!A14:B16,2,FALSE()),14)</f>
        <v>21</v>
      </c>
      <c r="H164" s="5" t="n">
        <f aca="false">E164*(LeadTime+ReorderCycle+SafetyDays)</f>
        <v>9.28571428571429</v>
      </c>
      <c r="I164" s="5" t="n">
        <f aca="false">F164*(LeadTime+ReorderCycle+SafetyDays)</f>
        <v>3.71428571428571</v>
      </c>
      <c r="J164" s="5" t="n">
        <f aca="false">IF(D164="Slow",MIN(H164,SlowMoverCap),H164)</f>
        <v>9.28571428571429</v>
      </c>
      <c r="K164" s="5" t="n">
        <f aca="false">IF(D164="Slow",MIN(I164,SlowMoverCap),I164)</f>
        <v>3.71428571428571</v>
      </c>
    </row>
    <row r="165" customFormat="false" ht="15" hidden="false" customHeight="false" outlineLevel="0" collapsed="false">
      <c r="A165" s="5" t="n">
        <f aca="false">DEMAND_MODEL!A165</f>
        <v>164</v>
      </c>
      <c r="B165" s="5" t="n">
        <f aca="false">DEMAND_MODEL!B165</f>
        <v>724573</v>
      </c>
      <c r="C165" s="5" t="str">
        <f aca="false">DEMAND_MODEL!C165</f>
        <v>BEV RED BULL 24X250ML</v>
      </c>
      <c r="D165" s="5" t="str">
        <f aca="false">DEMAND_MODEL!G165</f>
        <v>Fast</v>
      </c>
      <c r="E165" s="5" t="n">
        <f aca="false">DEMAND_MODEL!K165</f>
        <v>1.14285714285714</v>
      </c>
      <c r="F165" s="5" t="n">
        <f aca="false">DEMAND_MODEL!L165</f>
        <v>0.714285714285714</v>
      </c>
      <c r="G165" s="5" t="n">
        <f aca="false">IFERROR(VLOOKUP(D165,SETTINGS!A14:B16,2,FALSE()),14)</f>
        <v>21</v>
      </c>
      <c r="H165" s="5" t="n">
        <f aca="false">E165*(LeadTime+ReorderCycle+SafetyDays)</f>
        <v>14.8571428571429</v>
      </c>
      <c r="I165" s="5" t="n">
        <f aca="false">F165*(LeadTime+ReorderCycle+SafetyDays)</f>
        <v>9.28571428571429</v>
      </c>
      <c r="J165" s="5" t="n">
        <f aca="false">IF(D165="Slow",MIN(H165,SlowMoverCap),H165)</f>
        <v>14.8571428571429</v>
      </c>
      <c r="K165" s="5" t="n">
        <f aca="false">IF(D165="Slow",MIN(I165,SlowMoverCap),I165)</f>
        <v>9.28571428571429</v>
      </c>
    </row>
    <row r="166" customFormat="false" ht="15" hidden="false" customHeight="false" outlineLevel="0" collapsed="false">
      <c r="A166" s="5" t="n">
        <f aca="false">DEMAND_MODEL!A166</f>
        <v>165</v>
      </c>
      <c r="B166" s="5" t="n">
        <f aca="false">DEMAND_MODEL!B166</f>
        <v>724571</v>
      </c>
      <c r="C166" s="5" t="str">
        <f aca="false">DEMAND_MODEL!C166</f>
        <v>BEV RED BULL WATERMELON 24X250ML</v>
      </c>
      <c r="D166" s="5" t="str">
        <f aca="false">DEMAND_MODEL!G166</f>
        <v>Fast</v>
      </c>
      <c r="E166" s="5" t="n">
        <f aca="false">DEMAND_MODEL!K166</f>
        <v>1</v>
      </c>
      <c r="F166" s="5" t="n">
        <f aca="false">DEMAND_MODEL!L166</f>
        <v>0.714285714285714</v>
      </c>
      <c r="G166" s="5" t="n">
        <f aca="false">IFERROR(VLOOKUP(D166,SETTINGS!A14:B16,2,FALSE()),14)</f>
        <v>21</v>
      </c>
      <c r="H166" s="5" t="n">
        <f aca="false">E166*(LeadTime+ReorderCycle+SafetyDays)</f>
        <v>13</v>
      </c>
      <c r="I166" s="5" t="n">
        <f aca="false">F166*(LeadTime+ReorderCycle+SafetyDays)</f>
        <v>9.28571428571429</v>
      </c>
      <c r="J166" s="5" t="n">
        <f aca="false">IF(D166="Slow",MIN(H166,SlowMoverCap),H166)</f>
        <v>13</v>
      </c>
      <c r="K166" s="5" t="n">
        <f aca="false">IF(D166="Slow",MIN(I166,SlowMoverCap),I166)</f>
        <v>9.28571428571429</v>
      </c>
    </row>
    <row r="167" customFormat="false" ht="15" hidden="false" customHeight="false" outlineLevel="0" collapsed="false">
      <c r="A167" s="5" t="n">
        <f aca="false">DEMAND_MODEL!A167</f>
        <v>166</v>
      </c>
      <c r="B167" s="5" t="n">
        <f aca="false">DEMAND_MODEL!B167</f>
        <v>45164</v>
      </c>
      <c r="C167" s="5" t="str">
        <f aca="false">DEMAND_MODEL!C167</f>
        <v>POPPING BOBBA MANGO 2X3.1K</v>
      </c>
      <c r="D167" s="5" t="str">
        <f aca="false">DEMAND_MODEL!G167</f>
        <v>Medium</v>
      </c>
      <c r="E167" s="5" t="n">
        <f aca="false">DEMAND_MODEL!K167</f>
        <v>0.285714285714286</v>
      </c>
      <c r="F167" s="5" t="n">
        <f aca="false">DEMAND_MODEL!L167</f>
        <v>0.571428571428571</v>
      </c>
      <c r="G167" s="5" t="n">
        <f aca="false">IFERROR(VLOOKUP(D167,SETTINGS!A14:B16,2,FALSE()),14)</f>
        <v>14</v>
      </c>
      <c r="H167" s="5" t="n">
        <f aca="false">E167*(LeadTime+ReorderCycle+SafetyDays)</f>
        <v>3.71428571428571</v>
      </c>
      <c r="I167" s="5" t="n">
        <f aca="false">F167*(LeadTime+ReorderCycle+SafetyDays)</f>
        <v>7.42857142857143</v>
      </c>
      <c r="J167" s="5" t="n">
        <f aca="false">IF(D167="Slow",MIN(H167,SlowMoverCap),H167)</f>
        <v>3.71428571428571</v>
      </c>
      <c r="K167" s="5" t="n">
        <f aca="false">IF(D167="Slow",MIN(I167,SlowMoverCap),I167)</f>
        <v>7.42857142857143</v>
      </c>
    </row>
    <row r="168" customFormat="false" ht="15" hidden="false" customHeight="false" outlineLevel="0" collapsed="false">
      <c r="A168" s="5" t="n">
        <f aca="false">DEMAND_MODEL!A168</f>
        <v>167</v>
      </c>
      <c r="B168" s="5" t="n">
        <f aca="false">DEMAND_MODEL!B168</f>
        <v>52266</v>
      </c>
      <c r="C168" s="5" t="str">
        <f aca="false">DEMAND_MODEL!C168</f>
        <v>POPPING BOBBA STRAWBERRY 2X3.1K</v>
      </c>
      <c r="D168" s="5" t="str">
        <f aca="false">DEMAND_MODEL!G168</f>
        <v>Medium</v>
      </c>
      <c r="E168" s="5" t="n">
        <f aca="false">DEMAND_MODEL!K168</f>
        <v>0.285714285714286</v>
      </c>
      <c r="F168" s="5" t="n">
        <f aca="false">DEMAND_MODEL!L168</f>
        <v>0.428571428571429</v>
      </c>
      <c r="G168" s="5" t="n">
        <f aca="false">IFERROR(VLOOKUP(D168,SETTINGS!A14:B16,2,FALSE()),14)</f>
        <v>14</v>
      </c>
      <c r="H168" s="5" t="n">
        <f aca="false">E168*(LeadTime+ReorderCycle+SafetyDays)</f>
        <v>3.71428571428571</v>
      </c>
      <c r="I168" s="5" t="n">
        <f aca="false">F168*(LeadTime+ReorderCycle+SafetyDays)</f>
        <v>5.57142857142857</v>
      </c>
      <c r="J168" s="5" t="n">
        <f aca="false">IF(D168="Slow",MIN(H168,SlowMoverCap),H168)</f>
        <v>3.71428571428571</v>
      </c>
      <c r="K168" s="5" t="n">
        <f aca="false">IF(D168="Slow",MIN(I168,SlowMoverCap),I168)</f>
        <v>5.57142857142857</v>
      </c>
    </row>
    <row r="169" customFormat="false" ht="15" hidden="false" customHeight="false" outlineLevel="0" collapsed="false">
      <c r="A169" s="5" t="n">
        <f aca="false">DEMAND_MODEL!A169</f>
        <v>168</v>
      </c>
      <c r="B169" s="5" t="n">
        <f aca="false">DEMAND_MODEL!B169</f>
        <v>39813</v>
      </c>
      <c r="C169" s="5" t="str">
        <f aca="false">DEMAND_MODEL!C169</f>
        <v>LADIP SMOOTH MAN/PCH(SUNRIZE)40X135</v>
      </c>
      <c r="D169" s="5" t="str">
        <f aca="false">DEMAND_MODEL!G169</f>
        <v>Medium</v>
      </c>
      <c r="E169" s="5" t="n">
        <f aca="false">DEMAND_MODEL!K169</f>
        <v>0.714285714285714</v>
      </c>
      <c r="F169" s="5" t="n">
        <f aca="false">DEMAND_MODEL!L169</f>
        <v>0.142857142857143</v>
      </c>
      <c r="G169" s="5" t="n">
        <f aca="false">IFERROR(VLOOKUP(D169,SETTINGS!A14:B16,2,FALSE()),14)</f>
        <v>14</v>
      </c>
      <c r="H169" s="5" t="n">
        <f aca="false">E169*(LeadTime+ReorderCycle+SafetyDays)</f>
        <v>9.28571428571429</v>
      </c>
      <c r="I169" s="5" t="n">
        <f aca="false">F169*(LeadTime+ReorderCycle+SafetyDays)</f>
        <v>1.85714285714286</v>
      </c>
      <c r="J169" s="5" t="n">
        <f aca="false">IF(D169="Slow",MIN(H169,SlowMoverCap),H169)</f>
        <v>9.28571428571429</v>
      </c>
      <c r="K169" s="5" t="n">
        <f aca="false">IF(D169="Slow",MIN(I169,SlowMoverCap),I169)</f>
        <v>1.85714285714286</v>
      </c>
    </row>
    <row r="170" customFormat="false" ht="15" hidden="false" customHeight="false" outlineLevel="0" collapsed="false">
      <c r="A170" s="5" t="n">
        <f aca="false">DEMAND_MODEL!A170</f>
        <v>169</v>
      </c>
      <c r="B170" s="5" t="n">
        <f aca="false">DEMAND_MODEL!B170</f>
        <v>39814</v>
      </c>
      <c r="C170" s="5" t="str">
        <f aca="false">DEMAND_MODEL!C170</f>
        <v>LADIP SMOOTHIE MAN/KIWI(AZUR)40X135</v>
      </c>
      <c r="D170" s="5" t="str">
        <f aca="false">DEMAND_MODEL!G170</f>
        <v>Medium</v>
      </c>
      <c r="E170" s="5" t="n">
        <f aca="false">DEMAND_MODEL!K170</f>
        <v>0.285714285714286</v>
      </c>
      <c r="F170" s="5" t="n">
        <f aca="false">DEMAND_MODEL!L170</f>
        <v>0.428571428571429</v>
      </c>
      <c r="G170" s="5" t="n">
        <f aca="false">IFERROR(VLOOKUP(D170,SETTINGS!A14:B16,2,FALSE()),14)</f>
        <v>14</v>
      </c>
      <c r="H170" s="5" t="n">
        <f aca="false">E170*(LeadTime+ReorderCycle+SafetyDays)</f>
        <v>3.71428571428571</v>
      </c>
      <c r="I170" s="5" t="n">
        <f aca="false">F170*(LeadTime+ReorderCycle+SafetyDays)</f>
        <v>5.57142857142857</v>
      </c>
      <c r="J170" s="5" t="n">
        <f aca="false">IF(D170="Slow",MIN(H170,SlowMoverCap),H170)</f>
        <v>3.71428571428571</v>
      </c>
      <c r="K170" s="5" t="n">
        <f aca="false">IF(D170="Slow",MIN(I170,SlowMoverCap),I170)</f>
        <v>5.57142857142857</v>
      </c>
    </row>
    <row r="171" customFormat="false" ht="15" hidden="false" customHeight="false" outlineLevel="0" collapsed="false">
      <c r="A171" s="5" t="n">
        <f aca="false">DEMAND_MODEL!A171</f>
        <v>170</v>
      </c>
      <c r="B171" s="5" t="n">
        <f aca="false">DEMAND_MODEL!B171</f>
        <v>32548</v>
      </c>
      <c r="C171" s="5" t="str">
        <f aca="false">DEMAND_MODEL!C171</f>
        <v>JCE LEMON REALEMON K 2X3.8L</v>
      </c>
      <c r="D171" s="5" t="str">
        <f aca="false">DEMAND_MODEL!G171</f>
        <v>Medium</v>
      </c>
      <c r="E171" s="5" t="n">
        <f aca="false">DEMAND_MODEL!K171</f>
        <v>0.714285714285714</v>
      </c>
      <c r="F171" s="5" t="n">
        <f aca="false">DEMAND_MODEL!L171</f>
        <v>0.285714285714286</v>
      </c>
      <c r="G171" s="5" t="n">
        <f aca="false">IFERROR(VLOOKUP(D171,SETTINGS!A14:B16,2,FALSE()),14)</f>
        <v>14</v>
      </c>
      <c r="H171" s="5" t="n">
        <f aca="false">E171*(LeadTime+ReorderCycle+SafetyDays)</f>
        <v>9.28571428571429</v>
      </c>
      <c r="I171" s="5" t="n">
        <f aca="false">F171*(LeadTime+ReorderCycle+SafetyDays)</f>
        <v>3.71428571428571</v>
      </c>
      <c r="J171" s="5" t="n">
        <f aca="false">IF(D171="Slow",MIN(H171,SlowMoverCap),H171)</f>
        <v>9.28571428571429</v>
      </c>
      <c r="K171" s="5" t="n">
        <f aca="false">IF(D171="Slow",MIN(I171,SlowMoverCap),I171)</f>
        <v>3.71428571428571</v>
      </c>
    </row>
    <row r="172" customFormat="false" ht="15" hidden="false" customHeight="false" outlineLevel="0" collapsed="false">
      <c r="A172" s="5" t="n">
        <f aca="false">DEMAND_MODEL!A172</f>
        <v>171</v>
      </c>
      <c r="B172" s="5" t="n">
        <f aca="false">DEMAND_MODEL!B172</f>
        <v>67168</v>
      </c>
      <c r="C172" s="5" t="str">
        <f aca="false">DEMAND_MODEL!C172</f>
        <v>SYRUP MANGO M-FR032F 1L</v>
      </c>
      <c r="D172" s="5" t="str">
        <f aca="false">DEMAND_MODEL!G172</f>
        <v>Medium</v>
      </c>
      <c r="E172" s="5" t="n">
        <f aca="false">DEMAND_MODEL!K172</f>
        <v>0.428571428571429</v>
      </c>
      <c r="F172" s="5" t="n">
        <f aca="false">DEMAND_MODEL!L172</f>
        <v>0.142857142857143</v>
      </c>
      <c r="G172" s="5" t="n">
        <f aca="false">IFERROR(VLOOKUP(D172,SETTINGS!A14:B16,2,FALSE()),14)</f>
        <v>14</v>
      </c>
      <c r="H172" s="5" t="n">
        <f aca="false">E172*(LeadTime+ReorderCycle+SafetyDays)</f>
        <v>5.57142857142857</v>
      </c>
      <c r="I172" s="5" t="n">
        <f aca="false">F172*(LeadTime+ReorderCycle+SafetyDays)</f>
        <v>1.85714285714286</v>
      </c>
      <c r="J172" s="5" t="n">
        <f aca="false">IF(D172="Slow",MIN(H172,SlowMoverCap),H172)</f>
        <v>5.57142857142857</v>
      </c>
      <c r="K172" s="5" t="n">
        <f aca="false">IF(D172="Slow",MIN(I172,SlowMoverCap),I172)</f>
        <v>1.85714285714286</v>
      </c>
    </row>
    <row r="173" customFormat="false" ht="15" hidden="false" customHeight="false" outlineLevel="0" collapsed="false">
      <c r="A173" s="5" t="n">
        <f aca="false">DEMAND_MODEL!A173</f>
        <v>172</v>
      </c>
      <c r="B173" s="5" t="n">
        <f aca="false">DEMAND_MODEL!B173</f>
        <v>67154</v>
      </c>
      <c r="C173" s="5" t="str">
        <f aca="false">DEMAND_MODEL!C173</f>
        <v>SYRUP PASSION FRUIT 1L</v>
      </c>
      <c r="D173" s="5" t="str">
        <f aca="false">DEMAND_MODEL!G173</f>
        <v>Medium</v>
      </c>
      <c r="E173" s="5" t="n">
        <f aca="false">DEMAND_MODEL!K173</f>
        <v>0.428571428571429</v>
      </c>
      <c r="F173" s="5" t="n">
        <f aca="false">DEMAND_MODEL!L173</f>
        <v>0.428571428571429</v>
      </c>
      <c r="G173" s="5" t="n">
        <f aca="false">IFERROR(VLOOKUP(D173,SETTINGS!A14:B16,2,FALSE()),14)</f>
        <v>14</v>
      </c>
      <c r="H173" s="5" t="n">
        <f aca="false">E173*(LeadTime+ReorderCycle+SafetyDays)</f>
        <v>5.57142857142857</v>
      </c>
      <c r="I173" s="5" t="n">
        <f aca="false">F173*(LeadTime+ReorderCycle+SafetyDays)</f>
        <v>5.57142857142857</v>
      </c>
      <c r="J173" s="5" t="n">
        <f aca="false">IF(D173="Slow",MIN(H173,SlowMoverCap),H173)</f>
        <v>5.57142857142857</v>
      </c>
      <c r="K173" s="5" t="n">
        <f aca="false">IF(D173="Slow",MIN(I173,SlowMoverCap),I173)</f>
        <v>5.57142857142857</v>
      </c>
    </row>
    <row r="174" customFormat="false" ht="15" hidden="false" customHeight="false" outlineLevel="0" collapsed="false">
      <c r="A174" s="5" t="n">
        <f aca="false">DEMAND_MODEL!A174</f>
        <v>173</v>
      </c>
      <c r="B174" s="5" t="n">
        <f aca="false">DEMAND_MODEL!B174</f>
        <v>67132</v>
      </c>
      <c r="C174" s="5" t="str">
        <f aca="false">DEMAND_MODEL!C174</f>
        <v>SYRUP BLUE CURACAO M-AR007A  750ML</v>
      </c>
      <c r="D174" s="5" t="str">
        <f aca="false">DEMAND_MODEL!G174</f>
        <v>Medium</v>
      </c>
      <c r="E174" s="5" t="n">
        <f aca="false">DEMAND_MODEL!K174</f>
        <v>0.714285714285714</v>
      </c>
      <c r="F174" s="5" t="n">
        <f aca="false">DEMAND_MODEL!L174</f>
        <v>0.428571428571429</v>
      </c>
      <c r="G174" s="5" t="n">
        <f aca="false">IFERROR(VLOOKUP(D174,SETTINGS!A14:B16,2,FALSE()),14)</f>
        <v>14</v>
      </c>
      <c r="H174" s="5" t="n">
        <f aca="false">E174*(LeadTime+ReorderCycle+SafetyDays)</f>
        <v>9.28571428571429</v>
      </c>
      <c r="I174" s="5" t="n">
        <f aca="false">F174*(LeadTime+ReorderCycle+SafetyDays)</f>
        <v>5.57142857142857</v>
      </c>
      <c r="J174" s="5" t="n">
        <f aca="false">IF(D174="Slow",MIN(H174,SlowMoverCap),H174)</f>
        <v>9.28571428571429</v>
      </c>
      <c r="K174" s="5" t="n">
        <f aca="false">IF(D174="Slow",MIN(I174,SlowMoverCap),I174)</f>
        <v>5.57142857142857</v>
      </c>
    </row>
    <row r="175" customFormat="false" ht="15" hidden="false" customHeight="false" outlineLevel="0" collapsed="false">
      <c r="A175" s="5" t="n">
        <f aca="false">DEMAND_MODEL!A175</f>
        <v>174</v>
      </c>
      <c r="B175" s="5" t="n">
        <f aca="false">DEMAND_MODEL!B175</f>
        <v>61661</v>
      </c>
      <c r="C175" s="5" t="str">
        <f aca="false">DEMAND_MODEL!C175</f>
        <v>SYRUP RUBY RD GRFRUIT MONIN 1L</v>
      </c>
      <c r="D175" s="5" t="str">
        <f aca="false">DEMAND_MODEL!G175</f>
        <v>Medium</v>
      </c>
      <c r="E175" s="5" t="n">
        <f aca="false">DEMAND_MODEL!K175</f>
        <v>0.714285714285714</v>
      </c>
      <c r="F175" s="5" t="n">
        <f aca="false">DEMAND_MODEL!L175</f>
        <v>0.142857142857143</v>
      </c>
      <c r="G175" s="5" t="n">
        <f aca="false">IFERROR(VLOOKUP(D175,SETTINGS!A14:B16,2,FALSE()),14)</f>
        <v>14</v>
      </c>
      <c r="H175" s="5" t="n">
        <f aca="false">E175*(LeadTime+ReorderCycle+SafetyDays)</f>
        <v>9.28571428571429</v>
      </c>
      <c r="I175" s="5" t="n">
        <f aca="false">F175*(LeadTime+ReorderCycle+SafetyDays)</f>
        <v>1.85714285714286</v>
      </c>
      <c r="J175" s="5" t="n">
        <f aca="false">IF(D175="Slow",MIN(H175,SlowMoverCap),H175)</f>
        <v>9.28571428571429</v>
      </c>
      <c r="K175" s="5" t="n">
        <f aca="false">IF(D175="Slow",MIN(I175,SlowMoverCap),I175)</f>
        <v>1.85714285714286</v>
      </c>
    </row>
    <row r="176" customFormat="false" ht="15" hidden="false" customHeight="false" outlineLevel="0" collapsed="false">
      <c r="A176" s="5" t="n">
        <f aca="false">DEMAND_MODEL!A176</f>
        <v>175</v>
      </c>
      <c r="B176" s="5" t="n">
        <f aca="false">DEMAND_MODEL!B176</f>
        <v>67085</v>
      </c>
      <c r="C176" s="5" t="str">
        <f aca="false">DEMAND_MODEL!C176</f>
        <v>SYRUP STRAWBERRY MONIN K 750ML</v>
      </c>
      <c r="D176" s="5" t="str">
        <f aca="false">DEMAND_MODEL!G176</f>
        <v>Medium</v>
      </c>
      <c r="E176" s="5" t="n">
        <f aca="false">DEMAND_MODEL!K176</f>
        <v>0.428571428571429</v>
      </c>
      <c r="F176" s="5" t="n">
        <f aca="false">DEMAND_MODEL!L176</f>
        <v>0.571428571428571</v>
      </c>
      <c r="G176" s="5" t="n">
        <f aca="false">IFERROR(VLOOKUP(D176,SETTINGS!A14:B16,2,FALSE()),14)</f>
        <v>14</v>
      </c>
      <c r="H176" s="5" t="n">
        <f aca="false">E176*(LeadTime+ReorderCycle+SafetyDays)</f>
        <v>5.57142857142857</v>
      </c>
      <c r="I176" s="5" t="n">
        <f aca="false">F176*(LeadTime+ReorderCycle+SafetyDays)</f>
        <v>7.42857142857143</v>
      </c>
      <c r="J176" s="5" t="n">
        <f aca="false">IF(D176="Slow",MIN(H176,SlowMoverCap),H176)</f>
        <v>5.57142857142857</v>
      </c>
      <c r="K176" s="5" t="n">
        <f aca="false">IF(D176="Slow",MIN(I176,SlowMoverCap),I176)</f>
        <v>7.42857142857143</v>
      </c>
    </row>
    <row r="177" customFormat="false" ht="15" hidden="false" customHeight="false" outlineLevel="0" collapsed="false">
      <c r="A177" s="5" t="n">
        <f aca="false">DEMAND_MODEL!A177</f>
        <v>176</v>
      </c>
      <c r="B177" s="5" t="n">
        <f aca="false">DEMAND_MODEL!B177</f>
        <v>67063</v>
      </c>
      <c r="C177" s="5" t="str">
        <f aca="false">DEMAND_MODEL!C177</f>
        <v>SYRUP DRAGON FRUIT M-FR298F   1L</v>
      </c>
      <c r="D177" s="5" t="str">
        <f aca="false">DEMAND_MODEL!G177</f>
        <v>Medium</v>
      </c>
      <c r="E177" s="5" t="n">
        <f aca="false">DEMAND_MODEL!K177</f>
        <v>0.285714285714286</v>
      </c>
      <c r="F177" s="5" t="n">
        <f aca="false">DEMAND_MODEL!L177</f>
        <v>0.142857142857143</v>
      </c>
      <c r="G177" s="5" t="n">
        <f aca="false">IFERROR(VLOOKUP(D177,SETTINGS!A14:B16,2,FALSE()),14)</f>
        <v>14</v>
      </c>
      <c r="H177" s="5" t="n">
        <f aca="false">E177*(LeadTime+ReorderCycle+SafetyDays)</f>
        <v>3.71428571428571</v>
      </c>
      <c r="I177" s="5" t="n">
        <f aca="false">F177*(LeadTime+ReorderCycle+SafetyDays)</f>
        <v>1.85714285714286</v>
      </c>
      <c r="J177" s="5" t="n">
        <f aca="false">IF(D177="Slow",MIN(H177,SlowMoverCap),H177)</f>
        <v>3.71428571428571</v>
      </c>
      <c r="K177" s="5" t="n">
        <f aca="false">IF(D177="Slow",MIN(I177,SlowMoverCap),I177)</f>
        <v>1.85714285714286</v>
      </c>
    </row>
    <row r="178" customFormat="false" ht="15" hidden="false" customHeight="false" outlineLevel="0" collapsed="false">
      <c r="A178" s="5" t="n">
        <f aca="false">DEMAND_MODEL!A178</f>
        <v>177</v>
      </c>
      <c r="B178" s="5" t="n">
        <f aca="false">DEMAND_MODEL!B178</f>
        <v>61739</v>
      </c>
      <c r="C178" s="5" t="str">
        <f aca="false">DEMAND_MODEL!C178</f>
        <v>SYRUP HIBISCUS MONIN 1L</v>
      </c>
      <c r="D178" s="5" t="str">
        <f aca="false">DEMAND_MODEL!G178</f>
        <v>Medium</v>
      </c>
      <c r="E178" s="5" t="n">
        <f aca="false">DEMAND_MODEL!K178</f>
        <v>0.714285714285714</v>
      </c>
      <c r="F178" s="5" t="n">
        <f aca="false">DEMAND_MODEL!L178</f>
        <v>0.142857142857143</v>
      </c>
      <c r="G178" s="5" t="n">
        <f aca="false">IFERROR(VLOOKUP(D178,SETTINGS!A14:B16,2,FALSE()),14)</f>
        <v>14</v>
      </c>
      <c r="H178" s="5" t="n">
        <f aca="false">E178*(LeadTime+ReorderCycle+SafetyDays)</f>
        <v>9.28571428571429</v>
      </c>
      <c r="I178" s="5" t="n">
        <f aca="false">F178*(LeadTime+ReorderCycle+SafetyDays)</f>
        <v>1.85714285714286</v>
      </c>
      <c r="J178" s="5" t="n">
        <f aca="false">IF(D178="Slow",MIN(H178,SlowMoverCap),H178)</f>
        <v>9.28571428571429</v>
      </c>
      <c r="K178" s="5" t="n">
        <f aca="false">IF(D178="Slow",MIN(I178,SlowMoverCap),I178)</f>
        <v>1.85714285714286</v>
      </c>
    </row>
    <row r="179" customFormat="false" ht="15" hidden="false" customHeight="false" outlineLevel="0" collapsed="false">
      <c r="A179" s="5" t="n">
        <f aca="false">DEMAND_MODEL!A179</f>
        <v>178</v>
      </c>
      <c r="B179" s="5" t="n">
        <f aca="false">DEMAND_MODEL!B179</f>
        <v>39817</v>
      </c>
      <c r="C179" s="5" t="str">
        <f aca="false">DEMAND_MODEL!C179</f>
        <v>LADIP SMOOTH VANILLA/MAPLE 40X150G</v>
      </c>
      <c r="D179" s="5" t="str">
        <f aca="false">DEMAND_MODEL!G179</f>
        <v>Medium</v>
      </c>
      <c r="E179" s="5" t="n">
        <f aca="false">DEMAND_MODEL!K179</f>
        <v>0.428571428571429</v>
      </c>
      <c r="F179" s="5" t="n">
        <f aca="false">DEMAND_MODEL!L179</f>
        <v>0.571428571428571</v>
      </c>
      <c r="G179" s="5" t="n">
        <f aca="false">IFERROR(VLOOKUP(D179,SETTINGS!A14:B16,2,FALSE()),14)</f>
        <v>14</v>
      </c>
      <c r="H179" s="5" t="n">
        <f aca="false">E179*(LeadTime+ReorderCycle+SafetyDays)</f>
        <v>5.57142857142857</v>
      </c>
      <c r="I179" s="5" t="n">
        <f aca="false">F179*(LeadTime+ReorderCycle+SafetyDays)</f>
        <v>7.42857142857143</v>
      </c>
      <c r="J179" s="5" t="n">
        <f aca="false">IF(D179="Slow",MIN(H179,SlowMoverCap),H179)</f>
        <v>5.57142857142857</v>
      </c>
      <c r="K179" s="5" t="n">
        <f aca="false">IF(D179="Slow",MIN(I179,SlowMoverCap),I179)</f>
        <v>7.42857142857143</v>
      </c>
    </row>
    <row r="180" customFormat="false" ht="15" hidden="false" customHeight="false" outlineLevel="0" collapsed="false">
      <c r="A180" s="5" t="n">
        <f aca="false">DEMAND_MODEL!A180</f>
        <v>179</v>
      </c>
      <c r="B180" s="5" t="n">
        <f aca="false">DEMAND_MODEL!B180</f>
        <v>67088</v>
      </c>
      <c r="C180" s="5" t="str">
        <f aca="false">DEMAND_MODEL!C180</f>
        <v>SYRUP PEACH MONIN K 750ML</v>
      </c>
      <c r="D180" s="5" t="str">
        <f aca="false">DEMAND_MODEL!G180</f>
        <v>Medium</v>
      </c>
      <c r="E180" s="5" t="n">
        <f aca="false">DEMAND_MODEL!K180</f>
        <v>0.571428571428571</v>
      </c>
      <c r="F180" s="5" t="n">
        <f aca="false">DEMAND_MODEL!L180</f>
        <v>0.285714285714286</v>
      </c>
      <c r="G180" s="5" t="n">
        <f aca="false">IFERROR(VLOOKUP(D180,SETTINGS!A14:B16,2,FALSE()),14)</f>
        <v>14</v>
      </c>
      <c r="H180" s="5" t="n">
        <f aca="false">E180*(LeadTime+ReorderCycle+SafetyDays)</f>
        <v>7.42857142857143</v>
      </c>
      <c r="I180" s="5" t="n">
        <f aca="false">F180*(LeadTime+ReorderCycle+SafetyDays)</f>
        <v>3.71428571428571</v>
      </c>
      <c r="J180" s="5" t="n">
        <f aca="false">IF(D180="Slow",MIN(H180,SlowMoverCap),H180)</f>
        <v>7.42857142857143</v>
      </c>
      <c r="K180" s="5" t="n">
        <f aca="false">IF(D180="Slow",MIN(I180,SlowMoverCap),I180)</f>
        <v>3.71428571428571</v>
      </c>
    </row>
    <row r="181" customFormat="false" ht="15" hidden="false" customHeight="false" outlineLevel="0" collapsed="false">
      <c r="A181" s="5" t="n">
        <f aca="false">DEMAND_MODEL!A181</f>
        <v>180</v>
      </c>
      <c r="B181" s="5" t="n">
        <f aca="false">DEMAND_MODEL!B181</f>
        <v>67094</v>
      </c>
      <c r="C181" s="5" t="str">
        <f aca="false">DEMAND_MODEL!C181</f>
        <v>PUMP SYRUP MONIN 750ML(WHITE) 1</v>
      </c>
      <c r="D181" s="5" t="str">
        <f aca="false">DEMAND_MODEL!G181</f>
        <v>Medium</v>
      </c>
      <c r="E181" s="5" t="n">
        <f aca="false">DEMAND_MODEL!K181</f>
        <v>0.714285714285714</v>
      </c>
      <c r="F181" s="5" t="n">
        <f aca="false">DEMAND_MODEL!L181</f>
        <v>0.285714285714286</v>
      </c>
      <c r="G181" s="5" t="n">
        <f aca="false">IFERROR(VLOOKUP(D181,SETTINGS!A14:B16,2,FALSE()),14)</f>
        <v>14</v>
      </c>
      <c r="H181" s="5" t="n">
        <f aca="false">E181*(LeadTime+ReorderCycle+SafetyDays)</f>
        <v>9.28571428571429</v>
      </c>
      <c r="I181" s="5" t="n">
        <f aca="false">F181*(LeadTime+ReorderCycle+SafetyDays)</f>
        <v>3.71428571428571</v>
      </c>
      <c r="J181" s="5" t="n">
        <f aca="false">IF(D181="Slow",MIN(H181,SlowMoverCap),H181)</f>
        <v>9.28571428571429</v>
      </c>
      <c r="K181" s="5" t="n">
        <f aca="false">IF(D181="Slow",MIN(I181,SlowMoverCap),I181)</f>
        <v>3.71428571428571</v>
      </c>
    </row>
    <row r="182" customFormat="false" ht="15" hidden="false" customHeight="false" outlineLevel="0" collapsed="false">
      <c r="A182" s="5" t="n">
        <f aca="false">DEMAND_MODEL!A182</f>
        <v>181</v>
      </c>
      <c r="B182" s="5" t="n">
        <f aca="false">DEMAND_MODEL!B182</f>
        <v>38527</v>
      </c>
      <c r="C182" s="5" t="str">
        <f aca="false">DEMAND_MODEL!C182</f>
        <v>PUMP FOR SYRUP 1L X1</v>
      </c>
      <c r="D182" s="5" t="str">
        <f aca="false">DEMAND_MODEL!G182</f>
        <v>Medium</v>
      </c>
      <c r="E182" s="5" t="n">
        <f aca="false">DEMAND_MODEL!K182</f>
        <v>0.285714285714286</v>
      </c>
      <c r="F182" s="5" t="n">
        <f aca="false">DEMAND_MODEL!L182</f>
        <v>0.428571428571429</v>
      </c>
      <c r="G182" s="5" t="n">
        <f aca="false">IFERROR(VLOOKUP(D182,SETTINGS!A14:B16,2,FALSE()),14)</f>
        <v>14</v>
      </c>
      <c r="H182" s="5" t="n">
        <f aca="false">E182*(LeadTime+ReorderCycle+SafetyDays)</f>
        <v>3.71428571428571</v>
      </c>
      <c r="I182" s="5" t="n">
        <f aca="false">F182*(LeadTime+ReorderCycle+SafetyDays)</f>
        <v>5.57142857142857</v>
      </c>
      <c r="J182" s="5" t="n">
        <f aca="false">IF(D182="Slow",MIN(H182,SlowMoverCap),H182)</f>
        <v>3.71428571428571</v>
      </c>
      <c r="K182" s="5" t="n">
        <f aca="false">IF(D182="Slow",MIN(I182,SlowMoverCap),I182)</f>
        <v>5.57142857142857</v>
      </c>
    </row>
    <row r="183" customFormat="false" ht="15" hidden="false" customHeight="false" outlineLevel="0" collapsed="false">
      <c r="A183" s="5" t="n">
        <f aca="false">DEMAND_MODEL!A183</f>
        <v>182</v>
      </c>
      <c r="B183" s="5" t="n">
        <f aca="false">DEMAND_MODEL!B183</f>
        <v>67112</v>
      </c>
      <c r="C183" s="5" t="str">
        <f aca="false">DEMAND_MODEL!C183</f>
        <v>SYRUP STRAWBERRY WILD MONIN 1L</v>
      </c>
      <c r="D183" s="5" t="str">
        <f aca="false">DEMAND_MODEL!G183</f>
        <v>Medium</v>
      </c>
      <c r="E183" s="5" t="n">
        <f aca="false">DEMAND_MODEL!K183</f>
        <v>0.428571428571429</v>
      </c>
      <c r="F183" s="5" t="n">
        <f aca="false">DEMAND_MODEL!L183</f>
        <v>0.428571428571429</v>
      </c>
      <c r="G183" s="5" t="n">
        <f aca="false">IFERROR(VLOOKUP(D183,SETTINGS!A14:B16,2,FALSE()),14)</f>
        <v>14</v>
      </c>
      <c r="H183" s="5" t="n">
        <f aca="false">E183*(LeadTime+ReorderCycle+SafetyDays)</f>
        <v>5.57142857142857</v>
      </c>
      <c r="I183" s="5" t="n">
        <f aca="false">F183*(LeadTime+ReorderCycle+SafetyDays)</f>
        <v>5.57142857142857</v>
      </c>
      <c r="J183" s="5" t="n">
        <f aca="false">IF(D183="Slow",MIN(H183,SlowMoverCap),H183)</f>
        <v>5.57142857142857</v>
      </c>
      <c r="K183" s="5" t="n">
        <f aca="false">IF(D183="Slow",MIN(I183,SlowMoverCap),I183)</f>
        <v>5.57142857142857</v>
      </c>
    </row>
    <row r="184" customFormat="false" ht="15" hidden="false" customHeight="false" outlineLevel="0" collapsed="false">
      <c r="A184" s="5" t="n">
        <f aca="false">DEMAND_MODEL!A184</f>
        <v>183</v>
      </c>
      <c r="B184" s="5" t="n">
        <f aca="false">DEMAND_MODEL!B184</f>
        <v>61558</v>
      </c>
      <c r="C184" s="5" t="str">
        <f aca="false">DEMAND_MODEL!C184</f>
        <v>STRAW 8.5" BBL/TEA 12MM WH/PAP 2M</v>
      </c>
      <c r="D184" s="5" t="str">
        <f aca="false">DEMAND_MODEL!G184</f>
        <v>Medium</v>
      </c>
      <c r="E184" s="5" t="n">
        <f aca="false">DEMAND_MODEL!K184</f>
        <v>0.428571428571429</v>
      </c>
      <c r="F184" s="5" t="n">
        <f aca="false">DEMAND_MODEL!L184</f>
        <v>0.142857142857143</v>
      </c>
      <c r="G184" s="5" t="n">
        <f aca="false">IFERROR(VLOOKUP(D184,SETTINGS!A14:B16,2,FALSE()),14)</f>
        <v>14</v>
      </c>
      <c r="H184" s="5" t="n">
        <f aca="false">E184*(LeadTime+ReorderCycle+SafetyDays)</f>
        <v>5.57142857142857</v>
      </c>
      <c r="I184" s="5" t="n">
        <f aca="false">F184*(LeadTime+ReorderCycle+SafetyDays)</f>
        <v>1.85714285714286</v>
      </c>
      <c r="J184" s="5" t="n">
        <f aca="false">IF(D184="Slow",MIN(H184,SlowMoverCap),H184)</f>
        <v>5.57142857142857</v>
      </c>
      <c r="K184" s="5" t="n">
        <f aca="false">IF(D184="Slow",MIN(I184,SlowMoverCap),I184)</f>
        <v>1.85714285714286</v>
      </c>
    </row>
    <row r="185" customFormat="false" ht="15" hidden="false" customHeight="false" outlineLevel="0" collapsed="false">
      <c r="A185" s="5" t="n">
        <f aca="false">DEMAND_MODEL!A185</f>
        <v>184</v>
      </c>
      <c r="B185" s="5" t="n">
        <f aca="false">DEMAND_MODEL!B185</f>
        <v>50046</v>
      </c>
      <c r="C185" s="5" t="str">
        <f aca="false">DEMAND_MODEL!C185</f>
        <v>SLUSH BASE RTU 5+1 2X4L</v>
      </c>
      <c r="D185" s="5" t="str">
        <f aca="false">DEMAND_MODEL!G185</f>
        <v>Medium</v>
      </c>
      <c r="E185" s="5" t="n">
        <f aca="false">DEMAND_MODEL!K185</f>
        <v>0.285714285714286</v>
      </c>
      <c r="F185" s="5" t="n">
        <f aca="false">DEMAND_MODEL!L185</f>
        <v>0.142857142857143</v>
      </c>
      <c r="G185" s="5" t="n">
        <f aca="false">IFERROR(VLOOKUP(D185,SETTINGS!A14:B16,2,FALSE()),14)</f>
        <v>14</v>
      </c>
      <c r="H185" s="5" t="n">
        <f aca="false">E185*(LeadTime+ReorderCycle+SafetyDays)</f>
        <v>3.71428571428571</v>
      </c>
      <c r="I185" s="5" t="n">
        <f aca="false">F185*(LeadTime+ReorderCycle+SafetyDays)</f>
        <v>1.85714285714286</v>
      </c>
      <c r="J185" s="5" t="n">
        <f aca="false">IF(D185="Slow",MIN(H185,SlowMoverCap),H185)</f>
        <v>3.71428571428571</v>
      </c>
      <c r="K185" s="5" t="n">
        <f aca="false">IF(D185="Slow",MIN(I185,SlowMoverCap),I185)</f>
        <v>1.85714285714286</v>
      </c>
    </row>
    <row r="186" customFormat="false" ht="15" hidden="false" customHeight="false" outlineLevel="0" collapsed="false">
      <c r="A186" s="5" t="n">
        <f aca="false">DEMAND_MODEL!A186</f>
        <v>185</v>
      </c>
      <c r="B186" s="5" t="n">
        <f aca="false">DEMAND_MODEL!B186</f>
        <v>97477</v>
      </c>
      <c r="C186" s="5" t="str">
        <f aca="false">DEMAND_MODEL!C186</f>
        <v>9 SLUSH CONC.BUBBLE GUM  2X4L</v>
      </c>
      <c r="D186" s="5" t="str">
        <f aca="false">DEMAND_MODEL!G186</f>
        <v>Medium</v>
      </c>
      <c r="E186" s="5" t="n">
        <f aca="false">DEMAND_MODEL!K186</f>
        <v>0.428571428571429</v>
      </c>
      <c r="F186" s="5" t="n">
        <f aca="false">DEMAND_MODEL!L186</f>
        <v>0.142857142857143</v>
      </c>
      <c r="G186" s="5" t="n">
        <f aca="false">IFERROR(VLOOKUP(D186,SETTINGS!A14:B16,2,FALSE()),14)</f>
        <v>14</v>
      </c>
      <c r="H186" s="5" t="n">
        <f aca="false">E186*(LeadTime+ReorderCycle+SafetyDays)</f>
        <v>5.57142857142857</v>
      </c>
      <c r="I186" s="5" t="n">
        <f aca="false">F186*(LeadTime+ReorderCycle+SafetyDays)</f>
        <v>1.85714285714286</v>
      </c>
      <c r="J186" s="5" t="n">
        <f aca="false">IF(D186="Slow",MIN(H186,SlowMoverCap),H186)</f>
        <v>5.57142857142857</v>
      </c>
      <c r="K186" s="5" t="n">
        <f aca="false">IF(D186="Slow",MIN(I186,SlowMoverCap),I186)</f>
        <v>1.85714285714286</v>
      </c>
    </row>
    <row r="187" customFormat="false" ht="15" hidden="false" customHeight="false" outlineLevel="0" collapsed="false">
      <c r="A187" s="5" t="n">
        <f aca="false">DEMAND_MODEL!A187</f>
        <v>186</v>
      </c>
      <c r="B187" s="5" t="n">
        <f aca="false">DEMAND_MODEL!B187</f>
        <v>50142</v>
      </c>
      <c r="C187" s="5" t="str">
        <f aca="false">DEMAND_MODEL!C187</f>
        <v>9 SLUSH CONC.PEACH 3133024 2X4L</v>
      </c>
      <c r="D187" s="5" t="str">
        <f aca="false">DEMAND_MODEL!G187</f>
        <v>Medium</v>
      </c>
      <c r="E187" s="5" t="n">
        <f aca="false">DEMAND_MODEL!K187</f>
        <v>0.428571428571429</v>
      </c>
      <c r="F187" s="5" t="n">
        <f aca="false">DEMAND_MODEL!L187</f>
        <v>0.285714285714286</v>
      </c>
      <c r="G187" s="5" t="n">
        <f aca="false">IFERROR(VLOOKUP(D187,SETTINGS!A14:B16,2,FALSE()),14)</f>
        <v>14</v>
      </c>
      <c r="H187" s="5" t="n">
        <f aca="false">E187*(LeadTime+ReorderCycle+SafetyDays)</f>
        <v>5.57142857142857</v>
      </c>
      <c r="I187" s="5" t="n">
        <f aca="false">F187*(LeadTime+ReorderCycle+SafetyDays)</f>
        <v>3.71428571428571</v>
      </c>
      <c r="J187" s="5" t="n">
        <f aca="false">IF(D187="Slow",MIN(H187,SlowMoverCap),H187)</f>
        <v>5.57142857142857</v>
      </c>
      <c r="K187" s="5" t="n">
        <f aca="false">IF(D187="Slow",MIN(I187,SlowMoverCap),I187)</f>
        <v>3.71428571428571</v>
      </c>
    </row>
    <row r="188" customFormat="false" ht="15" hidden="false" customHeight="false" outlineLevel="0" collapsed="false">
      <c r="A188" s="5" t="n">
        <f aca="false">DEMAND_MODEL!A188</f>
        <v>187</v>
      </c>
      <c r="B188" s="5" t="n">
        <f aca="false">DEMAND_MODEL!B188</f>
        <v>43369</v>
      </c>
      <c r="C188" s="5" t="str">
        <f aca="false">DEMAND_MODEL!C188</f>
        <v>DIPP BAG COOKIE GREASPRF  PTD 1M</v>
      </c>
      <c r="D188" s="5" t="str">
        <f aca="false">DEMAND_MODEL!G188</f>
        <v>Fast</v>
      </c>
      <c r="E188" s="5" t="n">
        <f aca="false">DEMAND_MODEL!K188</f>
        <v>1</v>
      </c>
      <c r="F188" s="5" t="n">
        <f aca="false">DEMAND_MODEL!L188</f>
        <v>0.857142857142857</v>
      </c>
      <c r="G188" s="5" t="n">
        <f aca="false">IFERROR(VLOOKUP(D188,SETTINGS!A14:B16,2,FALSE()),14)</f>
        <v>21</v>
      </c>
      <c r="H188" s="5" t="n">
        <f aca="false">E188*(LeadTime+ReorderCycle+SafetyDays)</f>
        <v>13</v>
      </c>
      <c r="I188" s="5" t="n">
        <f aca="false">F188*(LeadTime+ReorderCycle+SafetyDays)</f>
        <v>11.1428571428571</v>
      </c>
      <c r="J188" s="5" t="n">
        <f aca="false">IF(D188="Slow",MIN(H188,SlowMoverCap),H188)</f>
        <v>13</v>
      </c>
      <c r="K188" s="5" t="n">
        <f aca="false">IF(D188="Slow",MIN(I188,SlowMoverCap),I188)</f>
        <v>11.1428571428571</v>
      </c>
    </row>
    <row r="189" customFormat="false" ht="15" hidden="false" customHeight="false" outlineLevel="0" collapsed="false">
      <c r="A189" s="5" t="n">
        <f aca="false">DEMAND_MODEL!A189</f>
        <v>188</v>
      </c>
      <c r="B189" s="5" t="n">
        <f aca="false">DEMAND_MODEL!B189</f>
        <v>61763</v>
      </c>
      <c r="C189" s="5" t="str">
        <f aca="false">DEMAND_MODEL!C189</f>
        <v>DIP BOX BLUE/DONUT 25X15X10  125</v>
      </c>
      <c r="D189" s="5" t="str">
        <f aca="false">DEMAND_MODEL!G189</f>
        <v>Fast</v>
      </c>
      <c r="E189" s="5" t="n">
        <f aca="false">DEMAND_MODEL!K189</f>
        <v>0.428571428571429</v>
      </c>
      <c r="F189" s="5" t="n">
        <f aca="false">DEMAND_MODEL!L189</f>
        <v>0.285714285714286</v>
      </c>
      <c r="G189" s="5" t="n">
        <f aca="false">IFERROR(VLOOKUP(D189,SETTINGS!A14:B16,2,FALSE()),14)</f>
        <v>21</v>
      </c>
      <c r="H189" s="5" t="n">
        <f aca="false">E189*(LeadTime+ReorderCycle+SafetyDays)</f>
        <v>5.57142857142857</v>
      </c>
      <c r="I189" s="5" t="n">
        <f aca="false">F189*(LeadTime+ReorderCycle+SafetyDays)</f>
        <v>3.71428571428571</v>
      </c>
      <c r="J189" s="5" t="n">
        <f aca="false">IF(D189="Slow",MIN(H189,SlowMoverCap),H189)</f>
        <v>5.57142857142857</v>
      </c>
      <c r="K189" s="5" t="n">
        <f aca="false">IF(D189="Slow",MIN(I189,SlowMoverCap),I189)</f>
        <v>3.71428571428571</v>
      </c>
    </row>
    <row r="190" customFormat="false" ht="15" hidden="false" customHeight="false" outlineLevel="0" collapsed="false">
      <c r="A190" s="5" t="n">
        <f aca="false">DEMAND_MODEL!A190</f>
        <v>189</v>
      </c>
      <c r="B190" s="5" t="n">
        <f aca="false">DEMAND_MODEL!B190</f>
        <v>35182</v>
      </c>
      <c r="C190" s="5" t="str">
        <f aca="false">DEMAND_MODEL!C190</f>
        <v>DIPP BOWL 6 OZ S605T-168259 1M</v>
      </c>
      <c r="D190" s="5" t="str">
        <f aca="false">DEMAND_MODEL!G190</f>
        <v>Fast</v>
      </c>
      <c r="E190" s="5" t="n">
        <f aca="false">DEMAND_MODEL!K190</f>
        <v>0.428571428571429</v>
      </c>
      <c r="F190" s="5" t="n">
        <f aca="false">DEMAND_MODEL!L190</f>
        <v>0.714285714285714</v>
      </c>
      <c r="G190" s="5" t="n">
        <f aca="false">IFERROR(VLOOKUP(D190,SETTINGS!A14:B16,2,FALSE()),14)</f>
        <v>21</v>
      </c>
      <c r="H190" s="5" t="n">
        <f aca="false">E190*(LeadTime+ReorderCycle+SafetyDays)</f>
        <v>5.57142857142857</v>
      </c>
      <c r="I190" s="5" t="n">
        <f aca="false">F190*(LeadTime+ReorderCycle+SafetyDays)</f>
        <v>9.28571428571429</v>
      </c>
      <c r="J190" s="5" t="n">
        <f aca="false">IF(D190="Slow",MIN(H190,SlowMoverCap),H190)</f>
        <v>5.57142857142857</v>
      </c>
      <c r="K190" s="5" t="n">
        <f aca="false">IF(D190="Slow",MIN(I190,SlowMoverCap),I190)</f>
        <v>9.28571428571429</v>
      </c>
    </row>
    <row r="191" customFormat="false" ht="15" hidden="false" customHeight="false" outlineLevel="0" collapsed="false">
      <c r="A191" s="5" t="n">
        <f aca="false">DEMAND_MODEL!A191</f>
        <v>190</v>
      </c>
      <c r="B191" s="5" t="n">
        <f aca="false">DEMAND_MODEL!B191</f>
        <v>68687</v>
      </c>
      <c r="C191" s="5" t="str">
        <f aca="false">DEMAND_MODEL!C191</f>
        <v>Couv 6oz</v>
      </c>
      <c r="D191" s="5" t="str">
        <f aca="false">DEMAND_MODEL!G191</f>
        <v>Fast</v>
      </c>
      <c r="E191" s="5" t="n">
        <f aca="false">DEMAND_MODEL!K191</f>
        <v>1.42857142857143</v>
      </c>
      <c r="F191" s="5" t="n">
        <f aca="false">DEMAND_MODEL!L191</f>
        <v>0.285714285714286</v>
      </c>
      <c r="G191" s="5" t="n">
        <f aca="false">IFERROR(VLOOKUP(D191,SETTINGS!A14:B16,2,FALSE()),14)</f>
        <v>21</v>
      </c>
      <c r="H191" s="5" t="n">
        <f aca="false">E191*(LeadTime+ReorderCycle+SafetyDays)</f>
        <v>18.5714285714286</v>
      </c>
      <c r="I191" s="5" t="n">
        <f aca="false">F191*(LeadTime+ReorderCycle+SafetyDays)</f>
        <v>3.71428571428571</v>
      </c>
      <c r="J191" s="5" t="n">
        <f aca="false">IF(D191="Slow",MIN(H191,SlowMoverCap),H191)</f>
        <v>18.5714285714286</v>
      </c>
      <c r="K191" s="5" t="n">
        <f aca="false">IF(D191="Slow",MIN(I191,SlowMoverCap),I191)</f>
        <v>3.71428571428571</v>
      </c>
    </row>
    <row r="192" customFormat="false" ht="15" hidden="false" customHeight="false" outlineLevel="0" collapsed="false">
      <c r="A192" s="5" t="n">
        <f aca="false">DEMAND_MODEL!A192</f>
        <v>191</v>
      </c>
      <c r="B192" s="5" t="n">
        <f aca="false">DEMAND_MODEL!B192</f>
        <v>35171</v>
      </c>
      <c r="C192" s="5" t="str">
        <f aca="false">DEMAND_MODEL!C192</f>
        <v>DIPP BOWL 8OZ VS608-168260 1M</v>
      </c>
      <c r="D192" s="5" t="str">
        <f aca="false">DEMAND_MODEL!G192</f>
        <v>Fast</v>
      </c>
      <c r="E192" s="5" t="n">
        <f aca="false">DEMAND_MODEL!K192</f>
        <v>1.14285714285714</v>
      </c>
      <c r="F192" s="5" t="n">
        <f aca="false">DEMAND_MODEL!L192</f>
        <v>1</v>
      </c>
      <c r="G192" s="5" t="n">
        <f aca="false">IFERROR(VLOOKUP(D192,SETTINGS!A14:B16,2,FALSE()),14)</f>
        <v>21</v>
      </c>
      <c r="H192" s="5" t="n">
        <f aca="false">E192*(LeadTime+ReorderCycle+SafetyDays)</f>
        <v>14.8571428571429</v>
      </c>
      <c r="I192" s="5" t="n">
        <f aca="false">F192*(LeadTime+ReorderCycle+SafetyDays)</f>
        <v>13</v>
      </c>
      <c r="J192" s="5" t="n">
        <f aca="false">IF(D192="Slow",MIN(H192,SlowMoverCap),H192)</f>
        <v>14.8571428571429</v>
      </c>
      <c r="K192" s="5" t="n">
        <f aca="false">IF(D192="Slow",MIN(I192,SlowMoverCap),I192)</f>
        <v>13</v>
      </c>
    </row>
    <row r="193" customFormat="false" ht="15" hidden="false" customHeight="false" outlineLevel="0" collapsed="false">
      <c r="A193" s="5" t="n">
        <f aca="false">DEMAND_MODEL!A193</f>
        <v>192</v>
      </c>
      <c r="B193" s="5" t="n">
        <f aca="false">DEMAND_MODEL!B193</f>
        <v>35176</v>
      </c>
      <c r="C193" s="5" t="str">
        <f aca="false">DEMAND_MODEL!C193</f>
        <v>couv / Lid  8oz</v>
      </c>
      <c r="D193" s="5" t="str">
        <f aca="false">DEMAND_MODEL!G193</f>
        <v>Fast</v>
      </c>
      <c r="E193" s="5" t="n">
        <f aca="false">DEMAND_MODEL!K193</f>
        <v>0.571428571428571</v>
      </c>
      <c r="F193" s="5" t="n">
        <f aca="false">DEMAND_MODEL!L193</f>
        <v>0.571428571428571</v>
      </c>
      <c r="G193" s="5" t="n">
        <f aca="false">IFERROR(VLOOKUP(D193,SETTINGS!A14:B16,2,FALSE()),14)</f>
        <v>21</v>
      </c>
      <c r="H193" s="5" t="n">
        <f aca="false">E193*(LeadTime+ReorderCycle+SafetyDays)</f>
        <v>7.42857142857143</v>
      </c>
      <c r="I193" s="5" t="n">
        <f aca="false">F193*(LeadTime+ReorderCycle+SafetyDays)</f>
        <v>7.42857142857143</v>
      </c>
      <c r="J193" s="5" t="n">
        <f aca="false">IF(D193="Slow",MIN(H193,SlowMoverCap),H193)</f>
        <v>7.42857142857143</v>
      </c>
      <c r="K193" s="5" t="n">
        <f aca="false">IF(D193="Slow",MIN(I193,SlowMoverCap),I193)</f>
        <v>7.42857142857143</v>
      </c>
    </row>
    <row r="194" customFormat="false" ht="15" hidden="false" customHeight="false" outlineLevel="0" collapsed="false">
      <c r="A194" s="5" t="n">
        <f aca="false">DEMAND_MODEL!A194</f>
        <v>193</v>
      </c>
      <c r="B194" s="5" t="n">
        <f aca="false">DEMAND_MODEL!B194</f>
        <v>35026</v>
      </c>
      <c r="C194" s="5" t="str">
        <f aca="false">DEMAND_MODEL!C194</f>
        <v>Dipp Bowl 12oz 1M</v>
      </c>
      <c r="D194" s="5" t="str">
        <f aca="false">DEMAND_MODEL!G194</f>
        <v>Fast</v>
      </c>
      <c r="E194" s="5" t="n">
        <f aca="false">DEMAND_MODEL!K194</f>
        <v>0.714285714285714</v>
      </c>
      <c r="F194" s="5" t="n">
        <f aca="false">DEMAND_MODEL!L194</f>
        <v>0.571428571428571</v>
      </c>
      <c r="G194" s="5" t="n">
        <f aca="false">IFERROR(VLOOKUP(D194,SETTINGS!A14:B16,2,FALSE()),14)</f>
        <v>21</v>
      </c>
      <c r="H194" s="5" t="n">
        <f aca="false">E194*(LeadTime+ReorderCycle+SafetyDays)</f>
        <v>9.28571428571429</v>
      </c>
      <c r="I194" s="5" t="n">
        <f aca="false">F194*(LeadTime+ReorderCycle+SafetyDays)</f>
        <v>7.42857142857143</v>
      </c>
      <c r="J194" s="5" t="n">
        <f aca="false">IF(D194="Slow",MIN(H194,SlowMoverCap),H194)</f>
        <v>9.28571428571429</v>
      </c>
      <c r="K194" s="5" t="n">
        <f aca="false">IF(D194="Slow",MIN(I194,SlowMoverCap),I194)</f>
        <v>7.42857142857143</v>
      </c>
    </row>
    <row r="195" customFormat="false" ht="15" hidden="false" customHeight="false" outlineLevel="0" collapsed="false">
      <c r="A195" s="5" t="n">
        <f aca="false">DEMAND_MODEL!A195</f>
        <v>194</v>
      </c>
      <c r="B195" s="5" t="n">
        <f aca="false">DEMAND_MODEL!B195</f>
        <v>35226</v>
      </c>
      <c r="C195" s="5" t="str">
        <f aca="false">DEMAND_MODEL!C195</f>
        <v>Lid for 12oz Bowl</v>
      </c>
      <c r="D195" s="5" t="str">
        <f aca="false">DEMAND_MODEL!G195</f>
        <v>Fast</v>
      </c>
      <c r="E195" s="5" t="n">
        <f aca="false">DEMAND_MODEL!K195</f>
        <v>0.571428571428571</v>
      </c>
      <c r="F195" s="5" t="n">
        <f aca="false">DEMAND_MODEL!L195</f>
        <v>0.714285714285714</v>
      </c>
      <c r="G195" s="5" t="n">
        <f aca="false">IFERROR(VLOOKUP(D195,SETTINGS!A14:B16,2,FALSE()),14)</f>
        <v>21</v>
      </c>
      <c r="H195" s="5" t="n">
        <f aca="false">E195*(LeadTime+ReorderCycle+SafetyDays)</f>
        <v>7.42857142857143</v>
      </c>
      <c r="I195" s="5" t="n">
        <f aca="false">F195*(LeadTime+ReorderCycle+SafetyDays)</f>
        <v>9.28571428571429</v>
      </c>
      <c r="J195" s="5" t="n">
        <f aca="false">IF(D195="Slow",MIN(H195,SlowMoverCap),H195)</f>
        <v>7.42857142857143</v>
      </c>
      <c r="K195" s="5" t="n">
        <f aca="false">IF(D195="Slow",MIN(I195,SlowMoverCap),I195)</f>
        <v>9.28571428571429</v>
      </c>
    </row>
    <row r="196" customFormat="false" ht="15" hidden="false" customHeight="false" outlineLevel="0" collapsed="false">
      <c r="A196" s="5" t="n">
        <f aca="false">DEMAND_MODEL!A196</f>
        <v>195</v>
      </c>
      <c r="B196" s="5" t="n">
        <f aca="false">DEMAND_MODEL!B196</f>
        <v>33728</v>
      </c>
      <c r="C196" s="5" t="str">
        <f aca="false">DEMAND_MODEL!C196</f>
        <v>DIPP CUP 10 OZ PAP RAZZLE PRT  1M</v>
      </c>
      <c r="D196" s="5" t="str">
        <f aca="false">DEMAND_MODEL!G196</f>
        <v>Fast</v>
      </c>
      <c r="E196" s="5" t="n">
        <f aca="false">DEMAND_MODEL!K196</f>
        <v>0.428571428571429</v>
      </c>
      <c r="F196" s="5" t="n">
        <f aca="false">DEMAND_MODEL!L196</f>
        <v>0.285714285714286</v>
      </c>
      <c r="G196" s="5" t="n">
        <f aca="false">IFERROR(VLOOKUP(D196,SETTINGS!A14:B16,2,FALSE()),14)</f>
        <v>21</v>
      </c>
      <c r="H196" s="5" t="n">
        <f aca="false">E196*(LeadTime+ReorderCycle+SafetyDays)</f>
        <v>5.57142857142857</v>
      </c>
      <c r="I196" s="5" t="n">
        <f aca="false">F196*(LeadTime+ReorderCycle+SafetyDays)</f>
        <v>3.71428571428571</v>
      </c>
      <c r="J196" s="5" t="n">
        <f aca="false">IF(D196="Slow",MIN(H196,SlowMoverCap),H196)</f>
        <v>5.57142857142857</v>
      </c>
      <c r="K196" s="5" t="n">
        <f aca="false">IF(D196="Slow",MIN(I196,SlowMoverCap),I196)</f>
        <v>3.71428571428571</v>
      </c>
    </row>
    <row r="197" customFormat="false" ht="15" hidden="false" customHeight="false" outlineLevel="0" collapsed="false">
      <c r="A197" s="5" t="n">
        <f aca="false">DEMAND_MODEL!A197</f>
        <v>196</v>
      </c>
      <c r="B197" s="5" t="n">
        <f aca="false">DEMAND_MODEL!B197</f>
        <v>33729</v>
      </c>
      <c r="C197" s="5" t="str">
        <f aca="false">DEMAND_MODEL!C197</f>
        <v>Lid Razzle/Coffee  white 1000</v>
      </c>
      <c r="D197" s="5" t="str">
        <f aca="false">DEMAND_MODEL!G197</f>
        <v>Fast</v>
      </c>
      <c r="E197" s="5" t="n">
        <f aca="false">DEMAND_MODEL!K197</f>
        <v>0.857142857142857</v>
      </c>
      <c r="F197" s="5" t="n">
        <f aca="false">DEMAND_MODEL!L197</f>
        <v>0.571428571428571</v>
      </c>
      <c r="G197" s="5" t="n">
        <f aca="false">IFERROR(VLOOKUP(D197,SETTINGS!A14:B16,2,FALSE()),14)</f>
        <v>21</v>
      </c>
      <c r="H197" s="5" t="n">
        <f aca="false">E197*(LeadTime+ReorderCycle+SafetyDays)</f>
        <v>11.1428571428571</v>
      </c>
      <c r="I197" s="5" t="n">
        <f aca="false">F197*(LeadTime+ReorderCycle+SafetyDays)</f>
        <v>7.42857142857143</v>
      </c>
      <c r="J197" s="5" t="n">
        <f aca="false">IF(D197="Slow",MIN(H197,SlowMoverCap),H197)</f>
        <v>11.1428571428571</v>
      </c>
      <c r="K197" s="5" t="n">
        <f aca="false">IF(D197="Slow",MIN(I197,SlowMoverCap),I197)</f>
        <v>7.42857142857143</v>
      </c>
    </row>
    <row r="198" customFormat="false" ht="15" hidden="false" customHeight="false" outlineLevel="0" collapsed="false">
      <c r="A198" s="5" t="n">
        <f aca="false">DEMAND_MODEL!A198</f>
        <v>197</v>
      </c>
      <c r="B198" s="5" t="n">
        <f aca="false">DEMAND_MODEL!B198</f>
        <v>66985</v>
      </c>
      <c r="C198" s="5" t="str">
        <f aca="false">DEMAND_MODEL!C198</f>
        <v>Lid Razzle Dome Clr 1000</v>
      </c>
      <c r="D198" s="5" t="str">
        <f aca="false">DEMAND_MODEL!G198</f>
        <v>Fast</v>
      </c>
      <c r="E198" s="5" t="n">
        <f aca="false">DEMAND_MODEL!K198</f>
        <v>0.571428571428571</v>
      </c>
      <c r="F198" s="5" t="n">
        <f aca="false">DEMAND_MODEL!L198</f>
        <v>0.428571428571429</v>
      </c>
      <c r="G198" s="5" t="n">
        <f aca="false">IFERROR(VLOOKUP(D198,SETTINGS!A14:B16,2,FALSE()),14)</f>
        <v>21</v>
      </c>
      <c r="H198" s="5" t="n">
        <f aca="false">E198*(LeadTime+ReorderCycle+SafetyDays)</f>
        <v>7.42857142857143</v>
      </c>
      <c r="I198" s="5" t="n">
        <f aca="false">F198*(LeadTime+ReorderCycle+SafetyDays)</f>
        <v>5.57142857142857</v>
      </c>
      <c r="J198" s="5" t="n">
        <f aca="false">IF(D198="Slow",MIN(H198,SlowMoverCap),H198)</f>
        <v>7.42857142857143</v>
      </c>
      <c r="K198" s="5" t="n">
        <f aca="false">IF(D198="Slow",MIN(I198,SlowMoverCap),I198)</f>
        <v>5.57142857142857</v>
      </c>
    </row>
    <row r="199" customFormat="false" ht="15" hidden="false" customHeight="false" outlineLevel="0" collapsed="false">
      <c r="A199" s="5" t="n">
        <f aca="false">DEMAND_MODEL!A199</f>
        <v>198</v>
      </c>
      <c r="B199" s="5" t="n">
        <f aca="false">DEMAND_MODEL!B199</f>
        <v>63343</v>
      </c>
      <c r="C199" s="5" t="str">
        <f aca="false">DEMAND_MODEL!C199</f>
        <v>CAKE DOME COMBO CLR 10"X5" 100</v>
      </c>
      <c r="D199" s="5" t="str">
        <f aca="false">DEMAND_MODEL!G199</f>
        <v>Medium</v>
      </c>
      <c r="E199" s="5" t="n">
        <f aca="false">DEMAND_MODEL!K199</f>
        <v>0.285714285714286</v>
      </c>
      <c r="F199" s="5" t="n">
        <f aca="false">DEMAND_MODEL!L199</f>
        <v>0.571428571428571</v>
      </c>
      <c r="G199" s="5" t="n">
        <f aca="false">IFERROR(VLOOKUP(D199,SETTINGS!A14:B16,2,FALSE()),14)</f>
        <v>14</v>
      </c>
      <c r="H199" s="5" t="n">
        <f aca="false">E199*(LeadTime+ReorderCycle+SafetyDays)</f>
        <v>3.71428571428571</v>
      </c>
      <c r="I199" s="5" t="n">
        <f aca="false">F199*(LeadTime+ReorderCycle+SafetyDays)</f>
        <v>7.42857142857143</v>
      </c>
      <c r="J199" s="5" t="n">
        <f aca="false">IF(D199="Slow",MIN(H199,SlowMoverCap),H199)</f>
        <v>3.71428571428571</v>
      </c>
      <c r="K199" s="5" t="n">
        <f aca="false">IF(D199="Slow",MIN(I199,SlowMoverCap),I199)</f>
        <v>7.42857142857143</v>
      </c>
    </row>
    <row r="200" customFormat="false" ht="15" hidden="false" customHeight="false" outlineLevel="0" collapsed="false">
      <c r="A200" s="5" t="n">
        <f aca="false">DEMAND_MODEL!A200</f>
        <v>199</v>
      </c>
      <c r="B200" s="5" t="n">
        <f aca="false">DEMAND_MODEL!B200</f>
        <v>35113</v>
      </c>
      <c r="C200" s="5" t="str">
        <f aca="false">DEMAND_MODEL!C200</f>
        <v>STICKS POPSICLE WOOD  1X1M</v>
      </c>
      <c r="D200" s="5" t="str">
        <f aca="false">DEMAND_MODEL!G200</f>
        <v>Medium</v>
      </c>
      <c r="E200" s="5" t="n">
        <f aca="false">DEMAND_MODEL!K200</f>
        <v>0.714285714285714</v>
      </c>
      <c r="F200" s="5" t="n">
        <f aca="false">DEMAND_MODEL!L200</f>
        <v>0.285714285714286</v>
      </c>
      <c r="G200" s="5" t="n">
        <f aca="false">IFERROR(VLOOKUP(D200,SETTINGS!A14:B16,2,FALSE()),14)</f>
        <v>14</v>
      </c>
      <c r="H200" s="5" t="n">
        <f aca="false">E200*(LeadTime+ReorderCycle+SafetyDays)</f>
        <v>9.28571428571429</v>
      </c>
      <c r="I200" s="5" t="n">
        <f aca="false">F200*(LeadTime+ReorderCycle+SafetyDays)</f>
        <v>3.71428571428571</v>
      </c>
      <c r="J200" s="5" t="n">
        <f aca="false">IF(D200="Slow",MIN(H200,SlowMoverCap),H200)</f>
        <v>9.28571428571429</v>
      </c>
      <c r="K200" s="5" t="n">
        <f aca="false">IF(D200="Slow",MIN(I200,SlowMoverCap),I200)</f>
        <v>3.71428571428571</v>
      </c>
    </row>
    <row r="201" customFormat="false" ht="15" hidden="false" customHeight="false" outlineLevel="0" collapsed="false">
      <c r="A201" s="5" t="n">
        <f aca="false">DEMAND_MODEL!A201</f>
        <v>200</v>
      </c>
      <c r="B201" s="5" t="n">
        <f aca="false">DEMAND_MODEL!B201</f>
        <v>26324</v>
      </c>
      <c r="C201" s="5" t="str">
        <f aca="false">DEMAND_MODEL!C201</f>
        <v>Cont Gauffre 6x6 500 units</v>
      </c>
      <c r="D201" s="5" t="str">
        <f aca="false">DEMAND_MODEL!G201</f>
        <v>Medium</v>
      </c>
      <c r="E201" s="5" t="n">
        <f aca="false">DEMAND_MODEL!K201</f>
        <v>0.428571428571429</v>
      </c>
      <c r="F201" s="5" t="n">
        <f aca="false">DEMAND_MODEL!L201</f>
        <v>0.571428571428571</v>
      </c>
      <c r="G201" s="5" t="n">
        <f aca="false">IFERROR(VLOOKUP(D201,SETTINGS!A14:B16,2,FALSE()),14)</f>
        <v>14</v>
      </c>
      <c r="H201" s="5" t="n">
        <f aca="false">E201*(LeadTime+ReorderCycle+SafetyDays)</f>
        <v>5.57142857142857</v>
      </c>
      <c r="I201" s="5" t="n">
        <f aca="false">F201*(LeadTime+ReorderCycle+SafetyDays)</f>
        <v>7.42857142857143</v>
      </c>
      <c r="J201" s="5" t="n">
        <f aca="false">IF(D201="Slow",MIN(H201,SlowMoverCap),H201)</f>
        <v>5.57142857142857</v>
      </c>
      <c r="K201" s="5" t="n">
        <f aca="false">IF(D201="Slow",MIN(I201,SlowMoverCap),I201)</f>
        <v>7.42857142857143</v>
      </c>
    </row>
    <row r="202" customFormat="false" ht="15" hidden="false" customHeight="false" outlineLevel="0" collapsed="false">
      <c r="A202" s="5" t="n">
        <f aca="false">DEMAND_MODEL!A202</f>
        <v>201</v>
      </c>
      <c r="B202" s="5" t="n">
        <f aca="false">DEMAND_MODEL!B202</f>
        <v>26325</v>
      </c>
      <c r="C202" s="5" t="str">
        <f aca="false">DEMAND_MODEL!C202</f>
        <v>Cont crepe 9"x6"x3"  250 units</v>
      </c>
      <c r="D202" s="5" t="str">
        <f aca="false">DEMAND_MODEL!G202</f>
        <v>Medium</v>
      </c>
      <c r="E202" s="5" t="n">
        <f aca="false">DEMAND_MODEL!K202</f>
        <v>0.571428571428571</v>
      </c>
      <c r="F202" s="5" t="n">
        <f aca="false">DEMAND_MODEL!L202</f>
        <v>0.428571428571429</v>
      </c>
      <c r="G202" s="5" t="n">
        <f aca="false">IFERROR(VLOOKUP(D202,SETTINGS!A14:B16,2,FALSE()),14)</f>
        <v>14</v>
      </c>
      <c r="H202" s="5" t="n">
        <f aca="false">E202*(LeadTime+ReorderCycle+SafetyDays)</f>
        <v>7.42857142857143</v>
      </c>
      <c r="I202" s="5" t="n">
        <f aca="false">F202*(LeadTime+ReorderCycle+SafetyDays)</f>
        <v>5.57142857142857</v>
      </c>
      <c r="J202" s="5" t="n">
        <f aca="false">IF(D202="Slow",MIN(H202,SlowMoverCap),H202)</f>
        <v>7.42857142857143</v>
      </c>
      <c r="K202" s="5" t="n">
        <f aca="false">IF(D202="Slow",MIN(I202,SlowMoverCap),I202)</f>
        <v>5.57142857142857</v>
      </c>
    </row>
    <row r="203" customFormat="false" ht="15" hidden="false" customHeight="false" outlineLevel="0" collapsed="false">
      <c r="A203" s="5" t="n">
        <f aca="false">DEMAND_MODEL!A203</f>
        <v>202</v>
      </c>
      <c r="B203" s="5" t="n">
        <f aca="false">DEMAND_MODEL!B203</f>
        <v>17159</v>
      </c>
      <c r="C203" s="5" t="str">
        <f aca="false">DEMAND_MODEL!C203</f>
        <v>Cont ChsCake slc tray 800un</v>
      </c>
      <c r="D203" s="5" t="str">
        <f aca="false">DEMAND_MODEL!G203</f>
        <v>Medium</v>
      </c>
      <c r="E203" s="5" t="n">
        <f aca="false">DEMAND_MODEL!K203</f>
        <v>0.714285714285714</v>
      </c>
      <c r="F203" s="5" t="n">
        <f aca="false">DEMAND_MODEL!L203</f>
        <v>0.285714285714286</v>
      </c>
      <c r="G203" s="5" t="n">
        <f aca="false">IFERROR(VLOOKUP(D203,SETTINGS!A14:B16,2,FALSE()),14)</f>
        <v>14</v>
      </c>
      <c r="H203" s="5" t="n">
        <f aca="false">E203*(LeadTime+ReorderCycle+SafetyDays)</f>
        <v>9.28571428571429</v>
      </c>
      <c r="I203" s="5" t="n">
        <f aca="false">F203*(LeadTime+ReorderCycle+SafetyDays)</f>
        <v>3.71428571428571</v>
      </c>
      <c r="J203" s="5" t="n">
        <f aca="false">IF(D203="Slow",MIN(H203,SlowMoverCap),H203)</f>
        <v>9.28571428571429</v>
      </c>
      <c r="K203" s="5" t="n">
        <f aca="false">IF(D203="Slow",MIN(I203,SlowMoverCap),I203)</f>
        <v>3.71428571428571</v>
      </c>
    </row>
    <row r="204" customFormat="false" ht="15" hidden="false" customHeight="false" outlineLevel="0" collapsed="false">
      <c r="A204" s="5" t="n">
        <f aca="false">DEMAND_MODEL!A204</f>
        <v>203</v>
      </c>
      <c r="B204" s="5" t="n">
        <f aca="false">DEMAND_MODEL!B204</f>
        <v>17160</v>
      </c>
      <c r="C204" s="5" t="str">
        <f aca="false">DEMAND_MODEL!C204</f>
        <v>Lid  ChsCake slc 800un</v>
      </c>
      <c r="D204" s="5" t="str">
        <f aca="false">DEMAND_MODEL!G204</f>
        <v>Medium</v>
      </c>
      <c r="E204" s="5" t="n">
        <f aca="false">DEMAND_MODEL!K204</f>
        <v>0.857142857142857</v>
      </c>
      <c r="F204" s="5" t="n">
        <f aca="false">DEMAND_MODEL!L204</f>
        <v>0.285714285714286</v>
      </c>
      <c r="G204" s="5" t="n">
        <f aca="false">IFERROR(VLOOKUP(D204,SETTINGS!A14:B16,2,FALSE()),14)</f>
        <v>14</v>
      </c>
      <c r="H204" s="5" t="n">
        <f aca="false">E204*(LeadTime+ReorderCycle+SafetyDays)</f>
        <v>11.1428571428571</v>
      </c>
      <c r="I204" s="5" t="n">
        <f aca="false">F204*(LeadTime+ReorderCycle+SafetyDays)</f>
        <v>3.71428571428571</v>
      </c>
      <c r="J204" s="5" t="n">
        <f aca="false">IF(D204="Slow",MIN(H204,SlowMoverCap),H204)</f>
        <v>11.1428571428571</v>
      </c>
      <c r="K204" s="5" t="n">
        <f aca="false">IF(D204="Slow",MIN(I204,SlowMoverCap),I204)</f>
        <v>3.71428571428571</v>
      </c>
    </row>
    <row r="205" customFormat="false" ht="15" hidden="false" customHeight="false" outlineLevel="0" collapsed="false">
      <c r="A205" s="5" t="n">
        <f aca="false">DEMAND_MODEL!A205</f>
        <v>204</v>
      </c>
      <c r="B205" s="5" t="n">
        <f aca="false">DEMAND_MODEL!B205</f>
        <v>59752</v>
      </c>
      <c r="C205" s="5" t="str">
        <f aca="false">DEMAND_MODEL!C205</f>
        <v>CONT CAKE SLICE PETE 6X6.3 X2.9 240</v>
      </c>
      <c r="D205" s="5" t="str">
        <f aca="false">DEMAND_MODEL!G205</f>
        <v>Medium</v>
      </c>
      <c r="E205" s="5" t="n">
        <f aca="false">DEMAND_MODEL!K205</f>
        <v>0.714285714285714</v>
      </c>
      <c r="F205" s="5" t="n">
        <f aca="false">DEMAND_MODEL!L205</f>
        <v>0.571428571428571</v>
      </c>
      <c r="G205" s="5" t="n">
        <f aca="false">IFERROR(VLOOKUP(D205,SETTINGS!A14:B16,2,FALSE()),14)</f>
        <v>14</v>
      </c>
      <c r="H205" s="5" t="n">
        <f aca="false">E205*(LeadTime+ReorderCycle+SafetyDays)</f>
        <v>9.28571428571429</v>
      </c>
      <c r="I205" s="5" t="n">
        <f aca="false">F205*(LeadTime+ReorderCycle+SafetyDays)</f>
        <v>7.42857142857143</v>
      </c>
      <c r="J205" s="5" t="n">
        <f aca="false">IF(D205="Slow",MIN(H205,SlowMoverCap),H205)</f>
        <v>9.28571428571429</v>
      </c>
      <c r="K205" s="5" t="n">
        <f aca="false">IF(D205="Slow",MIN(I205,SlowMoverCap),I205)</f>
        <v>7.42857142857143</v>
      </c>
    </row>
    <row r="206" customFormat="false" ht="15" hidden="false" customHeight="false" outlineLevel="0" collapsed="false">
      <c r="A206" s="5" t="n">
        <f aca="false">DEMAND_MODEL!A206</f>
        <v>205</v>
      </c>
      <c r="B206" s="5" t="n">
        <f aca="false">DEMAND_MODEL!B206</f>
        <v>41216</v>
      </c>
      <c r="C206" s="5" t="str">
        <f aca="false">DEMAND_MODEL!C206</f>
        <v>CONT PORT 2 OZ PLASTIC PP* 125UN</v>
      </c>
      <c r="D206" s="5" t="str">
        <f aca="false">DEMAND_MODEL!G206</f>
        <v>Medium</v>
      </c>
      <c r="E206" s="5" t="n">
        <f aca="false">DEMAND_MODEL!K206</f>
        <v>0.428571428571429</v>
      </c>
      <c r="F206" s="5" t="n">
        <f aca="false">DEMAND_MODEL!L206</f>
        <v>0.285714285714286</v>
      </c>
      <c r="G206" s="5" t="n">
        <f aca="false">IFERROR(VLOOKUP(D206,SETTINGS!A14:B16,2,FALSE()),14)</f>
        <v>14</v>
      </c>
      <c r="H206" s="5" t="n">
        <f aca="false">E206*(LeadTime+ReorderCycle+SafetyDays)</f>
        <v>5.57142857142857</v>
      </c>
      <c r="I206" s="5" t="n">
        <f aca="false">F206*(LeadTime+ReorderCycle+SafetyDays)</f>
        <v>3.71428571428571</v>
      </c>
      <c r="J206" s="5" t="n">
        <f aca="false">IF(D206="Slow",MIN(H206,SlowMoverCap),H206)</f>
        <v>5.57142857142857</v>
      </c>
      <c r="K206" s="5" t="n">
        <f aca="false">IF(D206="Slow",MIN(I206,SlowMoverCap),I206)</f>
        <v>3.71428571428571</v>
      </c>
    </row>
    <row r="207" customFormat="false" ht="15" hidden="false" customHeight="false" outlineLevel="0" collapsed="false">
      <c r="A207" s="5" t="n">
        <f aca="false">DEMAND_MODEL!A207</f>
        <v>206</v>
      </c>
      <c r="B207" s="5" t="n">
        <f aca="false">DEMAND_MODEL!B207</f>
        <v>41217</v>
      </c>
      <c r="C207" s="5" t="str">
        <f aca="false">DEMAND_MODEL!C207</f>
        <v>LID PORTION 2 OZ PL 125UN</v>
      </c>
      <c r="D207" s="5" t="str">
        <f aca="false">DEMAND_MODEL!G207</f>
        <v>Medium</v>
      </c>
      <c r="E207" s="5" t="n">
        <f aca="false">DEMAND_MODEL!K207</f>
        <v>0.428571428571429</v>
      </c>
      <c r="F207" s="5" t="n">
        <f aca="false">DEMAND_MODEL!L207</f>
        <v>0.571428571428571</v>
      </c>
      <c r="G207" s="5" t="n">
        <f aca="false">IFERROR(VLOOKUP(D207,SETTINGS!A14:B16,2,FALSE()),14)</f>
        <v>14</v>
      </c>
      <c r="H207" s="5" t="n">
        <f aca="false">E207*(LeadTime+ReorderCycle+SafetyDays)</f>
        <v>5.57142857142857</v>
      </c>
      <c r="I207" s="5" t="n">
        <f aca="false">F207*(LeadTime+ReorderCycle+SafetyDays)</f>
        <v>7.42857142857143</v>
      </c>
      <c r="J207" s="5" t="n">
        <f aca="false">IF(D207="Slow",MIN(H207,SlowMoverCap),H207)</f>
        <v>5.57142857142857</v>
      </c>
      <c r="K207" s="5" t="n">
        <f aca="false">IF(D207="Slow",MIN(I207,SlowMoverCap),I207)</f>
        <v>7.42857142857143</v>
      </c>
    </row>
    <row r="208" customFormat="false" ht="15" hidden="false" customHeight="false" outlineLevel="0" collapsed="false">
      <c r="A208" s="5" t="n">
        <f aca="false">DEMAND_MODEL!A208</f>
        <v>207</v>
      </c>
      <c r="B208" s="5" t="n">
        <f aca="false">DEMAND_MODEL!B208</f>
        <v>66908</v>
      </c>
      <c r="C208" s="5" t="str">
        <f aca="false">DEMAND_MODEL!C208</f>
        <v>CUTL KNIFE WOOD TI80691 1M</v>
      </c>
      <c r="D208" s="5" t="str">
        <f aca="false">DEMAND_MODEL!G208</f>
        <v>Medium</v>
      </c>
      <c r="E208" s="5" t="n">
        <f aca="false">DEMAND_MODEL!K208</f>
        <v>0.428571428571429</v>
      </c>
      <c r="F208" s="5" t="n">
        <f aca="false">DEMAND_MODEL!L208</f>
        <v>0.285714285714286</v>
      </c>
      <c r="G208" s="5" t="n">
        <f aca="false">IFERROR(VLOOKUP(D208,SETTINGS!A14:B16,2,FALSE()),14)</f>
        <v>14</v>
      </c>
      <c r="H208" s="5" t="n">
        <f aca="false">E208*(LeadTime+ReorderCycle+SafetyDays)</f>
        <v>5.57142857142857</v>
      </c>
      <c r="I208" s="5" t="n">
        <f aca="false">F208*(LeadTime+ReorderCycle+SafetyDays)</f>
        <v>3.71428571428571</v>
      </c>
      <c r="J208" s="5" t="n">
        <f aca="false">IF(D208="Slow",MIN(H208,SlowMoverCap),H208)</f>
        <v>5.57142857142857</v>
      </c>
      <c r="K208" s="5" t="n">
        <f aca="false">IF(D208="Slow",MIN(I208,SlowMoverCap),I208)</f>
        <v>3.71428571428571</v>
      </c>
    </row>
    <row r="209" customFormat="false" ht="15" hidden="false" customHeight="false" outlineLevel="0" collapsed="false">
      <c r="A209" s="5" t="n">
        <f aca="false">DEMAND_MODEL!A209</f>
        <v>208</v>
      </c>
      <c r="B209" s="5" t="n">
        <f aca="false">DEMAND_MODEL!B209</f>
        <v>44099</v>
      </c>
      <c r="C209" s="5" t="str">
        <f aca="false">DEMAND_MODEL!C209</f>
        <v>CUTLERY KNIVE POL WH MED PYL PP* 1M</v>
      </c>
      <c r="D209" s="5" t="str">
        <f aca="false">DEMAND_MODEL!G209</f>
        <v>Medium</v>
      </c>
      <c r="E209" s="5" t="n">
        <f aca="false">DEMAND_MODEL!K209</f>
        <v>0.428571428571429</v>
      </c>
      <c r="F209" s="5" t="n">
        <f aca="false">DEMAND_MODEL!L209</f>
        <v>0.142857142857143</v>
      </c>
      <c r="G209" s="5" t="n">
        <f aca="false">IFERROR(VLOOKUP(D209,SETTINGS!A14:B16,2,FALSE()),14)</f>
        <v>14</v>
      </c>
      <c r="H209" s="5" t="n">
        <f aca="false">E209*(LeadTime+ReorderCycle+SafetyDays)</f>
        <v>5.57142857142857</v>
      </c>
      <c r="I209" s="5" t="n">
        <f aca="false">F209*(LeadTime+ReorderCycle+SafetyDays)</f>
        <v>1.85714285714286</v>
      </c>
      <c r="J209" s="5" t="n">
        <f aca="false">IF(D209="Slow",MIN(H209,SlowMoverCap),H209)</f>
        <v>5.57142857142857</v>
      </c>
      <c r="K209" s="5" t="n">
        <f aca="false">IF(D209="Slow",MIN(I209,SlowMoverCap),I209)</f>
        <v>1.85714285714286</v>
      </c>
    </row>
    <row r="210" customFormat="false" ht="15" hidden="false" customHeight="false" outlineLevel="0" collapsed="false">
      <c r="A210" s="5" t="n">
        <f aca="false">DEMAND_MODEL!A210</f>
        <v>209</v>
      </c>
      <c r="B210" s="5" t="n">
        <f aca="false">DEMAND_MODEL!B210</f>
        <v>41623</v>
      </c>
      <c r="C210" s="5" t="str">
        <f aca="false">DEMAND_MODEL!C210</f>
        <v>CUTLERY SPOON POL TEA WH PYL PP* 1M</v>
      </c>
      <c r="D210" s="5" t="str">
        <f aca="false">DEMAND_MODEL!G210</f>
        <v>Medium</v>
      </c>
      <c r="E210" s="5" t="n">
        <f aca="false">DEMAND_MODEL!K210</f>
        <v>0.285714285714286</v>
      </c>
      <c r="F210" s="5" t="n">
        <f aca="false">DEMAND_MODEL!L210</f>
        <v>0.428571428571429</v>
      </c>
      <c r="G210" s="5" t="n">
        <f aca="false">IFERROR(VLOOKUP(D210,SETTINGS!A14:B16,2,FALSE()),14)</f>
        <v>14</v>
      </c>
      <c r="H210" s="5" t="n">
        <f aca="false">E210*(LeadTime+ReorderCycle+SafetyDays)</f>
        <v>3.71428571428571</v>
      </c>
      <c r="I210" s="5" t="n">
        <f aca="false">F210*(LeadTime+ReorderCycle+SafetyDays)</f>
        <v>5.57142857142857</v>
      </c>
      <c r="J210" s="5" t="n">
        <f aca="false">IF(D210="Slow",MIN(H210,SlowMoverCap),H210)</f>
        <v>3.71428571428571</v>
      </c>
      <c r="K210" s="5" t="n">
        <f aca="false">IF(D210="Slow",MIN(I210,SlowMoverCap),I210)</f>
        <v>5.57142857142857</v>
      </c>
    </row>
    <row r="211" customFormat="false" ht="15" hidden="false" customHeight="false" outlineLevel="0" collapsed="false">
      <c r="A211" s="5" t="n">
        <f aca="false">DEMAND_MODEL!A211</f>
        <v>210</v>
      </c>
      <c r="B211" s="5" t="n">
        <f aca="false">DEMAND_MODEL!B211</f>
        <v>66910</v>
      </c>
      <c r="C211" s="5" t="str">
        <f aca="false">DEMAND_MODEL!C211</f>
        <v>CUTL SPOON WOOD TI80692 1M</v>
      </c>
      <c r="D211" s="5" t="str">
        <f aca="false">DEMAND_MODEL!G211</f>
        <v>Medium</v>
      </c>
      <c r="E211" s="5" t="n">
        <f aca="false">DEMAND_MODEL!K211</f>
        <v>0.285714285714286</v>
      </c>
      <c r="F211" s="5" t="n">
        <f aca="false">DEMAND_MODEL!L211</f>
        <v>0.285714285714286</v>
      </c>
      <c r="G211" s="5" t="n">
        <f aca="false">IFERROR(VLOOKUP(D211,SETTINGS!A14:B16,2,FALSE()),14)</f>
        <v>14</v>
      </c>
      <c r="H211" s="5" t="n">
        <f aca="false">E211*(LeadTime+ReorderCycle+SafetyDays)</f>
        <v>3.71428571428571</v>
      </c>
      <c r="I211" s="5" t="n">
        <f aca="false">F211*(LeadTime+ReorderCycle+SafetyDays)</f>
        <v>3.71428571428571</v>
      </c>
      <c r="J211" s="5" t="n">
        <f aca="false">IF(D211="Slow",MIN(H211,SlowMoverCap),H211)</f>
        <v>3.71428571428571</v>
      </c>
      <c r="K211" s="5" t="n">
        <f aca="false">IF(D211="Slow",MIN(I211,SlowMoverCap),I211)</f>
        <v>3.71428571428571</v>
      </c>
    </row>
    <row r="212" customFormat="false" ht="15" hidden="false" customHeight="false" outlineLevel="0" collapsed="false">
      <c r="A212" s="5" t="n">
        <f aca="false">DEMAND_MODEL!A212</f>
        <v>211</v>
      </c>
      <c r="B212" s="5" t="n">
        <f aca="false">DEMAND_MODEL!B212</f>
        <v>43703</v>
      </c>
      <c r="C212" s="5" t="str">
        <f aca="false">DEMAND_MODEL!C212</f>
        <v>CUTLERY FORK POL WH MED PYL PP* 1M</v>
      </c>
      <c r="D212" s="5" t="str">
        <f aca="false">DEMAND_MODEL!G212</f>
        <v>Medium</v>
      </c>
      <c r="E212" s="5" t="n">
        <f aca="false">DEMAND_MODEL!K212</f>
        <v>0.714285714285714</v>
      </c>
      <c r="F212" s="5" t="n">
        <f aca="false">DEMAND_MODEL!L212</f>
        <v>0.285714285714286</v>
      </c>
      <c r="G212" s="5" t="n">
        <f aca="false">IFERROR(VLOOKUP(D212,SETTINGS!A14:B16,2,FALSE()),14)</f>
        <v>14</v>
      </c>
      <c r="H212" s="5" t="n">
        <f aca="false">E212*(LeadTime+ReorderCycle+SafetyDays)</f>
        <v>9.28571428571429</v>
      </c>
      <c r="I212" s="5" t="n">
        <f aca="false">F212*(LeadTime+ReorderCycle+SafetyDays)</f>
        <v>3.71428571428571</v>
      </c>
      <c r="J212" s="5" t="n">
        <f aca="false">IF(D212="Slow",MIN(H212,SlowMoverCap),H212)</f>
        <v>9.28571428571429</v>
      </c>
      <c r="K212" s="5" t="n">
        <f aca="false">IF(D212="Slow",MIN(I212,SlowMoverCap),I212)</f>
        <v>3.71428571428571</v>
      </c>
    </row>
    <row r="213" customFormat="false" ht="15" hidden="false" customHeight="false" outlineLevel="0" collapsed="false">
      <c r="A213" s="5" t="n">
        <f aca="false">DEMAND_MODEL!A213</f>
        <v>212</v>
      </c>
      <c r="B213" s="5" t="n">
        <f aca="false">DEMAND_MODEL!B213</f>
        <v>66909</v>
      </c>
      <c r="C213" s="5" t="str">
        <f aca="false">DEMAND_MODEL!C213</f>
        <v>CUTL FORK WOOD TI80690 1M</v>
      </c>
      <c r="D213" s="5" t="str">
        <f aca="false">DEMAND_MODEL!G213</f>
        <v>Medium</v>
      </c>
      <c r="E213" s="5" t="n">
        <f aca="false">DEMAND_MODEL!K213</f>
        <v>0.285714285714286</v>
      </c>
      <c r="F213" s="5" t="n">
        <f aca="false">DEMAND_MODEL!L213</f>
        <v>0.571428571428571</v>
      </c>
      <c r="G213" s="5" t="n">
        <f aca="false">IFERROR(VLOOKUP(D213,SETTINGS!A14:B16,2,FALSE()),14)</f>
        <v>14</v>
      </c>
      <c r="H213" s="5" t="n">
        <f aca="false">E213*(LeadTime+ReorderCycle+SafetyDays)</f>
        <v>3.71428571428571</v>
      </c>
      <c r="I213" s="5" t="n">
        <f aca="false">F213*(LeadTime+ReorderCycle+SafetyDays)</f>
        <v>7.42857142857143</v>
      </c>
      <c r="J213" s="5" t="n">
        <f aca="false">IF(D213="Slow",MIN(H213,SlowMoverCap),H213)</f>
        <v>3.71428571428571</v>
      </c>
      <c r="K213" s="5" t="n">
        <f aca="false">IF(D213="Slow",MIN(I213,SlowMoverCap),I213)</f>
        <v>7.42857142857143</v>
      </c>
    </row>
    <row r="214" customFormat="false" ht="15" hidden="false" customHeight="false" outlineLevel="0" collapsed="false">
      <c r="A214" s="5" t="n">
        <f aca="false">DEMAND_MODEL!A214</f>
        <v>213</v>
      </c>
      <c r="B214" s="5" t="n">
        <f aca="false">DEMAND_MODEL!B214</f>
        <v>12562</v>
      </c>
      <c r="C214" s="5" t="str">
        <f aca="false">DEMAND_MODEL!C214</f>
        <v>SPOON WOOD TASTER WRP 1M</v>
      </c>
      <c r="D214" s="5" t="str">
        <f aca="false">DEMAND_MODEL!G214</f>
        <v>Medium</v>
      </c>
      <c r="E214" s="5" t="n">
        <f aca="false">DEMAND_MODEL!K214</f>
        <v>0.428571428571429</v>
      </c>
      <c r="F214" s="5" t="n">
        <f aca="false">DEMAND_MODEL!L214</f>
        <v>0.142857142857143</v>
      </c>
      <c r="G214" s="5" t="n">
        <f aca="false">IFERROR(VLOOKUP(D214,SETTINGS!A14:B16,2,FALSE()),14)</f>
        <v>14</v>
      </c>
      <c r="H214" s="5" t="n">
        <f aca="false">E214*(LeadTime+ReorderCycle+SafetyDays)</f>
        <v>5.57142857142857</v>
      </c>
      <c r="I214" s="5" t="n">
        <f aca="false">F214*(LeadTime+ReorderCycle+SafetyDays)</f>
        <v>1.85714285714286</v>
      </c>
      <c r="J214" s="5" t="n">
        <f aca="false">IF(D214="Slow",MIN(H214,SlowMoverCap),H214)</f>
        <v>5.57142857142857</v>
      </c>
      <c r="K214" s="5" t="n">
        <f aca="false">IF(D214="Slow",MIN(I214,SlowMoverCap),I214)</f>
        <v>1.85714285714286</v>
      </c>
    </row>
    <row r="215" customFormat="false" ht="15" hidden="false" customHeight="false" outlineLevel="0" collapsed="false">
      <c r="A215" s="5" t="n">
        <f aca="false">DEMAND_MODEL!A215</f>
        <v>214</v>
      </c>
      <c r="B215" s="5" t="n">
        <f aca="false">DEMAND_MODEL!B215</f>
        <v>66915</v>
      </c>
      <c r="C215" s="5" t="str">
        <f aca="false">DEMAND_MODEL!C215</f>
        <v>MTY CUTLERY SPOON SODA 7.2" WOOD 1M</v>
      </c>
      <c r="D215" s="5" t="str">
        <f aca="false">DEMAND_MODEL!G215</f>
        <v>Medium</v>
      </c>
      <c r="E215" s="5" t="n">
        <f aca="false">DEMAND_MODEL!K215</f>
        <v>0.285714285714286</v>
      </c>
      <c r="F215" s="5" t="n">
        <f aca="false">DEMAND_MODEL!L215</f>
        <v>0.571428571428571</v>
      </c>
      <c r="G215" s="5" t="n">
        <f aca="false">IFERROR(VLOOKUP(D215,SETTINGS!A14:B16,2,FALSE()),14)</f>
        <v>14</v>
      </c>
      <c r="H215" s="5" t="n">
        <f aca="false">E215*(LeadTime+ReorderCycle+SafetyDays)</f>
        <v>3.71428571428571</v>
      </c>
      <c r="I215" s="5" t="n">
        <f aca="false">F215*(LeadTime+ReorderCycle+SafetyDays)</f>
        <v>7.42857142857143</v>
      </c>
      <c r="J215" s="5" t="n">
        <f aca="false">IF(D215="Slow",MIN(H215,SlowMoverCap),H215)</f>
        <v>3.71428571428571</v>
      </c>
      <c r="K215" s="5" t="n">
        <f aca="false">IF(D215="Slow",MIN(I215,SlowMoverCap),I215)</f>
        <v>7.42857142857143</v>
      </c>
    </row>
    <row r="216" customFormat="false" ht="15" hidden="false" customHeight="false" outlineLevel="0" collapsed="false">
      <c r="A216" s="5" t="n">
        <f aca="false">DEMAND_MODEL!A216</f>
        <v>215</v>
      </c>
      <c r="B216" s="5" t="n">
        <f aca="false">DEMAND_MODEL!B216</f>
        <v>33725</v>
      </c>
      <c r="C216" s="5" t="str">
        <f aca="false">DEMAND_MODEL!C216</f>
        <v>TRAY 4CUP CARRIER 8-32OZ  300</v>
      </c>
      <c r="D216" s="5" t="str">
        <f aca="false">DEMAND_MODEL!G216</f>
        <v>Medium</v>
      </c>
      <c r="E216" s="5" t="n">
        <f aca="false">DEMAND_MODEL!K216</f>
        <v>0.428571428571429</v>
      </c>
      <c r="F216" s="5" t="n">
        <f aca="false">DEMAND_MODEL!L216</f>
        <v>0.142857142857143</v>
      </c>
      <c r="G216" s="5" t="n">
        <f aca="false">IFERROR(VLOOKUP(D216,SETTINGS!A14:B16,2,FALSE()),14)</f>
        <v>14</v>
      </c>
      <c r="H216" s="5" t="n">
        <f aca="false">E216*(LeadTime+ReorderCycle+SafetyDays)</f>
        <v>5.57142857142857</v>
      </c>
      <c r="I216" s="5" t="n">
        <f aca="false">F216*(LeadTime+ReorderCycle+SafetyDays)</f>
        <v>1.85714285714286</v>
      </c>
      <c r="J216" s="5" t="n">
        <f aca="false">IF(D216="Slow",MIN(H216,SlowMoverCap),H216)</f>
        <v>5.57142857142857</v>
      </c>
      <c r="K216" s="5" t="n">
        <f aca="false">IF(D216="Slow",MIN(I216,SlowMoverCap),I216)</f>
        <v>1.85714285714286</v>
      </c>
    </row>
    <row r="217" customFormat="false" ht="15" hidden="false" customHeight="false" outlineLevel="0" collapsed="false">
      <c r="A217" s="5" t="n">
        <f aca="false">DEMAND_MODEL!A217</f>
        <v>216</v>
      </c>
      <c r="B217" s="5" t="n">
        <f aca="false">DEMAND_MODEL!B217</f>
        <v>47498</v>
      </c>
      <c r="C217" s="5" t="str">
        <f aca="false">DEMAND_MODEL!C217</f>
        <v>ROLL CASH THERMAL 3 1/8 X 210'   50</v>
      </c>
      <c r="D217" s="5" t="str">
        <f aca="false">DEMAND_MODEL!G217</f>
        <v>Medium</v>
      </c>
      <c r="E217" s="5" t="n">
        <f aca="false">DEMAND_MODEL!K217</f>
        <v>0.571428571428571</v>
      </c>
      <c r="F217" s="5" t="n">
        <f aca="false">DEMAND_MODEL!L217</f>
        <v>0.285714285714286</v>
      </c>
      <c r="G217" s="5" t="n">
        <f aca="false">IFERROR(VLOOKUP(D217,SETTINGS!A14:B16,2,FALSE()),14)</f>
        <v>14</v>
      </c>
      <c r="H217" s="5" t="n">
        <f aca="false">E217*(LeadTime+ReorderCycle+SafetyDays)</f>
        <v>7.42857142857143</v>
      </c>
      <c r="I217" s="5" t="n">
        <f aca="false">F217*(LeadTime+ReorderCycle+SafetyDays)</f>
        <v>3.71428571428571</v>
      </c>
      <c r="J217" s="5" t="n">
        <f aca="false">IF(D217="Slow",MIN(H217,SlowMoverCap),H217)</f>
        <v>7.42857142857143</v>
      </c>
      <c r="K217" s="5" t="n">
        <f aca="false">IF(D217="Slow",MIN(I217,SlowMoverCap),I217)</f>
        <v>3.71428571428571</v>
      </c>
    </row>
    <row r="218" customFormat="false" ht="15" hidden="false" customHeight="false" outlineLevel="0" collapsed="false">
      <c r="A218" s="5" t="n">
        <f aca="false">DEMAND_MODEL!A218</f>
        <v>217</v>
      </c>
      <c r="B218" s="5" t="n">
        <f aca="false">DEMAND_MODEL!B218</f>
        <v>12609</v>
      </c>
      <c r="C218" s="5" t="str">
        <f aca="false">DEMAND_MODEL!C218</f>
        <v>BAGS GROCERY BROWN  8LB 500</v>
      </c>
      <c r="D218" s="5" t="str">
        <f aca="false">DEMAND_MODEL!G218</f>
        <v>Medium</v>
      </c>
      <c r="E218" s="5" t="n">
        <f aca="false">DEMAND_MODEL!K218</f>
        <v>0.857142857142857</v>
      </c>
      <c r="F218" s="5" t="n">
        <f aca="false">DEMAND_MODEL!L218</f>
        <v>0.428571428571429</v>
      </c>
      <c r="G218" s="5" t="n">
        <f aca="false">IFERROR(VLOOKUP(D218,SETTINGS!A14:B16,2,FALSE()),14)</f>
        <v>14</v>
      </c>
      <c r="H218" s="5" t="n">
        <f aca="false">E218*(LeadTime+ReorderCycle+SafetyDays)</f>
        <v>11.1428571428571</v>
      </c>
      <c r="I218" s="5" t="n">
        <f aca="false">F218*(LeadTime+ReorderCycle+SafetyDays)</f>
        <v>5.57142857142857</v>
      </c>
      <c r="J218" s="5" t="n">
        <f aca="false">IF(D218="Slow",MIN(H218,SlowMoverCap),H218)</f>
        <v>11.1428571428571</v>
      </c>
      <c r="K218" s="5" t="n">
        <f aca="false">IF(D218="Slow",MIN(I218,SlowMoverCap),I218)</f>
        <v>5.57142857142857</v>
      </c>
    </row>
    <row r="219" customFormat="false" ht="15" hidden="false" customHeight="false" outlineLevel="0" collapsed="false">
      <c r="A219" s="5" t="n">
        <f aca="false">DEMAND_MODEL!A219</f>
        <v>218</v>
      </c>
      <c r="B219" s="5" t="n">
        <f aca="false">DEMAND_MODEL!B219</f>
        <v>12617</v>
      </c>
      <c r="C219" s="5" t="str">
        <f aca="false">DEMAND_MODEL!C219</f>
        <v>BAGS GROCERY BROWN 10LB 500</v>
      </c>
      <c r="D219" s="5" t="str">
        <f aca="false">DEMAND_MODEL!G219</f>
        <v>Medium</v>
      </c>
      <c r="E219" s="5" t="n">
        <f aca="false">DEMAND_MODEL!K219</f>
        <v>0.428571428571429</v>
      </c>
      <c r="F219" s="5" t="n">
        <f aca="false">DEMAND_MODEL!L219</f>
        <v>0.142857142857143</v>
      </c>
      <c r="G219" s="5" t="n">
        <f aca="false">IFERROR(VLOOKUP(D219,SETTINGS!A14:B16,2,FALSE()),14)</f>
        <v>14</v>
      </c>
      <c r="H219" s="5" t="n">
        <f aca="false">E219*(LeadTime+ReorderCycle+SafetyDays)</f>
        <v>5.57142857142857</v>
      </c>
      <c r="I219" s="5" t="n">
        <f aca="false">F219*(LeadTime+ReorderCycle+SafetyDays)</f>
        <v>1.85714285714286</v>
      </c>
      <c r="J219" s="5" t="n">
        <f aca="false">IF(D219="Slow",MIN(H219,SlowMoverCap),H219)</f>
        <v>5.57142857142857</v>
      </c>
      <c r="K219" s="5" t="n">
        <f aca="false">IF(D219="Slow",MIN(I219,SlowMoverCap),I219)</f>
        <v>1.85714285714286</v>
      </c>
    </row>
    <row r="220" customFormat="false" ht="15" hidden="false" customHeight="false" outlineLevel="0" collapsed="false">
      <c r="A220" s="5" t="n">
        <f aca="false">DEMAND_MODEL!A220</f>
        <v>219</v>
      </c>
      <c r="B220" s="5" t="n">
        <f aca="false">DEMAND_MODEL!B220</f>
        <v>12633</v>
      </c>
      <c r="C220" s="5" t="str">
        <f aca="false">DEMAND_MODEL!C220</f>
        <v>BAGS GROCERY BROWN 14LB 500</v>
      </c>
      <c r="D220" s="5" t="str">
        <f aca="false">DEMAND_MODEL!G220</f>
        <v>Medium</v>
      </c>
      <c r="E220" s="5" t="n">
        <f aca="false">DEMAND_MODEL!K220</f>
        <v>0.571428571428571</v>
      </c>
      <c r="F220" s="5" t="n">
        <f aca="false">DEMAND_MODEL!L220</f>
        <v>0.428571428571429</v>
      </c>
      <c r="G220" s="5" t="n">
        <f aca="false">IFERROR(VLOOKUP(D220,SETTINGS!A14:B16,2,FALSE()),14)</f>
        <v>14</v>
      </c>
      <c r="H220" s="5" t="n">
        <f aca="false">E220*(LeadTime+ReorderCycle+SafetyDays)</f>
        <v>7.42857142857143</v>
      </c>
      <c r="I220" s="5" t="n">
        <f aca="false">F220*(LeadTime+ReorderCycle+SafetyDays)</f>
        <v>5.57142857142857</v>
      </c>
      <c r="J220" s="5" t="n">
        <f aca="false">IF(D220="Slow",MIN(H220,SlowMoverCap),H220)</f>
        <v>7.42857142857143</v>
      </c>
      <c r="K220" s="5" t="n">
        <f aca="false">IF(D220="Slow",MIN(I220,SlowMoverCap),I220)</f>
        <v>5.57142857142857</v>
      </c>
    </row>
    <row r="221" customFormat="false" ht="15" hidden="false" customHeight="false" outlineLevel="0" collapsed="false">
      <c r="A221" s="5" t="n">
        <f aca="false">DEMAND_MODEL!A221</f>
        <v>220</v>
      </c>
      <c r="B221" s="5" t="n">
        <f aca="false">DEMAND_MODEL!B221</f>
        <v>12585</v>
      </c>
      <c r="C221" s="5" t="str">
        <f aca="false">DEMAND_MODEL!C221</f>
        <v>BAGS GROCERY  30LB  DD50  500UN</v>
      </c>
      <c r="D221" s="5" t="str">
        <f aca="false">DEMAND_MODEL!G221</f>
        <v>Medium</v>
      </c>
      <c r="E221" s="5" t="n">
        <f aca="false">DEMAND_MODEL!K221</f>
        <v>0.428571428571429</v>
      </c>
      <c r="F221" s="5" t="n">
        <f aca="false">DEMAND_MODEL!L221</f>
        <v>0.285714285714286</v>
      </c>
      <c r="G221" s="5" t="n">
        <f aca="false">IFERROR(VLOOKUP(D221,SETTINGS!A14:B16,2,FALSE()),14)</f>
        <v>14</v>
      </c>
      <c r="H221" s="5" t="n">
        <f aca="false">E221*(LeadTime+ReorderCycle+SafetyDays)</f>
        <v>5.57142857142857</v>
      </c>
      <c r="I221" s="5" t="n">
        <f aca="false">F221*(LeadTime+ReorderCycle+SafetyDays)</f>
        <v>3.71428571428571</v>
      </c>
      <c r="J221" s="5" t="n">
        <f aca="false">IF(D221="Slow",MIN(H221,SlowMoverCap),H221)</f>
        <v>5.57142857142857</v>
      </c>
      <c r="K221" s="5" t="n">
        <f aca="false">IF(D221="Slow",MIN(I221,SlowMoverCap),I221)</f>
        <v>3.71428571428571</v>
      </c>
    </row>
    <row r="222" customFormat="false" ht="15" hidden="false" customHeight="false" outlineLevel="0" collapsed="false">
      <c r="A222" s="5" t="n">
        <f aca="false">DEMAND_MODEL!A222</f>
        <v>221</v>
      </c>
      <c r="B222" s="5" t="n">
        <f aca="false">DEMAND_MODEL!B222</f>
        <v>22573</v>
      </c>
      <c r="C222" s="5" t="str">
        <f aca="false">DEMAND_MODEL!C222</f>
        <v>BAG KFT W/HANDLE 14X10X16  200</v>
      </c>
      <c r="D222" s="5" t="str">
        <f aca="false">DEMAND_MODEL!G222</f>
        <v>Medium</v>
      </c>
      <c r="E222" s="5" t="n">
        <f aca="false">DEMAND_MODEL!K222</f>
        <v>0.428571428571429</v>
      </c>
      <c r="F222" s="5" t="n">
        <f aca="false">DEMAND_MODEL!L222</f>
        <v>0.428571428571429</v>
      </c>
      <c r="G222" s="5" t="n">
        <f aca="false">IFERROR(VLOOKUP(D222,SETTINGS!A14:B16,2,FALSE()),14)</f>
        <v>14</v>
      </c>
      <c r="H222" s="5" t="n">
        <f aca="false">E222*(LeadTime+ReorderCycle+SafetyDays)</f>
        <v>5.57142857142857</v>
      </c>
      <c r="I222" s="5" t="n">
        <f aca="false">F222*(LeadTime+ReorderCycle+SafetyDays)</f>
        <v>5.57142857142857</v>
      </c>
      <c r="J222" s="5" t="n">
        <f aca="false">IF(D222="Slow",MIN(H222,SlowMoverCap),H222)</f>
        <v>5.57142857142857</v>
      </c>
      <c r="K222" s="5" t="n">
        <f aca="false">IF(D222="Slow",MIN(I222,SlowMoverCap),I222)</f>
        <v>5.57142857142857</v>
      </c>
    </row>
    <row r="223" customFormat="false" ht="15" hidden="false" customHeight="false" outlineLevel="0" collapsed="false">
      <c r="A223" s="5" t="n">
        <f aca="false">DEMAND_MODEL!A223</f>
        <v>222</v>
      </c>
      <c r="B223" s="5" t="n">
        <f aca="false">DEMAND_MODEL!B223</f>
        <v>28466</v>
      </c>
      <c r="C223" s="5" t="str">
        <f aca="false">DEMAND_MODEL!C223</f>
        <v>NAPKIN COCTAIL 4M</v>
      </c>
      <c r="D223" s="5" t="str">
        <f aca="false">DEMAND_MODEL!G223</f>
        <v>Medium</v>
      </c>
      <c r="E223" s="5" t="n">
        <f aca="false">DEMAND_MODEL!K223</f>
        <v>0.571428571428571</v>
      </c>
      <c r="F223" s="5" t="n">
        <f aca="false">DEMAND_MODEL!L223</f>
        <v>0.285714285714286</v>
      </c>
      <c r="G223" s="5" t="n">
        <f aca="false">IFERROR(VLOOKUP(D223,SETTINGS!A14:B16,2,FALSE()),14)</f>
        <v>14</v>
      </c>
      <c r="H223" s="5" t="n">
        <f aca="false">E223*(LeadTime+ReorderCycle+SafetyDays)</f>
        <v>7.42857142857143</v>
      </c>
      <c r="I223" s="5" t="n">
        <f aca="false">F223*(LeadTime+ReorderCycle+SafetyDays)</f>
        <v>3.71428571428571</v>
      </c>
      <c r="J223" s="5" t="n">
        <f aca="false">IF(D223="Slow",MIN(H223,SlowMoverCap),H223)</f>
        <v>7.42857142857143</v>
      </c>
      <c r="K223" s="5" t="n">
        <f aca="false">IF(D223="Slow",MIN(I223,SlowMoverCap),I223)</f>
        <v>3.71428571428571</v>
      </c>
    </row>
    <row r="224" customFormat="false" ht="15" hidden="false" customHeight="false" outlineLevel="0" collapsed="false">
      <c r="A224" s="5" t="n">
        <f aca="false">DEMAND_MODEL!A224</f>
        <v>223</v>
      </c>
      <c r="B224" s="5" t="n">
        <f aca="false">DEMAND_MODEL!B224</f>
        <v>31649</v>
      </c>
      <c r="C224" s="5" t="str">
        <f aca="false">DEMAND_MODEL!C224</f>
        <v>NAPKIN MEALMATES 1PL KRAFT 12X300</v>
      </c>
      <c r="D224" s="5" t="str">
        <f aca="false">DEMAND_MODEL!G224</f>
        <v>Medium</v>
      </c>
      <c r="E224" s="5" t="n">
        <f aca="false">DEMAND_MODEL!K224</f>
        <v>0.714285714285714</v>
      </c>
      <c r="F224" s="5" t="n">
        <f aca="false">DEMAND_MODEL!L224</f>
        <v>0.285714285714286</v>
      </c>
      <c r="G224" s="5" t="n">
        <f aca="false">IFERROR(VLOOKUP(D224,SETTINGS!A14:B16,2,FALSE()),14)</f>
        <v>14</v>
      </c>
      <c r="H224" s="5" t="n">
        <f aca="false">E224*(LeadTime+ReorderCycle+SafetyDays)</f>
        <v>9.28571428571429</v>
      </c>
      <c r="I224" s="5" t="n">
        <f aca="false">F224*(LeadTime+ReorderCycle+SafetyDays)</f>
        <v>3.71428571428571</v>
      </c>
      <c r="J224" s="5" t="n">
        <f aca="false">IF(D224="Slow",MIN(H224,SlowMoverCap),H224)</f>
        <v>9.28571428571429</v>
      </c>
      <c r="K224" s="5" t="n">
        <f aca="false">IF(D224="Slow",MIN(I224,SlowMoverCap),I224)</f>
        <v>3.71428571428571</v>
      </c>
    </row>
    <row r="225" customFormat="false" ht="15" hidden="false" customHeight="false" outlineLevel="0" collapsed="false">
      <c r="A225" s="5" t="n">
        <f aca="false">DEMAND_MODEL!A225</f>
        <v>224</v>
      </c>
      <c r="B225" s="5" t="n">
        <f aca="false">DEMAND_MODEL!B225</f>
        <v>66712</v>
      </c>
      <c r="C225" s="5" t="str">
        <f aca="false">DEMAND_MODEL!C225</f>
        <v>SANITIZER STERA SHEEN 010425 1UN</v>
      </c>
      <c r="D225" s="5" t="str">
        <f aca="false">DEMAND_MODEL!G225</f>
        <v>Slow</v>
      </c>
      <c r="E225" s="5" t="n">
        <f aca="false">DEMAND_MODEL!K225</f>
        <v>0.428571428571429</v>
      </c>
      <c r="F225" s="5" t="n">
        <f aca="false">DEMAND_MODEL!L225</f>
        <v>0.142857142857143</v>
      </c>
      <c r="G225" s="5" t="n">
        <f aca="false">IFERROR(VLOOKUP(D225,SETTINGS!A14:B16,2,FALSE()),14)</f>
        <v>10</v>
      </c>
      <c r="H225" s="5" t="n">
        <f aca="false">E225*(LeadTime+ReorderCycle+SafetyDays)</f>
        <v>5.57142857142857</v>
      </c>
      <c r="I225" s="5" t="n">
        <f aca="false">F225*(LeadTime+ReorderCycle+SafetyDays)</f>
        <v>1.85714285714286</v>
      </c>
      <c r="J225" s="5" t="n">
        <f aca="false">IF(D225="Slow",MIN(H225,SlowMoverCap),H225)</f>
        <v>5.57142857142857</v>
      </c>
      <c r="K225" s="5" t="n">
        <f aca="false">IF(D225="Slow",MIN(I225,SlowMoverCap),I225)</f>
        <v>1.85714285714286</v>
      </c>
    </row>
    <row r="226" customFormat="false" ht="15" hidden="false" customHeight="false" outlineLevel="0" collapsed="false">
      <c r="A226" s="5" t="n">
        <f aca="false">DEMAND_MODEL!A226</f>
        <v>225</v>
      </c>
      <c r="B226" s="5" t="n">
        <f aca="false">DEMAND_MODEL!B226</f>
        <v>66713</v>
      </c>
      <c r="C226" s="5" t="str">
        <f aca="false">DEMAND_MODEL!C226</f>
        <v>LUBRICANT 047518 X1UN</v>
      </c>
      <c r="D226" s="5" t="str">
        <f aca="false">DEMAND_MODEL!G226</f>
        <v>Slow</v>
      </c>
      <c r="E226" s="5" t="n">
        <f aca="false">DEMAND_MODEL!K226</f>
        <v>0.142857142857143</v>
      </c>
      <c r="F226" s="5" t="n">
        <f aca="false">DEMAND_MODEL!L226</f>
        <v>0.428571428571429</v>
      </c>
      <c r="G226" s="5" t="n">
        <f aca="false">IFERROR(VLOOKUP(D226,SETTINGS!A14:B16,2,FALSE()),14)</f>
        <v>10</v>
      </c>
      <c r="H226" s="5" t="n">
        <f aca="false">E226*(LeadTime+ReorderCycle+SafetyDays)</f>
        <v>1.85714285714286</v>
      </c>
      <c r="I226" s="5" t="n">
        <f aca="false">F226*(LeadTime+ReorderCycle+SafetyDays)</f>
        <v>5.57142857142857</v>
      </c>
      <c r="J226" s="5" t="n">
        <f aca="false">IF(D226="Slow",MIN(H226,SlowMoverCap),H226)</f>
        <v>1.85714285714286</v>
      </c>
      <c r="K226" s="5" t="n">
        <f aca="false">IF(D226="Slow",MIN(I226,SlowMoverCap),I226)</f>
        <v>5.57142857142857</v>
      </c>
    </row>
    <row r="227" customFormat="false" ht="15" hidden="false" customHeight="false" outlineLevel="0" collapsed="false">
      <c r="A227" s="5" t="n">
        <f aca="false">DEMAND_MODEL!A227</f>
        <v>226</v>
      </c>
      <c r="B227" s="5" t="n">
        <f aca="false">DEMAND_MODEL!B227</f>
        <v>49215</v>
      </c>
      <c r="C227" s="5" t="str">
        <f aca="false">DEMAND_MODEL!C227</f>
        <v>TOWEL ROLL 8"X205' WHITE  24RL</v>
      </c>
      <c r="D227" s="5" t="str">
        <f aca="false">DEMAND_MODEL!G227</f>
        <v>Slow</v>
      </c>
      <c r="E227" s="5" t="n">
        <f aca="false">DEMAND_MODEL!K227</f>
        <v>0.428571428571429</v>
      </c>
      <c r="F227" s="5" t="n">
        <f aca="false">DEMAND_MODEL!L227</f>
        <v>0.142857142857143</v>
      </c>
      <c r="G227" s="5" t="n">
        <f aca="false">IFERROR(VLOOKUP(D227,SETTINGS!A14:B16,2,FALSE()),14)</f>
        <v>10</v>
      </c>
      <c r="H227" s="5" t="n">
        <f aca="false">E227*(LeadTime+ReorderCycle+SafetyDays)</f>
        <v>5.57142857142857</v>
      </c>
      <c r="I227" s="5" t="n">
        <f aca="false">F227*(LeadTime+ReorderCycle+SafetyDays)</f>
        <v>1.85714285714286</v>
      </c>
      <c r="J227" s="5" t="n">
        <f aca="false">IF(D227="Slow",MIN(H227,SlowMoverCap),H227)</f>
        <v>5.57142857142857</v>
      </c>
      <c r="K227" s="5" t="n">
        <f aca="false">IF(D227="Slow",MIN(I227,SlowMoverCap),I227)</f>
        <v>1.85714285714286</v>
      </c>
    </row>
    <row r="228" customFormat="false" ht="15" hidden="false" customHeight="false" outlineLevel="0" collapsed="false">
      <c r="A228" s="5" t="n">
        <f aca="false">DEMAND_MODEL!A228</f>
        <v>227</v>
      </c>
      <c r="B228" s="5" t="n">
        <f aca="false">DEMAND_MODEL!B228</f>
        <v>62330</v>
      </c>
      <c r="C228" s="5" t="str">
        <f aca="false">DEMAND_MODEL!C228</f>
        <v>TOWEL ROLL WHITE 2 PLY 24X1RL</v>
      </c>
      <c r="D228" s="5" t="str">
        <f aca="false">DEMAND_MODEL!G228</f>
        <v>Slow</v>
      </c>
      <c r="E228" s="5" t="n">
        <f aca="false">DEMAND_MODEL!K228</f>
        <v>0.142857142857143</v>
      </c>
      <c r="F228" s="5" t="n">
        <f aca="false">DEMAND_MODEL!L228</f>
        <v>0.142857142857143</v>
      </c>
      <c r="G228" s="5" t="n">
        <f aca="false">IFERROR(VLOOKUP(D228,SETTINGS!A14:B16,2,FALSE()),14)</f>
        <v>10</v>
      </c>
      <c r="H228" s="5" t="n">
        <f aca="false">E228*(LeadTime+ReorderCycle+SafetyDays)</f>
        <v>1.85714285714286</v>
      </c>
      <c r="I228" s="5" t="n">
        <f aca="false">F228*(LeadTime+ReorderCycle+SafetyDays)</f>
        <v>1.85714285714286</v>
      </c>
      <c r="J228" s="5" t="n">
        <f aca="false">IF(D228="Slow",MIN(H228,SlowMoverCap),H228)</f>
        <v>1.85714285714286</v>
      </c>
      <c r="K228" s="5" t="n">
        <f aca="false">IF(D228="Slow",MIN(I228,SlowMoverCap),I228)</f>
        <v>1.85714285714286</v>
      </c>
    </row>
    <row r="229" customFormat="false" ht="15" hidden="false" customHeight="false" outlineLevel="0" collapsed="false">
      <c r="A229" s="5" t="n">
        <f aca="false">DEMAND_MODEL!A229</f>
        <v>228</v>
      </c>
      <c r="B229" s="5" t="n">
        <f aca="false">DEMAND_MODEL!B229</f>
        <v>63324</v>
      </c>
      <c r="C229" s="5" t="str">
        <f aca="false">DEMAND_MODEL!C229</f>
        <v>NET FOR BEARD BROWN POLYESTER 100</v>
      </c>
      <c r="D229" s="5" t="str">
        <f aca="false">DEMAND_MODEL!G229</f>
        <v>Slow</v>
      </c>
      <c r="E229" s="5" t="n">
        <f aca="false">DEMAND_MODEL!K229</f>
        <v>0.142857142857143</v>
      </c>
      <c r="F229" s="5" t="n">
        <f aca="false">DEMAND_MODEL!L229</f>
        <v>0.428571428571429</v>
      </c>
      <c r="G229" s="5" t="n">
        <f aca="false">IFERROR(VLOOKUP(D229,SETTINGS!A14:B16,2,FALSE()),14)</f>
        <v>10</v>
      </c>
      <c r="H229" s="5" t="n">
        <f aca="false">E229*(LeadTime+ReorderCycle+SafetyDays)</f>
        <v>1.85714285714286</v>
      </c>
      <c r="I229" s="5" t="n">
        <f aca="false">F229*(LeadTime+ReorderCycle+SafetyDays)</f>
        <v>5.57142857142857</v>
      </c>
      <c r="J229" s="5" t="n">
        <f aca="false">IF(D229="Slow",MIN(H229,SlowMoverCap),H229)</f>
        <v>1.85714285714286</v>
      </c>
      <c r="K229" s="5" t="n">
        <f aca="false">IF(D229="Slow",MIN(I229,SlowMoverCap),I229)</f>
        <v>5.57142857142857</v>
      </c>
    </row>
    <row r="230" customFormat="false" ht="15" hidden="false" customHeight="false" outlineLevel="0" collapsed="false">
      <c r="A230" s="5" t="n">
        <f aca="false">DEMAND_MODEL!A230</f>
        <v>229</v>
      </c>
      <c r="B230" s="5" t="n">
        <f aca="false">DEMAND_MODEL!B230</f>
        <v>63341</v>
      </c>
      <c r="C230" s="5" t="str">
        <f aca="false">DEMAND_MODEL!C230</f>
        <v>HAIRNET INVISIBLE 89-420 1X144UN</v>
      </c>
      <c r="D230" s="5" t="str">
        <f aca="false">DEMAND_MODEL!G230</f>
        <v>Slow</v>
      </c>
      <c r="E230" s="5" t="n">
        <f aca="false">DEMAND_MODEL!K230</f>
        <v>0.142857142857143</v>
      </c>
      <c r="F230" s="5" t="n">
        <f aca="false">DEMAND_MODEL!L230</f>
        <v>0.142857142857143</v>
      </c>
      <c r="G230" s="5" t="n">
        <f aca="false">IFERROR(VLOOKUP(D230,SETTINGS!A14:B16,2,FALSE()),14)</f>
        <v>10</v>
      </c>
      <c r="H230" s="5" t="n">
        <f aca="false">E230*(LeadTime+ReorderCycle+SafetyDays)</f>
        <v>1.85714285714286</v>
      </c>
      <c r="I230" s="5" t="n">
        <f aca="false">F230*(LeadTime+ReorderCycle+SafetyDays)</f>
        <v>1.85714285714286</v>
      </c>
      <c r="J230" s="5" t="n">
        <f aca="false">IF(D230="Slow",MIN(H230,SlowMoverCap),H230)</f>
        <v>1.85714285714286</v>
      </c>
      <c r="K230" s="5" t="n">
        <f aca="false">IF(D230="Slow",MIN(I230,SlowMoverCap),I230)</f>
        <v>1.85714285714286</v>
      </c>
    </row>
    <row r="231" customFormat="false" ht="15" hidden="false" customHeight="false" outlineLevel="0" collapsed="false">
      <c r="A231" s="5" t="n">
        <f aca="false">DEMAND_MODEL!A231</f>
        <v>230</v>
      </c>
      <c r="B231" s="5" t="n">
        <f aca="false">DEMAND_MODEL!B231</f>
        <v>62749</v>
      </c>
      <c r="C231" s="5" t="str">
        <f aca="false">DEMAND_MODEL!C231</f>
        <v>MASK DISP BLUE MEDICAL DISTECH 50UN</v>
      </c>
      <c r="D231" s="5" t="str">
        <f aca="false">DEMAND_MODEL!G231</f>
        <v>Slow</v>
      </c>
      <c r="E231" s="5" t="n">
        <f aca="false">DEMAND_MODEL!K231</f>
        <v>0.285714285714286</v>
      </c>
      <c r="F231" s="5" t="n">
        <f aca="false">DEMAND_MODEL!L231</f>
        <v>0.428571428571429</v>
      </c>
      <c r="G231" s="5" t="n">
        <f aca="false">IFERROR(VLOOKUP(D231,SETTINGS!A14:B16,2,FALSE()),14)</f>
        <v>10</v>
      </c>
      <c r="H231" s="5" t="n">
        <f aca="false">E231*(LeadTime+ReorderCycle+SafetyDays)</f>
        <v>3.71428571428571</v>
      </c>
      <c r="I231" s="5" t="n">
        <f aca="false">F231*(LeadTime+ReorderCycle+SafetyDays)</f>
        <v>5.57142857142857</v>
      </c>
      <c r="J231" s="5" t="n">
        <f aca="false">IF(D231="Slow",MIN(H231,SlowMoverCap),H231)</f>
        <v>3.71428571428571</v>
      </c>
      <c r="K231" s="5" t="n">
        <f aca="false">IF(D231="Slow",MIN(I231,SlowMoverCap),I231)</f>
        <v>5.57142857142857</v>
      </c>
    </row>
    <row r="232" customFormat="false" ht="15" hidden="false" customHeight="false" outlineLevel="0" collapsed="false">
      <c r="A232" s="5" t="n">
        <f aca="false">DEMAND_MODEL!A232</f>
        <v>231</v>
      </c>
      <c r="B232" s="5" t="n">
        <f aca="false">DEMAND_MODEL!B232</f>
        <v>62819</v>
      </c>
      <c r="C232" s="5" t="str">
        <f aca="false">DEMAND_MODEL!C232</f>
        <v>GLOVES TPE CLR PDR FREE SM 100UN</v>
      </c>
      <c r="D232" s="5" t="str">
        <f aca="false">DEMAND_MODEL!G232</f>
        <v>Slow</v>
      </c>
      <c r="E232" s="5" t="n">
        <f aca="false">DEMAND_MODEL!K232</f>
        <v>0.285714285714286</v>
      </c>
      <c r="F232" s="5" t="n">
        <f aca="false">DEMAND_MODEL!L232</f>
        <v>0.428571428571429</v>
      </c>
      <c r="G232" s="5" t="n">
        <f aca="false">IFERROR(VLOOKUP(D232,SETTINGS!A14:B16,2,FALSE()),14)</f>
        <v>10</v>
      </c>
      <c r="H232" s="5" t="n">
        <f aca="false">E232*(LeadTime+ReorderCycle+SafetyDays)</f>
        <v>3.71428571428571</v>
      </c>
      <c r="I232" s="5" t="n">
        <f aca="false">F232*(LeadTime+ReorderCycle+SafetyDays)</f>
        <v>5.57142857142857</v>
      </c>
      <c r="J232" s="5" t="n">
        <f aca="false">IF(D232="Slow",MIN(H232,SlowMoverCap),H232)</f>
        <v>3.71428571428571</v>
      </c>
      <c r="K232" s="5" t="n">
        <f aca="false">IF(D232="Slow",MIN(I232,SlowMoverCap),I232)</f>
        <v>5.57142857142857</v>
      </c>
    </row>
    <row r="233" customFormat="false" ht="15" hidden="false" customHeight="false" outlineLevel="0" collapsed="false">
      <c r="A233" s="5" t="n">
        <f aca="false">DEMAND_MODEL!A233</f>
        <v>232</v>
      </c>
      <c r="B233" s="5" t="n">
        <f aca="false">DEMAND_MODEL!B233</f>
        <v>62844</v>
      </c>
      <c r="C233" s="5" t="str">
        <f aca="false">DEMAND_MODEL!C233</f>
        <v>GLOVE TPE CLR PDF FREE MED 100UN</v>
      </c>
      <c r="D233" s="5" t="str">
        <f aca="false">DEMAND_MODEL!G233</f>
        <v>Slow</v>
      </c>
      <c r="E233" s="5" t="n">
        <f aca="false">DEMAND_MODEL!K233</f>
        <v>0.428571428571429</v>
      </c>
      <c r="F233" s="5" t="n">
        <f aca="false">DEMAND_MODEL!L233</f>
        <v>0.285714285714286</v>
      </c>
      <c r="G233" s="5" t="n">
        <f aca="false">IFERROR(VLOOKUP(D233,SETTINGS!A14:B16,2,FALSE()),14)</f>
        <v>10</v>
      </c>
      <c r="H233" s="5" t="n">
        <f aca="false">E233*(LeadTime+ReorderCycle+SafetyDays)</f>
        <v>5.57142857142857</v>
      </c>
      <c r="I233" s="5" t="n">
        <f aca="false">F233*(LeadTime+ReorderCycle+SafetyDays)</f>
        <v>3.71428571428571</v>
      </c>
      <c r="J233" s="5" t="n">
        <f aca="false">IF(D233="Slow",MIN(H233,SlowMoverCap),H233)</f>
        <v>5.57142857142857</v>
      </c>
      <c r="K233" s="5" t="n">
        <f aca="false">IF(D233="Slow",MIN(I233,SlowMoverCap),I233)</f>
        <v>3.71428571428571</v>
      </c>
    </row>
    <row r="234" customFormat="false" ht="15" hidden="false" customHeight="false" outlineLevel="0" collapsed="false">
      <c r="A234" s="5" t="n">
        <f aca="false">DEMAND_MODEL!A234</f>
        <v>233</v>
      </c>
      <c r="B234" s="5" t="n">
        <f aca="false">DEMAND_MODEL!B234</f>
        <v>62816</v>
      </c>
      <c r="C234" s="5" t="str">
        <f aca="false">DEMAND_MODEL!C234</f>
        <v>GLOVES TPE CLR PDR FREE LG 100</v>
      </c>
      <c r="D234" s="5" t="str">
        <f aca="false">DEMAND_MODEL!G234</f>
        <v>Slow</v>
      </c>
      <c r="E234" s="5" t="n">
        <f aca="false">DEMAND_MODEL!K234</f>
        <v>0.428571428571429</v>
      </c>
      <c r="F234" s="5" t="n">
        <f aca="false">DEMAND_MODEL!L234</f>
        <v>0.142857142857143</v>
      </c>
      <c r="G234" s="5" t="n">
        <f aca="false">IFERROR(VLOOKUP(D234,SETTINGS!A14:B16,2,FALSE()),14)</f>
        <v>10</v>
      </c>
      <c r="H234" s="5" t="n">
        <f aca="false">E234*(LeadTime+ReorderCycle+SafetyDays)</f>
        <v>5.57142857142857</v>
      </c>
      <c r="I234" s="5" t="n">
        <f aca="false">F234*(LeadTime+ReorderCycle+SafetyDays)</f>
        <v>1.85714285714286</v>
      </c>
      <c r="J234" s="5" t="n">
        <f aca="false">IF(D234="Slow",MIN(H234,SlowMoverCap),H234)</f>
        <v>5.57142857142857</v>
      </c>
      <c r="K234" s="5" t="n">
        <f aca="false">IF(D234="Slow",MIN(I234,SlowMoverCap),I234)</f>
        <v>1.85714285714286</v>
      </c>
    </row>
    <row r="235" customFormat="false" ht="15" hidden="false" customHeight="false" outlineLevel="0" collapsed="false">
      <c r="A235" s="5" t="n">
        <f aca="false">DEMAND_MODEL!A235</f>
        <v>234</v>
      </c>
      <c r="B235" s="5" t="n">
        <f aca="false">DEMAND_MODEL!B235</f>
        <v>62815</v>
      </c>
      <c r="C235" s="5" t="str">
        <f aca="false">DEMAND_MODEL!C235</f>
        <v>GLOVES TPE CLR PDR FREE XL 100</v>
      </c>
      <c r="D235" s="5" t="str">
        <f aca="false">DEMAND_MODEL!G235</f>
        <v>Slow</v>
      </c>
      <c r="E235" s="5" t="n">
        <f aca="false">DEMAND_MODEL!K235</f>
        <v>0.285714285714286</v>
      </c>
      <c r="F235" s="5" t="n">
        <f aca="false">DEMAND_MODEL!L235</f>
        <v>0.428571428571429</v>
      </c>
      <c r="G235" s="5" t="n">
        <f aca="false">IFERROR(VLOOKUP(D235,SETTINGS!A14:B16,2,FALSE()),14)</f>
        <v>10</v>
      </c>
      <c r="H235" s="5" t="n">
        <f aca="false">E235*(LeadTime+ReorderCycle+SafetyDays)</f>
        <v>3.71428571428571</v>
      </c>
      <c r="I235" s="5" t="n">
        <f aca="false">F235*(LeadTime+ReorderCycle+SafetyDays)</f>
        <v>5.57142857142857</v>
      </c>
      <c r="J235" s="5" t="n">
        <f aca="false">IF(D235="Slow",MIN(H235,SlowMoverCap),H235)</f>
        <v>3.71428571428571</v>
      </c>
      <c r="K235" s="5" t="n">
        <f aca="false">IF(D235="Slow",MIN(I235,SlowMoverCap),I235)</f>
        <v>5.57142857142857</v>
      </c>
    </row>
    <row r="236" customFormat="false" ht="15" hidden="false" customHeight="false" outlineLevel="0" collapsed="false">
      <c r="A236" s="5" t="n">
        <f aca="false">DEMAND_MODEL!A236</f>
        <v>235</v>
      </c>
      <c r="B236" s="5" t="n">
        <f aca="false">DEMAND_MODEL!B236</f>
        <v>38234</v>
      </c>
      <c r="C236" s="5" t="str">
        <f aca="false">DEMAND_MODEL!C236</f>
        <v>GLOVES POLY DISP SM 9945B 500</v>
      </c>
      <c r="D236" s="5" t="str">
        <f aca="false">DEMAND_MODEL!G236</f>
        <v>Slow</v>
      </c>
      <c r="E236" s="5" t="n">
        <f aca="false">DEMAND_MODEL!K236</f>
        <v>0.142857142857143</v>
      </c>
      <c r="F236" s="5" t="n">
        <f aca="false">DEMAND_MODEL!L236</f>
        <v>0.285714285714286</v>
      </c>
      <c r="G236" s="5" t="n">
        <f aca="false">IFERROR(VLOOKUP(D236,SETTINGS!A14:B16,2,FALSE()),14)</f>
        <v>10</v>
      </c>
      <c r="H236" s="5" t="n">
        <f aca="false">E236*(LeadTime+ReorderCycle+SafetyDays)</f>
        <v>1.85714285714286</v>
      </c>
      <c r="I236" s="5" t="n">
        <f aca="false">F236*(LeadTime+ReorderCycle+SafetyDays)</f>
        <v>3.71428571428571</v>
      </c>
      <c r="J236" s="5" t="n">
        <f aca="false">IF(D236="Slow",MIN(H236,SlowMoverCap),H236)</f>
        <v>1.85714285714286</v>
      </c>
      <c r="K236" s="5" t="n">
        <f aca="false">IF(D236="Slow",MIN(I236,SlowMoverCap),I236)</f>
        <v>3.71428571428571</v>
      </c>
    </row>
    <row r="237" customFormat="false" ht="15" hidden="false" customHeight="false" outlineLevel="0" collapsed="false">
      <c r="A237" s="5" t="n">
        <f aca="false">DEMAND_MODEL!A237</f>
        <v>236</v>
      </c>
      <c r="B237" s="5" t="n">
        <f aca="false">DEMAND_MODEL!B237</f>
        <v>34246</v>
      </c>
      <c r="C237" s="5" t="str">
        <f aca="false">DEMAND_MODEL!C237</f>
        <v>GLOVES POLY DISP MED 9945C 1X500</v>
      </c>
      <c r="D237" s="5" t="str">
        <f aca="false">DEMAND_MODEL!G237</f>
        <v>Slow</v>
      </c>
      <c r="E237" s="5" t="n">
        <f aca="false">DEMAND_MODEL!K237</f>
        <v>0.285714285714286</v>
      </c>
      <c r="F237" s="5" t="n">
        <f aca="false">DEMAND_MODEL!L237</f>
        <v>0.428571428571429</v>
      </c>
      <c r="G237" s="5" t="n">
        <f aca="false">IFERROR(VLOOKUP(D237,SETTINGS!A14:B16,2,FALSE()),14)</f>
        <v>10</v>
      </c>
      <c r="H237" s="5" t="n">
        <f aca="false">E237*(LeadTime+ReorderCycle+SafetyDays)</f>
        <v>3.71428571428571</v>
      </c>
      <c r="I237" s="5" t="n">
        <f aca="false">F237*(LeadTime+ReorderCycle+SafetyDays)</f>
        <v>5.57142857142857</v>
      </c>
      <c r="J237" s="5" t="n">
        <f aca="false">IF(D237="Slow",MIN(H237,SlowMoverCap),H237)</f>
        <v>3.71428571428571</v>
      </c>
      <c r="K237" s="5" t="n">
        <f aca="false">IF(D237="Slow",MIN(I237,SlowMoverCap),I237)</f>
        <v>5.57142857142857</v>
      </c>
    </row>
    <row r="238" customFormat="false" ht="15" hidden="false" customHeight="false" outlineLevel="0" collapsed="false">
      <c r="A238" s="5" t="n">
        <f aca="false">DEMAND_MODEL!A238</f>
        <v>237</v>
      </c>
      <c r="B238" s="5" t="n">
        <f aca="false">DEMAND_MODEL!B238</f>
        <v>62734</v>
      </c>
      <c r="C238" s="5" t="str">
        <f aca="false">DEMAND_MODEL!C238</f>
        <v>GLOVES POLY DISP LRG 9945D 500</v>
      </c>
      <c r="D238" s="5" t="str">
        <f aca="false">DEMAND_MODEL!G238</f>
        <v>Slow</v>
      </c>
      <c r="E238" s="5" t="n">
        <f aca="false">DEMAND_MODEL!K238</f>
        <v>0.428571428571429</v>
      </c>
      <c r="F238" s="5" t="n">
        <f aca="false">DEMAND_MODEL!L238</f>
        <v>0.142857142857143</v>
      </c>
      <c r="G238" s="5" t="n">
        <f aca="false">IFERROR(VLOOKUP(D238,SETTINGS!A14:B16,2,FALSE()),14)</f>
        <v>10</v>
      </c>
      <c r="H238" s="5" t="n">
        <f aca="false">E238*(LeadTime+ReorderCycle+SafetyDays)</f>
        <v>5.57142857142857</v>
      </c>
      <c r="I238" s="5" t="n">
        <f aca="false">F238*(LeadTime+ReorderCycle+SafetyDays)</f>
        <v>1.85714285714286</v>
      </c>
      <c r="J238" s="5" t="n">
        <f aca="false">IF(D238="Slow",MIN(H238,SlowMoverCap),H238)</f>
        <v>5.57142857142857</v>
      </c>
      <c r="K238" s="5" t="n">
        <f aca="false">IF(D238="Slow",MIN(I238,SlowMoverCap),I238)</f>
        <v>1.85714285714286</v>
      </c>
    </row>
    <row r="239" customFormat="false" ht="15" hidden="false" customHeight="false" outlineLevel="0" collapsed="false">
      <c r="A239" s="5" t="n">
        <f aca="false">DEMAND_MODEL!A239</f>
        <v>238</v>
      </c>
      <c r="B239" s="5" t="n">
        <f aca="false">DEMAND_MODEL!B239</f>
        <v>64410</v>
      </c>
      <c r="C239" s="5" t="str">
        <f aca="false">DEMAND_MODEL!C239</f>
        <v>CLOTH JCHIX BLUE 12X24" 6279 1X100</v>
      </c>
      <c r="D239" s="5" t="str">
        <f aca="false">DEMAND_MODEL!G239</f>
        <v>Slow</v>
      </c>
      <c r="E239" s="5" t="n">
        <f aca="false">DEMAND_MODEL!K239</f>
        <v>0.285714285714286</v>
      </c>
      <c r="F239" s="5" t="n">
        <f aca="false">DEMAND_MODEL!L239</f>
        <v>0.428571428571429</v>
      </c>
      <c r="G239" s="5" t="n">
        <f aca="false">IFERROR(VLOOKUP(D239,SETTINGS!A14:B16,2,FALSE()),14)</f>
        <v>10</v>
      </c>
      <c r="H239" s="5" t="n">
        <f aca="false">E239*(LeadTime+ReorderCycle+SafetyDays)</f>
        <v>3.71428571428571</v>
      </c>
      <c r="I239" s="5" t="n">
        <f aca="false">F239*(LeadTime+ReorderCycle+SafetyDays)</f>
        <v>5.57142857142857</v>
      </c>
      <c r="J239" s="5" t="n">
        <f aca="false">IF(D239="Slow",MIN(H239,SlowMoverCap),H239)</f>
        <v>3.71428571428571</v>
      </c>
      <c r="K239" s="5" t="n">
        <f aca="false">IF(D239="Slow",MIN(I239,SlowMoverCap),I239)</f>
        <v>5.57142857142857</v>
      </c>
    </row>
    <row r="240" customFormat="false" ht="15" hidden="false" customHeight="false" outlineLevel="0" collapsed="false">
      <c r="A240" s="5" t="n">
        <f aca="false">DEMAND_MODEL!A240</f>
        <v>239</v>
      </c>
      <c r="B240" s="5" t="n">
        <f aca="false">DEMAND_MODEL!B240</f>
        <v>26781</v>
      </c>
      <c r="C240" s="5" t="str">
        <f aca="false">DEMAND_MODEL!C240</f>
        <v>MOP HEAD 650G 1</v>
      </c>
      <c r="D240" s="5" t="str">
        <f aca="false">DEMAND_MODEL!G240</f>
        <v>Slow</v>
      </c>
      <c r="E240" s="5" t="n">
        <f aca="false">DEMAND_MODEL!K240</f>
        <v>0.142857142857143</v>
      </c>
      <c r="F240" s="5" t="n">
        <f aca="false">DEMAND_MODEL!L240</f>
        <v>0.142857142857143</v>
      </c>
      <c r="G240" s="5" t="n">
        <f aca="false">IFERROR(VLOOKUP(D240,SETTINGS!A14:B16,2,FALSE()),14)</f>
        <v>10</v>
      </c>
      <c r="H240" s="5" t="n">
        <f aca="false">E240*(LeadTime+ReorderCycle+SafetyDays)</f>
        <v>1.85714285714286</v>
      </c>
      <c r="I240" s="5" t="n">
        <f aca="false">F240*(LeadTime+ReorderCycle+SafetyDays)</f>
        <v>1.85714285714286</v>
      </c>
      <c r="J240" s="5" t="n">
        <f aca="false">IF(D240="Slow",MIN(H240,SlowMoverCap),H240)</f>
        <v>1.85714285714286</v>
      </c>
      <c r="K240" s="5" t="n">
        <f aca="false">IF(D240="Slow",MIN(I240,SlowMoverCap),I240)</f>
        <v>1.85714285714286</v>
      </c>
    </row>
    <row r="241" customFormat="false" ht="15" hidden="false" customHeight="false" outlineLevel="0" collapsed="false">
      <c r="A241" s="5" t="n">
        <f aca="false">DEMAND_MODEL!A241</f>
        <v>240</v>
      </c>
      <c r="B241" s="5" t="n">
        <f aca="false">DEMAND_MODEL!B241</f>
        <v>49219</v>
      </c>
      <c r="C241" s="5" t="str">
        <f aca="false">DEMAND_MODEL!C241</f>
        <v>TOILET PAP 2PL METRO 48X500S</v>
      </c>
      <c r="D241" s="5" t="str">
        <f aca="false">DEMAND_MODEL!G241</f>
        <v>Slow</v>
      </c>
      <c r="E241" s="5" t="n">
        <f aca="false">DEMAND_MODEL!K241</f>
        <v>0.428571428571429</v>
      </c>
      <c r="F241" s="5" t="n">
        <f aca="false">DEMAND_MODEL!L241</f>
        <v>0.142857142857143</v>
      </c>
      <c r="G241" s="5" t="n">
        <f aca="false">IFERROR(VLOOKUP(D241,SETTINGS!A14:B16,2,FALSE()),14)</f>
        <v>10</v>
      </c>
      <c r="H241" s="5" t="n">
        <f aca="false">E241*(LeadTime+ReorderCycle+SafetyDays)</f>
        <v>5.57142857142857</v>
      </c>
      <c r="I241" s="5" t="n">
        <f aca="false">F241*(LeadTime+ReorderCycle+SafetyDays)</f>
        <v>1.85714285714286</v>
      </c>
      <c r="J241" s="5" t="n">
        <f aca="false">IF(D241="Slow",MIN(H241,SlowMoverCap),H241)</f>
        <v>5.57142857142857</v>
      </c>
      <c r="K241" s="5" t="n">
        <f aca="false">IF(D241="Slow",MIN(I241,SlowMoverCap),I241)</f>
        <v>1.85714285714286</v>
      </c>
    </row>
    <row r="242" customFormat="false" ht="15" hidden="false" customHeight="false" outlineLevel="0" collapsed="false">
      <c r="A242" s="5" t="n">
        <f aca="false">DEMAND_MODEL!A242</f>
        <v>241</v>
      </c>
      <c r="B242" s="5" t="n">
        <f aca="false">DEMAND_MODEL!B242</f>
        <v>28376</v>
      </c>
      <c r="C242" s="5" t="str">
        <f aca="false">DEMAND_MODEL!C242</f>
        <v>BAGS GARBAGE 35X50 X-STG BLK 100</v>
      </c>
      <c r="D242" s="5" t="str">
        <f aca="false">DEMAND_MODEL!G242</f>
        <v>Slow</v>
      </c>
      <c r="E242" s="5" t="n">
        <f aca="false">DEMAND_MODEL!K242</f>
        <v>0.285714285714286</v>
      </c>
      <c r="F242" s="5" t="n">
        <f aca="false">DEMAND_MODEL!L242</f>
        <v>0.142857142857143</v>
      </c>
      <c r="G242" s="5" t="n">
        <f aca="false">IFERROR(VLOOKUP(D242,SETTINGS!A14:B16,2,FALSE()),14)</f>
        <v>10</v>
      </c>
      <c r="H242" s="5" t="n">
        <f aca="false">E242*(LeadTime+ReorderCycle+SafetyDays)</f>
        <v>3.71428571428571</v>
      </c>
      <c r="I242" s="5" t="n">
        <f aca="false">F242*(LeadTime+ReorderCycle+SafetyDays)</f>
        <v>1.85714285714286</v>
      </c>
      <c r="J242" s="5" t="n">
        <f aca="false">IF(D242="Slow",MIN(H242,SlowMoverCap),H242)</f>
        <v>3.71428571428571</v>
      </c>
      <c r="K242" s="5" t="n">
        <f aca="false">IF(D242="Slow",MIN(I242,SlowMoverCap),I242)</f>
        <v>1.85714285714286</v>
      </c>
    </row>
    <row r="243" customFormat="false" ht="15" hidden="false" customHeight="false" outlineLevel="0" collapsed="false">
      <c r="A243" s="5" t="n">
        <f aca="false">DEMAND_MODEL!A243</f>
        <v>242</v>
      </c>
      <c r="B243" s="5" t="n">
        <f aca="false">DEMAND_MODEL!B243</f>
        <v>28671</v>
      </c>
      <c r="C243" s="5" t="str">
        <f aca="false">DEMAND_MODEL!C243</f>
        <v>PAD SCOUR #97 GRN 6"X9"   X10UN</v>
      </c>
      <c r="D243" s="5" t="str">
        <f aca="false">DEMAND_MODEL!G243</f>
        <v>Slow</v>
      </c>
      <c r="E243" s="5" t="n">
        <f aca="false">DEMAND_MODEL!K243</f>
        <v>0.428571428571429</v>
      </c>
      <c r="F243" s="5" t="n">
        <f aca="false">DEMAND_MODEL!L243</f>
        <v>0.285714285714286</v>
      </c>
      <c r="G243" s="5" t="n">
        <f aca="false">IFERROR(VLOOKUP(D243,SETTINGS!A14:B16,2,FALSE()),14)</f>
        <v>10</v>
      </c>
      <c r="H243" s="5" t="n">
        <f aca="false">E243*(LeadTime+ReorderCycle+SafetyDays)</f>
        <v>5.57142857142857</v>
      </c>
      <c r="I243" s="5" t="n">
        <f aca="false">F243*(LeadTime+ReorderCycle+SafetyDays)</f>
        <v>3.71428571428571</v>
      </c>
      <c r="J243" s="5" t="n">
        <f aca="false">IF(D243="Slow",MIN(H243,SlowMoverCap),H243)</f>
        <v>5.57142857142857</v>
      </c>
      <c r="K243" s="5" t="n">
        <f aca="false">IF(D243="Slow",MIN(I243,SlowMoverCap),I243)</f>
        <v>3.71428571428571</v>
      </c>
    </row>
    <row r="244" customFormat="false" ht="15" hidden="false" customHeight="false" outlineLevel="0" collapsed="false">
      <c r="A244" s="5" t="n">
        <f aca="false">DEMAND_MODEL!A244</f>
        <v>243</v>
      </c>
      <c r="B244" s="5" t="n">
        <f aca="false">DEMAND_MODEL!B244</f>
        <v>27499</v>
      </c>
      <c r="C244" s="5" t="str">
        <f aca="false">DEMAND_MODEL!C244</f>
        <v>MTY SOAP HAND FM ALLPUR 6X1.3L</v>
      </c>
      <c r="D244" s="5" t="str">
        <f aca="false">DEMAND_MODEL!G244</f>
        <v>Slow</v>
      </c>
      <c r="E244" s="5" t="n">
        <f aca="false">DEMAND_MODEL!K244</f>
        <v>0.142857142857143</v>
      </c>
      <c r="F244" s="5" t="n">
        <f aca="false">DEMAND_MODEL!L244</f>
        <v>0.428571428571429</v>
      </c>
      <c r="G244" s="5" t="n">
        <f aca="false">IFERROR(VLOOKUP(D244,SETTINGS!A14:B16,2,FALSE()),14)</f>
        <v>10</v>
      </c>
      <c r="H244" s="5" t="n">
        <f aca="false">E244*(LeadTime+ReorderCycle+SafetyDays)</f>
        <v>1.85714285714286</v>
      </c>
      <c r="I244" s="5" t="n">
        <f aca="false">F244*(LeadTime+ReorderCycle+SafetyDays)</f>
        <v>5.57142857142857</v>
      </c>
      <c r="J244" s="5" t="n">
        <f aca="false">IF(D244="Slow",MIN(H244,SlowMoverCap),H244)</f>
        <v>1.85714285714286</v>
      </c>
      <c r="K244" s="5" t="n">
        <f aca="false">IF(D244="Slow",MIN(I244,SlowMoverCap),I244)</f>
        <v>5.57142857142857</v>
      </c>
    </row>
    <row r="245" customFormat="false" ht="15" hidden="false" customHeight="false" outlineLevel="0" collapsed="false">
      <c r="A245" s="5" t="n">
        <f aca="false">DEMAND_MODEL!A245</f>
        <v>244</v>
      </c>
      <c r="B245" s="5" t="n">
        <f aca="false">DEMAND_MODEL!B245</f>
        <v>28528</v>
      </c>
      <c r="C245" s="5" t="str">
        <f aca="false">DEMAND_MODEL!C245</f>
        <v>9 MTY CLNR GLASS LITE TCH RTU12X946</v>
      </c>
      <c r="D245" s="5" t="str">
        <f aca="false">DEMAND_MODEL!G245</f>
        <v>Slow</v>
      </c>
      <c r="E245" s="5" t="n">
        <f aca="false">DEMAND_MODEL!K245</f>
        <v>0.142857142857143</v>
      </c>
      <c r="F245" s="5" t="n">
        <f aca="false">DEMAND_MODEL!L245</f>
        <v>0.142857142857143</v>
      </c>
      <c r="G245" s="5" t="n">
        <f aca="false">IFERROR(VLOOKUP(D245,SETTINGS!A14:B16,2,FALSE()),14)</f>
        <v>10</v>
      </c>
      <c r="H245" s="5" t="n">
        <f aca="false">E245*(LeadTime+ReorderCycle+SafetyDays)</f>
        <v>1.85714285714286</v>
      </c>
      <c r="I245" s="5" t="n">
        <f aca="false">F245*(LeadTime+ReorderCycle+SafetyDays)</f>
        <v>1.85714285714286</v>
      </c>
      <c r="J245" s="5" t="n">
        <f aca="false">IF(D245="Slow",MIN(H245,SlowMoverCap),H245)</f>
        <v>1.85714285714286</v>
      </c>
      <c r="K245" s="5" t="n">
        <f aca="false">IF(D245="Slow",MIN(I245,SlowMoverCap),I245)</f>
        <v>1.85714285714286</v>
      </c>
    </row>
    <row r="246" customFormat="false" ht="15" hidden="false" customHeight="false" outlineLevel="0" collapsed="false">
      <c r="A246" s="5" t="n">
        <f aca="false">DEMAND_MODEL!A246</f>
        <v>245</v>
      </c>
      <c r="B246" s="5" t="n">
        <f aca="false">DEMAND_MODEL!B246</f>
        <v>27497</v>
      </c>
      <c r="C246" s="5" t="str">
        <f aca="false">DEMAND_MODEL!C246</f>
        <v>MTY DEGREASR ORANG STUFF  2X3.78L</v>
      </c>
      <c r="D246" s="5" t="str">
        <f aca="false">DEMAND_MODEL!G246</f>
        <v>Slow</v>
      </c>
      <c r="E246" s="5" t="n">
        <f aca="false">DEMAND_MODEL!K246</f>
        <v>0.428571428571429</v>
      </c>
      <c r="F246" s="5" t="n">
        <f aca="false">DEMAND_MODEL!L246</f>
        <v>0.142857142857143</v>
      </c>
      <c r="G246" s="5" t="n">
        <f aca="false">IFERROR(VLOOKUP(D246,SETTINGS!A14:B16,2,FALSE()),14)</f>
        <v>10</v>
      </c>
      <c r="H246" s="5" t="n">
        <f aca="false">E246*(LeadTime+ReorderCycle+SafetyDays)</f>
        <v>5.57142857142857</v>
      </c>
      <c r="I246" s="5" t="n">
        <f aca="false">F246*(LeadTime+ReorderCycle+SafetyDays)</f>
        <v>1.85714285714286</v>
      </c>
      <c r="J246" s="5" t="n">
        <f aca="false">IF(D246="Slow",MIN(H246,SlowMoverCap),H246)</f>
        <v>5.57142857142857</v>
      </c>
      <c r="K246" s="5" t="n">
        <f aca="false">IF(D246="Slow",MIN(I246,SlowMoverCap),I246)</f>
        <v>1.85714285714286</v>
      </c>
    </row>
    <row r="247" customFormat="false" ht="15" hidden="false" customHeight="false" outlineLevel="0" collapsed="false">
      <c r="A247" s="5" t="n">
        <f aca="false">DEMAND_MODEL!A247</f>
        <v>246</v>
      </c>
      <c r="B247" s="5" t="n">
        <f aca="false">DEMAND_MODEL!B247</f>
        <v>27496</v>
      </c>
      <c r="C247" s="5" t="str">
        <f aca="false">DEMAND_MODEL!C247</f>
        <v>MTY SANITI SANI-STUFF CONC 2X3.78L</v>
      </c>
      <c r="D247" s="5" t="str">
        <f aca="false">DEMAND_MODEL!G247</f>
        <v>Slow</v>
      </c>
      <c r="E247" s="5" t="n">
        <f aca="false">DEMAND_MODEL!K247</f>
        <v>0.428571428571429</v>
      </c>
      <c r="F247" s="5" t="n">
        <f aca="false">DEMAND_MODEL!L247</f>
        <v>0.428571428571429</v>
      </c>
      <c r="G247" s="5" t="n">
        <f aca="false">IFERROR(VLOOKUP(D247,SETTINGS!A14:B16,2,FALSE()),14)</f>
        <v>10</v>
      </c>
      <c r="H247" s="5" t="n">
        <f aca="false">E247*(LeadTime+ReorderCycle+SafetyDays)</f>
        <v>5.57142857142857</v>
      </c>
      <c r="I247" s="5" t="n">
        <f aca="false">F247*(LeadTime+ReorderCycle+SafetyDays)</f>
        <v>5.57142857142857</v>
      </c>
      <c r="J247" s="5" t="n">
        <f aca="false">IF(D247="Slow",MIN(H247,SlowMoverCap),H247)</f>
        <v>5.57142857142857</v>
      </c>
      <c r="K247" s="5" t="n">
        <f aca="false">IF(D247="Slow",MIN(I247,SlowMoverCap),I247)</f>
        <v>5.57142857142857</v>
      </c>
    </row>
    <row r="248" customFormat="false" ht="15" hidden="false" customHeight="false" outlineLevel="0" collapsed="false">
      <c r="A248" s="5" t="n">
        <f aca="false">DEMAND_MODEL!A248</f>
        <v>247</v>
      </c>
      <c r="B248" s="5" t="n">
        <f aca="false">DEMAND_MODEL!B248</f>
        <v>27498</v>
      </c>
      <c r="C248" s="5" t="str">
        <f aca="false">DEMAND_MODEL!C248</f>
        <v>MTY DET YELLOW STUFF POT/PAN 2X3.78</v>
      </c>
      <c r="D248" s="5" t="str">
        <f aca="false">DEMAND_MODEL!G248</f>
        <v>Slow</v>
      </c>
      <c r="E248" s="5" t="n">
        <f aca="false">DEMAND_MODEL!K248</f>
        <v>0.428571428571429</v>
      </c>
      <c r="F248" s="5" t="n">
        <f aca="false">DEMAND_MODEL!L248</f>
        <v>0.428571428571429</v>
      </c>
      <c r="G248" s="5" t="n">
        <f aca="false">IFERROR(VLOOKUP(D248,SETTINGS!A14:B16,2,FALSE()),14)</f>
        <v>10</v>
      </c>
      <c r="H248" s="5" t="n">
        <f aca="false">E248*(LeadTime+ReorderCycle+SafetyDays)</f>
        <v>5.57142857142857</v>
      </c>
      <c r="I248" s="5" t="n">
        <f aca="false">F248*(LeadTime+ReorderCycle+SafetyDays)</f>
        <v>5.57142857142857</v>
      </c>
      <c r="J248" s="5" t="n">
        <f aca="false">IF(D248="Slow",MIN(H248,SlowMoverCap),H248)</f>
        <v>5.57142857142857</v>
      </c>
      <c r="K248" s="5" t="n">
        <f aca="false">IF(D248="Slow",MIN(I248,SlowMoverCap),I248)</f>
        <v>5.57142857142857</v>
      </c>
    </row>
    <row r="249" customFormat="false" ht="15" hidden="false" customHeight="false" outlineLevel="0" collapsed="false">
      <c r="A249" s="5" t="n">
        <f aca="false">DEMAND_MODEL!A249</f>
        <v>248</v>
      </c>
      <c r="B249" s="5" t="n">
        <f aca="false">DEMAND_MODEL!B249</f>
        <v>28527</v>
      </c>
      <c r="C249" s="5" t="str">
        <f aca="false">DEMAND_MODEL!C249</f>
        <v>9 MTY OVEN CLEANGEL HOTSTUF 6X946ML</v>
      </c>
      <c r="D249" s="5" t="str">
        <f aca="false">DEMAND_MODEL!G249</f>
        <v>Slow</v>
      </c>
      <c r="E249" s="5" t="n">
        <f aca="false">DEMAND_MODEL!K249</f>
        <v>0.142857142857143</v>
      </c>
      <c r="F249" s="5" t="n">
        <f aca="false">DEMAND_MODEL!L249</f>
        <v>0.428571428571429</v>
      </c>
      <c r="G249" s="5" t="n">
        <f aca="false">IFERROR(VLOOKUP(D249,SETTINGS!A14:B16,2,FALSE()),14)</f>
        <v>10</v>
      </c>
      <c r="H249" s="5" t="n">
        <f aca="false">E249*(LeadTime+ReorderCycle+SafetyDays)</f>
        <v>1.85714285714286</v>
      </c>
      <c r="I249" s="5" t="n">
        <f aca="false">F249*(LeadTime+ReorderCycle+SafetyDays)</f>
        <v>5.57142857142857</v>
      </c>
      <c r="J249" s="5" t="n">
        <f aca="false">IF(D249="Slow",MIN(H249,SlowMoverCap),H249)</f>
        <v>1.85714285714286</v>
      </c>
      <c r="K249" s="5" t="n">
        <f aca="false">IF(D249="Slow",MIN(I249,SlowMoverCap),I249)</f>
        <v>5.57142857142857</v>
      </c>
    </row>
    <row r="250" customFormat="false" ht="15" hidden="false" customHeight="false" outlineLevel="0" collapsed="false">
      <c r="A250" s="5" t="n">
        <f aca="false">DEMAND_MODEL!A250</f>
        <v>249</v>
      </c>
      <c r="B250" s="5" t="n">
        <f aca="false">DEMAND_MODEL!B250</f>
        <v>28524</v>
      </c>
      <c r="C250" s="5" t="str">
        <f aca="false">DEMAND_MODEL!C250</f>
        <v>9 MTY SANI-STUFF NO RINSE 6X946ML</v>
      </c>
      <c r="D250" s="5" t="str">
        <f aca="false">DEMAND_MODEL!G250</f>
        <v>Slow</v>
      </c>
      <c r="E250" s="5" t="n">
        <f aca="false">DEMAND_MODEL!K250</f>
        <v>0.428571428571429</v>
      </c>
      <c r="F250" s="5" t="n">
        <f aca="false">DEMAND_MODEL!L250</f>
        <v>0.142857142857143</v>
      </c>
      <c r="G250" s="5" t="n">
        <f aca="false">IFERROR(VLOOKUP(D250,SETTINGS!A14:B16,2,FALSE()),14)</f>
        <v>10</v>
      </c>
      <c r="H250" s="5" t="n">
        <f aca="false">E250*(LeadTime+ReorderCycle+SafetyDays)</f>
        <v>5.57142857142857</v>
      </c>
      <c r="I250" s="5" t="n">
        <f aca="false">F250*(LeadTime+ReorderCycle+SafetyDays)</f>
        <v>1.85714285714286</v>
      </c>
      <c r="J250" s="5" t="n">
        <f aca="false">IF(D250="Slow",MIN(H250,SlowMoverCap),H250)</f>
        <v>5.57142857142857</v>
      </c>
      <c r="K250" s="5" t="n">
        <f aca="false">IF(D250="Slow",MIN(I250,SlowMoverCap),I250)</f>
        <v>1.85714285714286</v>
      </c>
    </row>
    <row r="251" customFormat="false" ht="15" hidden="false" customHeight="false" outlineLevel="0" collapsed="false">
      <c r="A251" s="5" t="n">
        <f aca="false">DEMAND_MODEL!A251</f>
        <v>250</v>
      </c>
      <c r="B251" s="5" t="n">
        <f aca="false">DEMAND_MODEL!B251</f>
        <v>28531</v>
      </c>
      <c r="C251" s="5" t="str">
        <f aca="false">DEMAND_MODEL!C251</f>
        <v>9 MTY QUAT TEST PAP SANIT QT-10 X1</v>
      </c>
      <c r="D251" s="5" t="str">
        <f aca="false">DEMAND_MODEL!G251</f>
        <v>Slow</v>
      </c>
      <c r="E251" s="5" t="n">
        <f aca="false">DEMAND_MODEL!K251</f>
        <v>0.142857142857143</v>
      </c>
      <c r="F251" s="5" t="n">
        <f aca="false">DEMAND_MODEL!L251</f>
        <v>0.142857142857143</v>
      </c>
      <c r="G251" s="5" t="n">
        <f aca="false">IFERROR(VLOOKUP(D251,SETTINGS!A14:B16,2,FALSE()),14)</f>
        <v>10</v>
      </c>
      <c r="H251" s="5" t="n">
        <f aca="false">E251*(LeadTime+ReorderCycle+SafetyDays)</f>
        <v>1.85714285714286</v>
      </c>
      <c r="I251" s="5" t="n">
        <f aca="false">F251*(LeadTime+ReorderCycle+SafetyDays)</f>
        <v>1.85714285714286</v>
      </c>
      <c r="J251" s="5" t="n">
        <f aca="false">IF(D251="Slow",MIN(H251,SlowMoverCap),H251)</f>
        <v>1.85714285714286</v>
      </c>
      <c r="K251" s="5" t="n">
        <f aca="false">IF(D251="Slow",MIN(I251,SlowMoverCap),I251)</f>
        <v>1.85714285714286</v>
      </c>
    </row>
    <row r="252" customFormat="false" ht="15" hidden="false" customHeight="false" outlineLevel="0" collapsed="false">
      <c r="A252" s="5" t="n">
        <f aca="false">DEMAND_MODEL!A252</f>
        <v>251</v>
      </c>
      <c r="B252" s="5" t="n">
        <f aca="false">DEMAND_MODEL!B252</f>
        <v>27495</v>
      </c>
      <c r="C252" s="5" t="str">
        <f aca="false">DEMAND_MODEL!C252</f>
        <v>MTY RED SANITIZER STAT PAIL 6QT X1</v>
      </c>
      <c r="D252" s="5" t="str">
        <f aca="false">DEMAND_MODEL!G252</f>
        <v>Slow</v>
      </c>
      <c r="E252" s="5" t="n">
        <f aca="false">DEMAND_MODEL!K252</f>
        <v>0.428571428571429</v>
      </c>
      <c r="F252" s="5" t="n">
        <f aca="false">DEMAND_MODEL!L252</f>
        <v>0.428571428571429</v>
      </c>
      <c r="G252" s="5" t="n">
        <f aca="false">IFERROR(VLOOKUP(D252,SETTINGS!A14:B16,2,FALSE()),14)</f>
        <v>10</v>
      </c>
      <c r="H252" s="5" t="n">
        <f aca="false">E252*(LeadTime+ReorderCycle+SafetyDays)</f>
        <v>5.57142857142857</v>
      </c>
      <c r="I252" s="5" t="n">
        <f aca="false">F252*(LeadTime+ReorderCycle+SafetyDays)</f>
        <v>5.57142857142857</v>
      </c>
      <c r="J252" s="5" t="n">
        <f aca="false">IF(D252="Slow",MIN(H252,SlowMoverCap),H252)</f>
        <v>5.57142857142857</v>
      </c>
      <c r="K252" s="5" t="n">
        <f aca="false">IF(D252="Slow",MIN(I252,SlowMoverCap),I252)</f>
        <v>5.57142857142857</v>
      </c>
    </row>
    <row r="253" customFormat="false" ht="15" hidden="false" customHeight="false" outlineLevel="0" collapsed="false">
      <c r="A253" s="5" t="n">
        <f aca="false">DEMAND_MODEL!A253</f>
        <v>252</v>
      </c>
      <c r="B253" s="5" t="n">
        <f aca="false">DEMAND_MODEL!B253</f>
        <v>27002</v>
      </c>
      <c r="C253" s="5" t="str">
        <f aca="false">DEMAND_MODEL!C253</f>
        <v>MTY BTL SPRAYER D6044848 1UN</v>
      </c>
      <c r="D253" s="5" t="str">
        <f aca="false">DEMAND_MODEL!G253</f>
        <v>Slow</v>
      </c>
      <c r="E253" s="5" t="n">
        <f aca="false">DEMAND_MODEL!K253</f>
        <v>0.142857142857143</v>
      </c>
      <c r="F253" s="5" t="n">
        <f aca="false">DEMAND_MODEL!L253</f>
        <v>0.428571428571429</v>
      </c>
      <c r="G253" s="5" t="n">
        <f aca="false">IFERROR(VLOOKUP(D253,SETTINGS!A14:B16,2,FALSE()),14)</f>
        <v>10</v>
      </c>
      <c r="H253" s="5" t="n">
        <f aca="false">E253*(LeadTime+ReorderCycle+SafetyDays)</f>
        <v>1.85714285714286</v>
      </c>
      <c r="I253" s="5" t="n">
        <f aca="false">F253*(LeadTime+ReorderCycle+SafetyDays)</f>
        <v>5.57142857142857</v>
      </c>
      <c r="J253" s="5" t="n">
        <f aca="false">IF(D253="Slow",MIN(H253,SlowMoverCap),H253)</f>
        <v>1.85714285714286</v>
      </c>
      <c r="K253" s="5" t="n">
        <f aca="false">IF(D253="Slow",MIN(I253,SlowMoverCap),I253)</f>
        <v>5.57142857142857</v>
      </c>
    </row>
    <row r="254" customFormat="false" ht="15" hidden="false" customHeight="false" outlineLevel="0" collapsed="false">
      <c r="A254" s="5" t="n">
        <f aca="false">DEMAND_MODEL!A254</f>
        <v>253</v>
      </c>
      <c r="B254" s="5" t="n">
        <f aca="false">DEMAND_MODEL!B254</f>
        <v>27003</v>
      </c>
      <c r="C254" s="5" t="str">
        <f aca="false">DEMAND_MODEL!C254</f>
        <v>MTY TRIGGER SPRAYER HEAD 1UN</v>
      </c>
      <c r="D254" s="5" t="str">
        <f aca="false">DEMAND_MODEL!G254</f>
        <v>Slow</v>
      </c>
      <c r="E254" s="5" t="n">
        <f aca="false">DEMAND_MODEL!K254</f>
        <v>0.428571428571429</v>
      </c>
      <c r="F254" s="5" t="n">
        <f aca="false">DEMAND_MODEL!L254</f>
        <v>0.142857142857143</v>
      </c>
      <c r="G254" s="5" t="n">
        <f aca="false">IFERROR(VLOOKUP(D254,SETTINGS!A14:B16,2,FALSE()),14)</f>
        <v>10</v>
      </c>
      <c r="H254" s="5" t="n">
        <f aca="false">E254*(LeadTime+ReorderCycle+SafetyDays)</f>
        <v>5.57142857142857</v>
      </c>
      <c r="I254" s="5" t="n">
        <f aca="false">F254*(LeadTime+ReorderCycle+SafetyDays)</f>
        <v>1.85714285714286</v>
      </c>
      <c r="J254" s="5" t="n">
        <f aca="false">IF(D254="Slow",MIN(H254,SlowMoverCap),H254)</f>
        <v>5.57142857142857</v>
      </c>
      <c r="K254" s="5" t="n">
        <f aca="false">IF(D254="Slow",MIN(I254,SlowMoverCap),I254)</f>
        <v>1.85714285714286</v>
      </c>
    </row>
    <row r="255" customFormat="false" ht="15" hidden="false" customHeight="false" outlineLevel="0" collapsed="false">
      <c r="A255" s="5" t="n">
        <f aca="false">DEMAND_MODEL!A255</f>
        <v>254</v>
      </c>
      <c r="B255" s="5" t="n">
        <f aca="false">DEMAND_MODEL!B255</f>
        <v>28530</v>
      </c>
      <c r="C255" s="5" t="str">
        <f aca="false">DEMAND_MODEL!C255</f>
        <v>9 MTY DOSAGE PUMP HAND 4LJUG 1OZ X1</v>
      </c>
      <c r="D255" s="5" t="str">
        <f aca="false">DEMAND_MODEL!G255</f>
        <v>Slow</v>
      </c>
      <c r="E255" s="5" t="n">
        <f aca="false">DEMAND_MODEL!K255</f>
        <v>0.285714285714286</v>
      </c>
      <c r="F255" s="5" t="n">
        <f aca="false">DEMAND_MODEL!L255</f>
        <v>0.142857142857143</v>
      </c>
      <c r="G255" s="5" t="n">
        <f aca="false">IFERROR(VLOOKUP(D255,SETTINGS!A14:B16,2,FALSE()),14)</f>
        <v>10</v>
      </c>
      <c r="H255" s="5" t="n">
        <f aca="false">E255*(LeadTime+ReorderCycle+SafetyDays)</f>
        <v>3.71428571428571</v>
      </c>
      <c r="I255" s="5" t="n">
        <f aca="false">F255*(LeadTime+ReorderCycle+SafetyDays)</f>
        <v>1.85714285714286</v>
      </c>
      <c r="J255" s="5" t="n">
        <f aca="false">IF(D255="Slow",MIN(H255,SlowMoverCap),H255)</f>
        <v>3.71428571428571</v>
      </c>
      <c r="K255" s="5" t="n">
        <f aca="false">IF(D255="Slow",MIN(I255,SlowMoverCap),I255)</f>
        <v>1.85714285714286</v>
      </c>
    </row>
    <row r="256" customFormat="false" ht="15" hidden="false" customHeight="false" outlineLevel="0" collapsed="false">
      <c r="A256" s="5" t="n">
        <f aca="false">DEMAND_MODEL!A256</f>
        <v>255</v>
      </c>
      <c r="B256" s="5" t="n">
        <f aca="false">DEMAND_MODEL!B256</f>
        <v>28529</v>
      </c>
      <c r="C256" s="5" t="str">
        <f aca="false">DEMAND_MODEL!C256</f>
        <v>9 MTY DOSAGE PUMP 1/8 OZ GAL X1</v>
      </c>
      <c r="D256" s="5" t="str">
        <f aca="false">DEMAND_MODEL!G256</f>
        <v>Slow</v>
      </c>
      <c r="E256" s="5" t="n">
        <f aca="false">DEMAND_MODEL!K256</f>
        <v>0.142857142857143</v>
      </c>
      <c r="F256" s="5" t="n">
        <f aca="false">DEMAND_MODEL!L256</f>
        <v>0.428571428571429</v>
      </c>
      <c r="G256" s="5" t="n">
        <f aca="false">IFERROR(VLOOKUP(D256,SETTINGS!A14:B16,2,FALSE()),14)</f>
        <v>10</v>
      </c>
      <c r="H256" s="5" t="n">
        <f aca="false">E256*(LeadTime+ReorderCycle+SafetyDays)</f>
        <v>1.85714285714286</v>
      </c>
      <c r="I256" s="5" t="n">
        <f aca="false">F256*(LeadTime+ReorderCycle+SafetyDays)</f>
        <v>5.57142857142857</v>
      </c>
      <c r="J256" s="5" t="n">
        <f aca="false">IF(D256="Slow",MIN(H256,SlowMoverCap),H256)</f>
        <v>1.85714285714286</v>
      </c>
      <c r="K256" s="5" t="n">
        <f aca="false">IF(D256="Slow",MIN(I256,SlowMoverCap),I256)</f>
        <v>5.57142857142857</v>
      </c>
    </row>
    <row r="257" customFormat="false" ht="15" hidden="false" customHeight="false" outlineLevel="0" collapsed="false">
      <c r="A257" s="5" t="n">
        <f aca="false">DEMAND_MODEL!A257</f>
        <v>256</v>
      </c>
      <c r="B257" s="5" t="n">
        <f aca="false">DEMAND_MODEL!B257</f>
        <v>29153</v>
      </c>
      <c r="C257" s="5" t="str">
        <f aca="false">DEMAND_MODEL!C257</f>
        <v>BEV P.LEAF GRN TEA/HONEY 12X547ML</v>
      </c>
      <c r="D257" s="5" t="str">
        <f aca="false">DEMAND_MODEL!G257</f>
        <v>Medium</v>
      </c>
      <c r="E257" s="5" t="n">
        <f aca="false">DEMAND_MODEL!K257</f>
        <v>0.714285714285714</v>
      </c>
      <c r="F257" s="5" t="n">
        <f aca="false">DEMAND_MODEL!L257</f>
        <v>0.285714285714286</v>
      </c>
      <c r="G257" s="5" t="n">
        <f aca="false">IFERROR(VLOOKUP(D257,SETTINGS!A14:B16,2,FALSE()),14)</f>
        <v>14</v>
      </c>
      <c r="H257" s="5" t="n">
        <f aca="false">E257*(LeadTime+ReorderCycle+SafetyDays)</f>
        <v>9.28571428571429</v>
      </c>
      <c r="I257" s="5" t="n">
        <f aca="false">F257*(LeadTime+ReorderCycle+SafetyDays)</f>
        <v>3.71428571428571</v>
      </c>
      <c r="J257" s="5" t="n">
        <f aca="false">IF(D257="Slow",MIN(H257,SlowMoverCap),H257)</f>
        <v>9.28571428571429</v>
      </c>
      <c r="K257" s="5" t="n">
        <f aca="false">IF(D257="Slow",MIN(I257,SlowMoverCap),I257)</f>
        <v>3.71428571428571</v>
      </c>
    </row>
    <row r="258" customFormat="false" ht="15" hidden="false" customHeight="false" outlineLevel="0" collapsed="false">
      <c r="A258" s="5" t="n">
        <f aca="false">DEMAND_MODEL!A258</f>
        <v>257</v>
      </c>
      <c r="B258" s="5" t="n">
        <f aca="false">DEMAND_MODEL!B258</f>
        <v>29154</v>
      </c>
      <c r="C258" s="5" t="str">
        <f aca="false">DEMAND_MODEL!C258</f>
        <v>BEV P.LEAF LEMON TEA  12X547ML</v>
      </c>
      <c r="D258" s="5" t="str">
        <f aca="false">DEMAND_MODEL!G258</f>
        <v>Medium</v>
      </c>
      <c r="E258" s="5" t="n">
        <f aca="false">DEMAND_MODEL!K258</f>
        <v>0.714285714285714</v>
      </c>
      <c r="F258" s="5" t="n">
        <f aca="false">DEMAND_MODEL!L258</f>
        <v>0.142857142857143</v>
      </c>
      <c r="G258" s="5" t="n">
        <f aca="false">IFERROR(VLOOKUP(D258,SETTINGS!A14:B16,2,FALSE()),14)</f>
        <v>14</v>
      </c>
      <c r="H258" s="5" t="n">
        <f aca="false">E258*(LeadTime+ReorderCycle+SafetyDays)</f>
        <v>9.28571428571429</v>
      </c>
      <c r="I258" s="5" t="n">
        <f aca="false">F258*(LeadTime+ReorderCycle+SafetyDays)</f>
        <v>1.85714285714286</v>
      </c>
      <c r="J258" s="5" t="n">
        <f aca="false">IF(D258="Slow",MIN(H258,SlowMoverCap),H258)</f>
        <v>9.28571428571429</v>
      </c>
      <c r="K258" s="5" t="n">
        <f aca="false">IF(D258="Slow",MIN(I258,SlowMoverCap),I258)</f>
        <v>1.85714285714286</v>
      </c>
    </row>
    <row r="259" customFormat="false" ht="15" hidden="false" customHeight="false" outlineLevel="0" collapsed="false">
      <c r="A259" s="5" t="n">
        <f aca="false">DEMAND_MODEL!A259</f>
        <v>258</v>
      </c>
      <c r="B259" s="5" t="n">
        <f aca="false">DEMAND_MODEL!B259</f>
        <v>14130</v>
      </c>
      <c r="C259" s="5" t="str">
        <f aca="false">DEMAND_MODEL!C259</f>
        <v>9 BEV STARBKS TRP SHOT MOCHA 12X444</v>
      </c>
      <c r="D259" s="5" t="str">
        <f aca="false">DEMAND_MODEL!G259</f>
        <v>Medium</v>
      </c>
      <c r="E259" s="5" t="n">
        <f aca="false">DEMAND_MODEL!K259</f>
        <v>0.285714285714286</v>
      </c>
      <c r="F259" s="5" t="n">
        <f aca="false">DEMAND_MODEL!L259</f>
        <v>0.285714285714286</v>
      </c>
      <c r="G259" s="5" t="n">
        <f aca="false">IFERROR(VLOOKUP(D259,SETTINGS!A14:B16,2,FALSE()),14)</f>
        <v>14</v>
      </c>
      <c r="H259" s="5" t="n">
        <f aca="false">E259*(LeadTime+ReorderCycle+SafetyDays)</f>
        <v>3.71428571428571</v>
      </c>
      <c r="I259" s="5" t="n">
        <f aca="false">F259*(LeadTime+ReorderCycle+SafetyDays)</f>
        <v>3.71428571428571</v>
      </c>
      <c r="J259" s="5" t="n">
        <f aca="false">IF(D259="Slow",MIN(H259,SlowMoverCap),H259)</f>
        <v>3.71428571428571</v>
      </c>
      <c r="K259" s="5" t="n">
        <f aca="false">IF(D259="Slow",MIN(I259,SlowMoverCap),I259)</f>
        <v>3.71428571428571</v>
      </c>
    </row>
    <row r="260" customFormat="false" ht="15" hidden="false" customHeight="false" outlineLevel="0" collapsed="false">
      <c r="A260" s="5" t="n">
        <f aca="false">DEMAND_MODEL!A260</f>
        <v>259</v>
      </c>
      <c r="B260" s="5" t="n">
        <f aca="false">DEMAND_MODEL!B260</f>
        <v>14131</v>
      </c>
      <c r="C260" s="5" t="str">
        <f aca="false">DEMAND_MODEL!C260</f>
        <v>9 BEV STARBUCKS DBL SHOT VAN 12X444</v>
      </c>
      <c r="D260" s="5" t="str">
        <f aca="false">DEMAND_MODEL!G260</f>
        <v>Medium</v>
      </c>
      <c r="E260" s="5" t="n">
        <f aca="false">DEMAND_MODEL!K260</f>
        <v>0.285714285714286</v>
      </c>
      <c r="F260" s="5" t="n">
        <f aca="false">DEMAND_MODEL!L260</f>
        <v>0.285714285714286</v>
      </c>
      <c r="G260" s="5" t="n">
        <f aca="false">IFERROR(VLOOKUP(D260,SETTINGS!A14:B16,2,FALSE()),14)</f>
        <v>14</v>
      </c>
      <c r="H260" s="5" t="n">
        <f aca="false">E260*(LeadTime+ReorderCycle+SafetyDays)</f>
        <v>3.71428571428571</v>
      </c>
      <c r="I260" s="5" t="n">
        <f aca="false">F260*(LeadTime+ReorderCycle+SafetyDays)</f>
        <v>3.71428571428571</v>
      </c>
      <c r="J260" s="5" t="n">
        <f aca="false">IF(D260="Slow",MIN(H260,SlowMoverCap),H260)</f>
        <v>3.71428571428571</v>
      </c>
      <c r="K260" s="5" t="n">
        <f aca="false">IF(D260="Slow",MIN(I260,SlowMoverCap),I260)</f>
        <v>3.71428571428571</v>
      </c>
    </row>
    <row r="261" customFormat="false" ht="15" hidden="false" customHeight="false" outlineLevel="0" collapsed="false">
      <c r="A261" s="5" t="n">
        <f aca="false">DEMAND_MODEL!A261</f>
        <v>260</v>
      </c>
      <c r="B261" s="5" t="n">
        <f aca="false">DEMAND_MODEL!B261</f>
        <v>52342</v>
      </c>
      <c r="C261" s="5" t="str">
        <f aca="false">DEMAND_MODEL!C261</f>
        <v>BEV ROOT BEER MUG CAN 12X355ML</v>
      </c>
      <c r="D261" s="5" t="str">
        <f aca="false">DEMAND_MODEL!G261</f>
        <v>Medium</v>
      </c>
      <c r="E261" s="5" t="n">
        <f aca="false">DEMAND_MODEL!K261</f>
        <v>0.285714285714286</v>
      </c>
      <c r="F261" s="5" t="n">
        <f aca="false">DEMAND_MODEL!L261</f>
        <v>0.142857142857143</v>
      </c>
      <c r="G261" s="5" t="n">
        <f aca="false">IFERROR(VLOOKUP(D261,SETTINGS!A14:B16,2,FALSE()),14)</f>
        <v>14</v>
      </c>
      <c r="H261" s="5" t="n">
        <f aca="false">E261*(LeadTime+ReorderCycle+SafetyDays)</f>
        <v>3.71428571428571</v>
      </c>
      <c r="I261" s="5" t="n">
        <f aca="false">F261*(LeadTime+ReorderCycle+SafetyDays)</f>
        <v>1.85714285714286</v>
      </c>
      <c r="J261" s="5" t="n">
        <f aca="false">IF(D261="Slow",MIN(H261,SlowMoverCap),H261)</f>
        <v>3.71428571428571</v>
      </c>
      <c r="K261" s="5" t="n">
        <f aca="false">IF(D261="Slow",MIN(I261,SlowMoverCap),I261)</f>
        <v>1.85714285714286</v>
      </c>
    </row>
    <row r="262" customFormat="false" ht="15" hidden="false" customHeight="false" outlineLevel="0" collapsed="false">
      <c r="A262" s="5" t="n">
        <f aca="false">DEMAND_MODEL!A262</f>
        <v>261</v>
      </c>
      <c r="B262" s="5" t="n">
        <f aca="false">DEMAND_MODEL!B262</f>
        <v>52349</v>
      </c>
      <c r="C262" s="5" t="str">
        <f aca="false">DEMAND_MODEL!C262</f>
        <v>BEV ORANGE CRUSH CAN 12X355ML</v>
      </c>
      <c r="D262" s="5" t="str">
        <f aca="false">DEMAND_MODEL!G262</f>
        <v>Medium</v>
      </c>
      <c r="E262" s="5" t="n">
        <f aca="false">DEMAND_MODEL!K262</f>
        <v>0.714285714285714</v>
      </c>
      <c r="F262" s="5" t="n">
        <f aca="false">DEMAND_MODEL!L262</f>
        <v>0.285714285714286</v>
      </c>
      <c r="G262" s="5" t="n">
        <f aca="false">IFERROR(VLOOKUP(D262,SETTINGS!A14:B16,2,FALSE()),14)</f>
        <v>14</v>
      </c>
      <c r="H262" s="5" t="n">
        <f aca="false">E262*(LeadTime+ReorderCycle+SafetyDays)</f>
        <v>9.28571428571429</v>
      </c>
      <c r="I262" s="5" t="n">
        <f aca="false">F262*(LeadTime+ReorderCycle+SafetyDays)</f>
        <v>3.71428571428571</v>
      </c>
      <c r="J262" s="5" t="n">
        <f aca="false">IF(D262="Slow",MIN(H262,SlowMoverCap),H262)</f>
        <v>9.28571428571429</v>
      </c>
      <c r="K262" s="5" t="n">
        <f aca="false">IF(D262="Slow",MIN(I262,SlowMoverCap),I262)</f>
        <v>3.71428571428571</v>
      </c>
    </row>
    <row r="263" customFormat="false" ht="15" hidden="false" customHeight="false" outlineLevel="0" collapsed="false">
      <c r="A263" s="5" t="n">
        <f aca="false">DEMAND_MODEL!A263</f>
        <v>262</v>
      </c>
      <c r="B263" s="5" t="n">
        <f aca="false">DEMAND_MODEL!B263</f>
        <v>61804</v>
      </c>
      <c r="C263" s="5" t="str">
        <f aca="false">DEMAND_MODEL!C263</f>
        <v>LADIP BOX POPCORN 6X2.75X8.5  100</v>
      </c>
      <c r="D263" s="5" t="str">
        <f aca="false">DEMAND_MODEL!G263</f>
        <v>Slow</v>
      </c>
      <c r="E263" s="5" t="n">
        <f aca="false">DEMAND_MODEL!K263</f>
        <v>0.428571428571429</v>
      </c>
      <c r="F263" s="5" t="n">
        <f aca="false">DEMAND_MODEL!L263</f>
        <v>0.142857142857143</v>
      </c>
      <c r="G263" s="5" t="n">
        <f aca="false">IFERROR(VLOOKUP(D263,SETTINGS!A14:B16,2,FALSE()),14)</f>
        <v>10</v>
      </c>
      <c r="H263" s="5" t="n">
        <f aca="false">E263*(LeadTime+ReorderCycle+SafetyDays)</f>
        <v>5.57142857142857</v>
      </c>
      <c r="I263" s="5" t="n">
        <f aca="false">F263*(LeadTime+ReorderCycle+SafetyDays)</f>
        <v>1.85714285714286</v>
      </c>
      <c r="J263" s="5" t="n">
        <f aca="false">IF(D263="Slow",MIN(H263,SlowMoverCap),H263)</f>
        <v>5.57142857142857</v>
      </c>
      <c r="K263" s="5" t="n">
        <f aca="false">IF(D263="Slow",MIN(I263,SlowMoverCap),I263)</f>
        <v>1.85714285714286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19" min="4" style="0" width="14"/>
  </cols>
  <sheetData>
    <row r="1" customFormat="false" ht="26.8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495</v>
      </c>
      <c r="E1" s="4" t="s">
        <v>556</v>
      </c>
      <c r="F1" s="4" t="s">
        <v>557</v>
      </c>
      <c r="G1" s="4" t="s">
        <v>575</v>
      </c>
      <c r="H1" s="4" t="s">
        <v>576</v>
      </c>
      <c r="I1" s="4" t="s">
        <v>577</v>
      </c>
      <c r="J1" s="4" t="s">
        <v>578</v>
      </c>
      <c r="K1" s="4" t="s">
        <v>579</v>
      </c>
      <c r="L1" s="4" t="s">
        <v>580</v>
      </c>
      <c r="M1" s="4" t="s">
        <v>581</v>
      </c>
      <c r="N1" s="4" t="s">
        <v>582</v>
      </c>
      <c r="O1" s="4" t="s">
        <v>583</v>
      </c>
      <c r="P1" s="4" t="s">
        <v>584</v>
      </c>
      <c r="Q1" s="4" t="s">
        <v>585</v>
      </c>
      <c r="R1" s="4" t="s">
        <v>586</v>
      </c>
      <c r="S1" s="4" t="s">
        <v>587</v>
      </c>
    </row>
    <row r="2" customFormat="false" ht="15" hidden="false" customHeight="false" outlineLevel="0" collapsed="false">
      <c r="A2" s="5" t="n">
        <f aca="false">ITEM_MASTER_CLEAN!A2</f>
        <v>1</v>
      </c>
      <c r="B2" s="5" t="n">
        <f aca="false">ITEM_MASTER_CLEAN!B2</f>
        <v>62966</v>
      </c>
      <c r="C2" s="5" t="str">
        <f aca="false">ITEM_MASTER_CLEAN!C2</f>
        <v>9 CAKE WHITE LAYER 8" 24X354G</v>
      </c>
      <c r="D2" s="12" t="n">
        <f aca="false">ITEM_MASTER_CLEAN!F2</f>
        <v>60.84</v>
      </c>
      <c r="E2" s="5" t="n">
        <f aca="false">ITEM_MASTER_CLEAN!H2</f>
        <v>1</v>
      </c>
      <c r="F2" s="5" t="n">
        <f aca="false">ITEM_MASTER_CLEAN!I2</f>
        <v>5</v>
      </c>
      <c r="G2" s="5" t="n">
        <f aca="false">PAR_LEVELS!J2</f>
        <v>1.85714285714286</v>
      </c>
      <c r="H2" s="5" t="n">
        <f aca="false">PAR_LEVELS!K2</f>
        <v>5.57142857142857</v>
      </c>
      <c r="I2" s="5" t="n">
        <f aca="false">MAX(E2-G2,0)</f>
        <v>0</v>
      </c>
      <c r="J2" s="5" t="n">
        <f aca="false">MAX(F2-H2,0)</f>
        <v>0</v>
      </c>
      <c r="K2" s="5" t="n">
        <f aca="false">MAX(G2-E2,0)</f>
        <v>0.857142857142857</v>
      </c>
      <c r="L2" s="5" t="n">
        <f aca="false">MAX(H2-F2,0)</f>
        <v>0.571428571428571</v>
      </c>
      <c r="M2" s="5" t="str">
        <f aca="false">IF(AND(I2&gt;TransferMin,L2&gt;0),"OAK→HP",IF(AND(J2&gt;TransferMin,K2&gt;0),"HP→OAK","None"))</f>
        <v>None</v>
      </c>
      <c r="N2" s="5" t="n">
        <f aca="false">IF(M2="OAK→HP",MIN(I2,L2),IF(M2="HP→OAK",MIN(J2,K2),0))</f>
        <v>0</v>
      </c>
      <c r="O2" s="5" t="n">
        <f aca="false">MAX(K2-IF(M2="HP→OAK",N2,0),0)</f>
        <v>0.857142857142857</v>
      </c>
      <c r="P2" s="5" t="n">
        <f aca="false">MAX(L2-IF(M2="OAK→HP",N2,0),0)</f>
        <v>0.571428571428571</v>
      </c>
      <c r="Q2" s="5" t="n">
        <f aca="false">IF(O2&gt;0,CEILING(O2,ITEM_MASTER_CLEAN!G2),0)</f>
        <v>24</v>
      </c>
      <c r="R2" s="5" t="n">
        <f aca="false">IF(P2&gt;0,CEILING(P2,ITEM_MASTER_CLEAN!G2),0)</f>
        <v>24</v>
      </c>
      <c r="S2" s="5" t="n">
        <f aca="false">IF(G2=0,0,(1-MIN(E2/MAX(G2,1),1))*50+(1-MIN(F2/MAX(H2,1),1))*50)</f>
        <v>28.2051282051282</v>
      </c>
    </row>
    <row r="3" customFormat="false" ht="15" hidden="false" customHeight="false" outlineLevel="0" collapsed="false">
      <c r="A3" s="5" t="n">
        <f aca="false">ITEM_MASTER_CLEAN!A3</f>
        <v>2</v>
      </c>
      <c r="B3" s="5" t="n">
        <f aca="false">ITEM_MASTER_CLEAN!B3</f>
        <v>62967</v>
      </c>
      <c r="C3" s="5" t="str">
        <f aca="false">ITEM_MASTER_CLEAN!C3</f>
        <v>9 CAKE CHOC LAYER 8" 24X354G</v>
      </c>
      <c r="D3" s="12" t="n">
        <f aca="false">ITEM_MASTER_CLEAN!F3</f>
        <v>23.82</v>
      </c>
      <c r="E3" s="5" t="n">
        <f aca="false">ITEM_MASTER_CLEAN!H3</f>
        <v>11</v>
      </c>
      <c r="F3" s="5" t="n">
        <f aca="false">ITEM_MASTER_CLEAN!I3</f>
        <v>0</v>
      </c>
      <c r="G3" s="5" t="n">
        <f aca="false">PAR_LEVELS!J3</f>
        <v>7.42857142857143</v>
      </c>
      <c r="H3" s="5" t="n">
        <f aca="false">PAR_LEVELS!K3</f>
        <v>1.85714285714286</v>
      </c>
      <c r="I3" s="5" t="n">
        <f aca="false">MAX(E3-G3,0)</f>
        <v>3.57142857142857</v>
      </c>
      <c r="J3" s="5" t="n">
        <f aca="false">MAX(F3-H3,0)</f>
        <v>0</v>
      </c>
      <c r="K3" s="5" t="n">
        <f aca="false">MAX(G3-E3,0)</f>
        <v>0</v>
      </c>
      <c r="L3" s="5" t="n">
        <f aca="false">MAX(H3-F3,0)</f>
        <v>1.85714285714286</v>
      </c>
      <c r="M3" s="5" t="str">
        <f aca="false">IF(AND(I3&gt;TransferMin,L3&gt;0),"OAK→HP",IF(AND(J3&gt;TransferMin,K3&gt;0),"HP→OAK","None"))</f>
        <v>None</v>
      </c>
      <c r="N3" s="5" t="n">
        <f aca="false">IF(M3="OAK→HP",MIN(I3,L3),IF(M3="HP→OAK",MIN(J3,K3),0))</f>
        <v>0</v>
      </c>
      <c r="O3" s="5" t="n">
        <f aca="false">MAX(K3-IF(M3="HP→OAK",N3,0),0)</f>
        <v>0</v>
      </c>
      <c r="P3" s="5" t="n">
        <f aca="false">MAX(L3-IF(M3="OAK→HP",N3,0),0)</f>
        <v>1.85714285714286</v>
      </c>
      <c r="Q3" s="5" t="n">
        <f aca="false">IF(O3&gt;0,CEILING(O3,ITEM_MASTER_CLEAN!G3),0)</f>
        <v>0</v>
      </c>
      <c r="R3" s="5" t="n">
        <f aca="false">IF(P3&gt;0,CEILING(P3,ITEM_MASTER_CLEAN!G3),0)</f>
        <v>24</v>
      </c>
      <c r="S3" s="5" t="n">
        <f aca="false">IF(G3=0,0,(1-MIN(E3/MAX(G3,1),1))*50+(1-MIN(F3/MAX(H3,1),1))*50)</f>
        <v>50</v>
      </c>
    </row>
    <row r="4" customFormat="false" ht="15" hidden="false" customHeight="false" outlineLevel="0" collapsed="false">
      <c r="A4" s="5" t="n">
        <f aca="false">ITEM_MASTER_CLEAN!A4</f>
        <v>3</v>
      </c>
      <c r="B4" s="5" t="n">
        <f aca="false">ITEM_MASTER_CLEAN!B4</f>
        <v>62963</v>
      </c>
      <c r="C4" s="5" t="str">
        <f aca="false">ITEM_MASTER_CLEAN!C4</f>
        <v>ICING PRE-WHIPPED VANILLA 6.8K</v>
      </c>
      <c r="D4" s="12" t="n">
        <f aca="false">ITEM_MASTER_CLEAN!F4</f>
        <v>54.51</v>
      </c>
      <c r="E4" s="5" t="n">
        <f aca="false">ITEM_MASTER_CLEAN!H4</f>
        <v>9</v>
      </c>
      <c r="F4" s="5" t="n">
        <f aca="false">ITEM_MASTER_CLEAN!I4</f>
        <v>6</v>
      </c>
      <c r="G4" s="5" t="n">
        <f aca="false">PAR_LEVELS!J4</f>
        <v>3.71428571428571</v>
      </c>
      <c r="H4" s="5" t="n">
        <f aca="false">PAR_LEVELS!K4</f>
        <v>3.71428571428571</v>
      </c>
      <c r="I4" s="5" t="n">
        <f aca="false">MAX(E4-G4,0)</f>
        <v>5.28571428571429</v>
      </c>
      <c r="J4" s="5" t="n">
        <f aca="false">MAX(F4-H4,0)</f>
        <v>2.28571428571429</v>
      </c>
      <c r="K4" s="5" t="n">
        <f aca="false">MAX(G4-E4,0)</f>
        <v>0</v>
      </c>
      <c r="L4" s="5" t="n">
        <f aca="false">MAX(H4-F4,0)</f>
        <v>0</v>
      </c>
      <c r="M4" s="5" t="str">
        <f aca="false">IF(AND(I4&gt;TransferMin,L4&gt;0),"OAK→HP",IF(AND(J4&gt;TransferMin,K4&gt;0),"HP→OAK","None"))</f>
        <v>None</v>
      </c>
      <c r="N4" s="5" t="n">
        <f aca="false">IF(M4="OAK→HP",MIN(I4,L4),IF(M4="HP→OAK",MIN(J4,K4),0))</f>
        <v>0</v>
      </c>
      <c r="O4" s="5" t="n">
        <f aca="false">MAX(K4-IF(M4="HP→OAK",N4,0),0)</f>
        <v>0</v>
      </c>
      <c r="P4" s="5" t="n">
        <f aca="false">MAX(L4-IF(M4="OAK→HP",N4,0),0)</f>
        <v>0</v>
      </c>
      <c r="Q4" s="5" t="n">
        <f aca="false">IF(O4&gt;0,CEILING(O4,ITEM_MASTER_CLEAN!G4),0)</f>
        <v>0</v>
      </c>
      <c r="R4" s="5" t="n">
        <f aca="false">IF(P4&gt;0,CEILING(P4,ITEM_MASTER_CLEAN!G4),0)</f>
        <v>0</v>
      </c>
      <c r="S4" s="5" t="n">
        <f aca="false">IF(G4=0,0,(1-MIN(E4/MAX(G4,1),1))*50+(1-MIN(F4/MAX(H4,1),1))*50)</f>
        <v>0</v>
      </c>
    </row>
    <row r="5" customFormat="false" ht="23.85" hidden="false" customHeight="false" outlineLevel="0" collapsed="false">
      <c r="A5" s="5" t="n">
        <f aca="false">ITEM_MASTER_CLEAN!A5</f>
        <v>4</v>
      </c>
      <c r="B5" s="5" t="n">
        <f aca="false">ITEM_MASTER_CLEAN!B5</f>
        <v>22400</v>
      </c>
      <c r="C5" s="5" t="str">
        <f aca="false">ITEM_MASTER_CLEAN!C5</f>
        <v>LADIP LABEL CHOCOLATE CAKE 1RLX50UN</v>
      </c>
      <c r="D5" s="12" t="n">
        <f aca="false">ITEM_MASTER_CLEAN!F5</f>
        <v>19.55</v>
      </c>
      <c r="E5" s="5" t="n">
        <f aca="false">ITEM_MASTER_CLEAN!H5</f>
        <v>4</v>
      </c>
      <c r="F5" s="5" t="n">
        <f aca="false">ITEM_MASTER_CLEAN!I5</f>
        <v>1</v>
      </c>
      <c r="G5" s="5" t="n">
        <f aca="false">PAR_LEVELS!J5</f>
        <v>5.57142857142857</v>
      </c>
      <c r="H5" s="5" t="n">
        <f aca="false">PAR_LEVELS!K5</f>
        <v>1.85714285714286</v>
      </c>
      <c r="I5" s="5" t="n">
        <f aca="false">MAX(E5-G5,0)</f>
        <v>0</v>
      </c>
      <c r="J5" s="5" t="n">
        <f aca="false">MAX(F5-H5,0)</f>
        <v>0</v>
      </c>
      <c r="K5" s="5" t="n">
        <f aca="false">MAX(G5-E5,0)</f>
        <v>1.57142857142857</v>
      </c>
      <c r="L5" s="5" t="n">
        <f aca="false">MAX(H5-F5,0)</f>
        <v>0.857142857142857</v>
      </c>
      <c r="M5" s="5" t="str">
        <f aca="false">IF(AND(I5&gt;TransferMin,L5&gt;0),"OAK→HP",IF(AND(J5&gt;TransferMin,K5&gt;0),"HP→OAK","None"))</f>
        <v>None</v>
      </c>
      <c r="N5" s="5" t="n">
        <f aca="false">IF(M5="OAK→HP",MIN(I5,L5),IF(M5="HP→OAK",MIN(J5,K5),0))</f>
        <v>0</v>
      </c>
      <c r="O5" s="5" t="n">
        <f aca="false">MAX(K5-IF(M5="HP→OAK",N5,0),0)</f>
        <v>1.57142857142857</v>
      </c>
      <c r="P5" s="5" t="n">
        <f aca="false">MAX(L5-IF(M5="OAK→HP",N5,0),0)</f>
        <v>0.857142857142857</v>
      </c>
      <c r="Q5" s="5" t="n">
        <f aca="false">IF(O5&gt;0,CEILING(O5,ITEM_MASTER_CLEAN!G5),0)</f>
        <v>2</v>
      </c>
      <c r="R5" s="5" t="n">
        <f aca="false">IF(P5&gt;0,CEILING(P5,ITEM_MASTER_CLEAN!G5),0)</f>
        <v>1</v>
      </c>
      <c r="S5" s="5" t="n">
        <f aca="false">IF(G5=0,0,(1-MIN(E5/MAX(G5,1),1))*50+(1-MIN(F5/MAX(H5,1),1))*50)</f>
        <v>37.1794871794872</v>
      </c>
    </row>
    <row r="6" customFormat="false" ht="15" hidden="false" customHeight="false" outlineLevel="0" collapsed="false">
      <c r="A6" s="5" t="n">
        <f aca="false">ITEM_MASTER_CLEAN!A6</f>
        <v>5</v>
      </c>
      <c r="B6" s="5" t="n">
        <f aca="false">ITEM_MASTER_CLEAN!B6</f>
        <v>22401</v>
      </c>
      <c r="C6" s="5" t="str">
        <f aca="false">ITEM_MASTER_CLEAN!C6</f>
        <v>LADIP LABEL BIRTHDAY CAKE 1RLX50UN</v>
      </c>
      <c r="D6" s="12" t="n">
        <f aca="false">ITEM_MASTER_CLEAN!F6</f>
        <v>23.36</v>
      </c>
      <c r="E6" s="5" t="n">
        <f aca="false">ITEM_MASTER_CLEAN!H6</f>
        <v>18</v>
      </c>
      <c r="F6" s="5" t="n">
        <f aca="false">ITEM_MASTER_CLEAN!I6</f>
        <v>4</v>
      </c>
      <c r="G6" s="5" t="n">
        <f aca="false">PAR_LEVELS!J6</f>
        <v>7.42857142857143</v>
      </c>
      <c r="H6" s="5" t="n">
        <f aca="false">PAR_LEVELS!K6</f>
        <v>1.85714285714286</v>
      </c>
      <c r="I6" s="5" t="n">
        <f aca="false">MAX(E6-G6,0)</f>
        <v>10.5714285714286</v>
      </c>
      <c r="J6" s="5" t="n">
        <f aca="false">MAX(F6-H6,0)</f>
        <v>2.14285714285714</v>
      </c>
      <c r="K6" s="5" t="n">
        <f aca="false">MAX(G6-E6,0)</f>
        <v>0</v>
      </c>
      <c r="L6" s="5" t="n">
        <f aca="false">MAX(H6-F6,0)</f>
        <v>0</v>
      </c>
      <c r="M6" s="5" t="str">
        <f aca="false">IF(AND(I6&gt;TransferMin,L6&gt;0),"OAK→HP",IF(AND(J6&gt;TransferMin,K6&gt;0),"HP→OAK","None"))</f>
        <v>None</v>
      </c>
      <c r="N6" s="5" t="n">
        <f aca="false">IF(M6="OAK→HP",MIN(I6,L6),IF(M6="HP→OAK",MIN(J6,K6),0))</f>
        <v>0</v>
      </c>
      <c r="O6" s="5" t="n">
        <f aca="false">MAX(K6-IF(M6="HP→OAK",N6,0),0)</f>
        <v>0</v>
      </c>
      <c r="P6" s="5" t="n">
        <f aca="false">MAX(L6-IF(M6="OAK→HP",N6,0),0)</f>
        <v>0</v>
      </c>
      <c r="Q6" s="5" t="n">
        <f aca="false">IF(O6&gt;0,CEILING(O6,ITEM_MASTER_CLEAN!G6),0)</f>
        <v>0</v>
      </c>
      <c r="R6" s="5" t="n">
        <f aca="false">IF(P6&gt;0,CEILING(P6,ITEM_MASTER_CLEAN!G6),0)</f>
        <v>0</v>
      </c>
      <c r="S6" s="5" t="n">
        <f aca="false">IF(G6=0,0,(1-MIN(E6/MAX(G6,1),1))*50+(1-MIN(F6/MAX(H6,1),1))*50)</f>
        <v>0</v>
      </c>
    </row>
    <row r="7" customFormat="false" ht="15" hidden="false" customHeight="false" outlineLevel="0" collapsed="false">
      <c r="A7" s="5" t="n">
        <f aca="false">ITEM_MASTER_CLEAN!A7</f>
        <v>6</v>
      </c>
      <c r="B7" s="5" t="n">
        <f aca="false">ITEM_MASTER_CLEAN!B7</f>
        <v>22402</v>
      </c>
      <c r="C7" s="5" t="str">
        <f aca="false">ITEM_MASTER_CLEAN!C7</f>
        <v>LADIP LABEL COOKIE &amp; CREAM CAKE 1RL</v>
      </c>
      <c r="D7" s="12" t="n">
        <f aca="false">ITEM_MASTER_CLEAN!F7</f>
        <v>18.46</v>
      </c>
      <c r="E7" s="5" t="n">
        <f aca="false">ITEM_MASTER_CLEAN!H7</f>
        <v>3</v>
      </c>
      <c r="F7" s="5" t="n">
        <f aca="false">ITEM_MASTER_CLEAN!I7</f>
        <v>3</v>
      </c>
      <c r="G7" s="5" t="n">
        <f aca="false">PAR_LEVELS!J7</f>
        <v>3.71428571428571</v>
      </c>
      <c r="H7" s="5" t="n">
        <f aca="false">PAR_LEVELS!K7</f>
        <v>3.71428571428571</v>
      </c>
      <c r="I7" s="5" t="n">
        <f aca="false">MAX(E7-G7,0)</f>
        <v>0</v>
      </c>
      <c r="J7" s="5" t="n">
        <f aca="false">MAX(F7-H7,0)</f>
        <v>0</v>
      </c>
      <c r="K7" s="5" t="n">
        <f aca="false">MAX(G7-E7,0)</f>
        <v>0.714285714285714</v>
      </c>
      <c r="L7" s="5" t="n">
        <f aca="false">MAX(H7-F7,0)</f>
        <v>0.714285714285714</v>
      </c>
      <c r="M7" s="5" t="str">
        <f aca="false">IF(AND(I7&gt;TransferMin,L7&gt;0),"OAK→HP",IF(AND(J7&gt;TransferMin,K7&gt;0),"HP→OAK","None"))</f>
        <v>None</v>
      </c>
      <c r="N7" s="5" t="n">
        <f aca="false">IF(M7="OAK→HP",MIN(I7,L7),IF(M7="HP→OAK",MIN(J7,K7),0))</f>
        <v>0</v>
      </c>
      <c r="O7" s="5" t="n">
        <f aca="false">MAX(K7-IF(M7="HP→OAK",N7,0),0)</f>
        <v>0.714285714285714</v>
      </c>
      <c r="P7" s="5" t="n">
        <f aca="false">MAX(L7-IF(M7="OAK→HP",N7,0),0)</f>
        <v>0.714285714285714</v>
      </c>
      <c r="Q7" s="5" t="n">
        <f aca="false">IF(O7&gt;0,CEILING(O7,ITEM_MASTER_CLEAN!G7),0)</f>
        <v>1</v>
      </c>
      <c r="R7" s="5" t="n">
        <f aca="false">IF(P7&gt;0,CEILING(P7,ITEM_MASTER_CLEAN!G7),0)</f>
        <v>1</v>
      </c>
      <c r="S7" s="5" t="n">
        <f aca="false">IF(G7=0,0,(1-MIN(E7/MAX(G7,1),1))*50+(1-MIN(F7/MAX(H7,1),1))*50)</f>
        <v>19.2307692307692</v>
      </c>
    </row>
    <row r="8" customFormat="false" ht="15" hidden="false" customHeight="false" outlineLevel="0" collapsed="false">
      <c r="A8" s="5" t="n">
        <f aca="false">ITEM_MASTER_CLEAN!A8</f>
        <v>7</v>
      </c>
      <c r="B8" s="5" t="n">
        <f aca="false">ITEM_MASTER_CLEAN!B8</f>
        <v>22406</v>
      </c>
      <c r="C8" s="5" t="str">
        <f aca="false">ITEM_MASTER_CLEAN!C8</f>
        <v>LADIP LABEL SALTD CARAMEL CAKE 1RL</v>
      </c>
      <c r="D8" s="12" t="n">
        <f aca="false">ITEM_MASTER_CLEAN!F8</f>
        <v>19.63</v>
      </c>
      <c r="E8" s="5" t="n">
        <f aca="false">ITEM_MASTER_CLEAN!H8</f>
        <v>10</v>
      </c>
      <c r="F8" s="5" t="n">
        <f aca="false">ITEM_MASTER_CLEAN!I8</f>
        <v>0</v>
      </c>
      <c r="G8" s="5" t="n">
        <f aca="false">PAR_LEVELS!J8</f>
        <v>5.57142857142857</v>
      </c>
      <c r="H8" s="5" t="n">
        <f aca="false">PAR_LEVELS!K8</f>
        <v>1.85714285714286</v>
      </c>
      <c r="I8" s="5" t="n">
        <f aca="false">MAX(E8-G8,0)</f>
        <v>4.42857142857143</v>
      </c>
      <c r="J8" s="5" t="n">
        <f aca="false">MAX(F8-H8,0)</f>
        <v>0</v>
      </c>
      <c r="K8" s="5" t="n">
        <f aca="false">MAX(G8-E8,0)</f>
        <v>0</v>
      </c>
      <c r="L8" s="5" t="n">
        <f aca="false">MAX(H8-F8,0)</f>
        <v>1.85714285714286</v>
      </c>
      <c r="M8" s="5" t="str">
        <f aca="false">IF(AND(I8&gt;TransferMin,L8&gt;0),"OAK→HP",IF(AND(J8&gt;TransferMin,K8&gt;0),"HP→OAK","None"))</f>
        <v>None</v>
      </c>
      <c r="N8" s="5" t="n">
        <f aca="false">IF(M8="OAK→HP",MIN(I8,L8),IF(M8="HP→OAK",MIN(J8,K8),0))</f>
        <v>0</v>
      </c>
      <c r="O8" s="5" t="n">
        <f aca="false">MAX(K8-IF(M8="HP→OAK",N8,0),0)</f>
        <v>0</v>
      </c>
      <c r="P8" s="5" t="n">
        <f aca="false">MAX(L8-IF(M8="OAK→HP",N8,0),0)</f>
        <v>1.85714285714286</v>
      </c>
      <c r="Q8" s="5" t="n">
        <f aca="false">IF(O8&gt;0,CEILING(O8,ITEM_MASTER_CLEAN!G8),0)</f>
        <v>0</v>
      </c>
      <c r="R8" s="5" t="n">
        <f aca="false">IF(P8&gt;0,CEILING(P8,ITEM_MASTER_CLEAN!G8),0)</f>
        <v>2</v>
      </c>
      <c r="S8" s="5" t="n">
        <f aca="false">IF(G8=0,0,(1-MIN(E8/MAX(G8,1),1))*50+(1-MIN(F8/MAX(H8,1),1))*50)</f>
        <v>50</v>
      </c>
    </row>
    <row r="9" customFormat="false" ht="23.85" hidden="false" customHeight="false" outlineLevel="0" collapsed="false">
      <c r="A9" s="5" t="n">
        <f aca="false">ITEM_MASTER_CLEAN!A9</f>
        <v>8</v>
      </c>
      <c r="B9" s="5" t="n">
        <f aca="false">ITEM_MASTER_CLEAN!B9</f>
        <v>22407</v>
      </c>
      <c r="C9" s="5" t="str">
        <f aca="false">ITEM_MASTER_CLEAN!C9</f>
        <v>LADIP LABEL STRABERRY CAKE 1RLX50UN</v>
      </c>
      <c r="D9" s="12" t="n">
        <f aca="false">ITEM_MASTER_CLEAN!F9</f>
        <v>22.62</v>
      </c>
      <c r="E9" s="5" t="n">
        <f aca="false">ITEM_MASTER_CLEAN!H9</f>
        <v>1</v>
      </c>
      <c r="F9" s="5" t="n">
        <f aca="false">ITEM_MASTER_CLEAN!I9</f>
        <v>11</v>
      </c>
      <c r="G9" s="5" t="n">
        <f aca="false">PAR_LEVELS!J9</f>
        <v>5.57142857142857</v>
      </c>
      <c r="H9" s="5" t="n">
        <f aca="false">PAR_LEVELS!K9</f>
        <v>5.57142857142857</v>
      </c>
      <c r="I9" s="5" t="n">
        <f aca="false">MAX(E9-G9,0)</f>
        <v>0</v>
      </c>
      <c r="J9" s="5" t="n">
        <f aca="false">MAX(F9-H9,0)</f>
        <v>5.42857142857143</v>
      </c>
      <c r="K9" s="5" t="n">
        <f aca="false">MAX(G9-E9,0)</f>
        <v>4.57142857142857</v>
      </c>
      <c r="L9" s="5" t="n">
        <f aca="false">MAX(H9-F9,0)</f>
        <v>0</v>
      </c>
      <c r="M9" s="5" t="str">
        <f aca="false">IF(AND(I9&gt;TransferMin,L9&gt;0),"OAK→HP",IF(AND(J9&gt;TransferMin,K9&gt;0),"HP→OAK","None"))</f>
        <v>HP→OAK</v>
      </c>
      <c r="N9" s="5" t="n">
        <f aca="false">IF(M9="OAK→HP",MIN(I9,L9),IF(M9="HP→OAK",MIN(J9,K9),0))</f>
        <v>4.57142857142857</v>
      </c>
      <c r="O9" s="5" t="n">
        <f aca="false">MAX(K9-IF(M9="HP→OAK",N9,0),0)</f>
        <v>0</v>
      </c>
      <c r="P9" s="5" t="n">
        <f aca="false">MAX(L9-IF(M9="OAK→HP",N9,0),0)</f>
        <v>0</v>
      </c>
      <c r="Q9" s="5" t="n">
        <f aca="false">IF(O9&gt;0,CEILING(O9,ITEM_MASTER_CLEAN!G9),0)</f>
        <v>0</v>
      </c>
      <c r="R9" s="5" t="n">
        <f aca="false">IF(P9&gt;0,CEILING(P9,ITEM_MASTER_CLEAN!G9),0)</f>
        <v>0</v>
      </c>
      <c r="S9" s="5" t="n">
        <f aca="false">IF(G9=0,0,(1-MIN(E9/MAX(G9,1),1))*50+(1-MIN(F9/MAX(H9,1),1))*50)</f>
        <v>41.025641025641</v>
      </c>
    </row>
    <row r="10" customFormat="false" ht="15" hidden="false" customHeight="false" outlineLevel="0" collapsed="false">
      <c r="A10" s="5" t="n">
        <f aca="false">ITEM_MASTER_CLEAN!A10</f>
        <v>9</v>
      </c>
      <c r="B10" s="5" t="n">
        <f aca="false">ITEM_MASTER_CLEAN!B10</f>
        <v>25800</v>
      </c>
      <c r="C10" s="5" t="str">
        <f aca="false">ITEM_MASTER_CLEAN!C10</f>
        <v>CAKE CARDBOARD 8" BLCK GOLD 100</v>
      </c>
      <c r="D10" s="12" t="n">
        <f aca="false">ITEM_MASTER_CLEAN!F10</f>
        <v>15.99</v>
      </c>
      <c r="E10" s="5" t="n">
        <f aca="false">ITEM_MASTER_CLEAN!H10</f>
        <v>11</v>
      </c>
      <c r="F10" s="5" t="n">
        <f aca="false">ITEM_MASTER_CLEAN!I10</f>
        <v>4</v>
      </c>
      <c r="G10" s="5" t="n">
        <f aca="false">PAR_LEVELS!J10</f>
        <v>5.57142857142857</v>
      </c>
      <c r="H10" s="5" t="n">
        <f aca="false">PAR_LEVELS!K10</f>
        <v>1.85714285714286</v>
      </c>
      <c r="I10" s="5" t="n">
        <f aca="false">MAX(E10-G10,0)</f>
        <v>5.42857142857143</v>
      </c>
      <c r="J10" s="5" t="n">
        <f aca="false">MAX(F10-H10,0)</f>
        <v>2.14285714285714</v>
      </c>
      <c r="K10" s="5" t="n">
        <f aca="false">MAX(G10-E10,0)</f>
        <v>0</v>
      </c>
      <c r="L10" s="5" t="n">
        <f aca="false">MAX(H10-F10,0)</f>
        <v>0</v>
      </c>
      <c r="M10" s="5" t="str">
        <f aca="false">IF(AND(I10&gt;TransferMin,L10&gt;0),"OAK→HP",IF(AND(J10&gt;TransferMin,K10&gt;0),"HP→OAK","None"))</f>
        <v>None</v>
      </c>
      <c r="N10" s="5" t="n">
        <f aca="false">IF(M10="OAK→HP",MIN(I10,L10),IF(M10="HP→OAK",MIN(J10,K10),0))</f>
        <v>0</v>
      </c>
      <c r="O10" s="5" t="n">
        <f aca="false">MAX(K10-IF(M10="HP→OAK",N10,0),0)</f>
        <v>0</v>
      </c>
      <c r="P10" s="5" t="n">
        <f aca="false">MAX(L10-IF(M10="OAK→HP",N10,0),0)</f>
        <v>0</v>
      </c>
      <c r="Q10" s="5" t="n">
        <f aca="false">IF(O10&gt;0,CEILING(O10,ITEM_MASTER_CLEAN!G10),0)</f>
        <v>0</v>
      </c>
      <c r="R10" s="5" t="n">
        <f aca="false">IF(P10&gt;0,CEILING(P10,ITEM_MASTER_CLEAN!G10),0)</f>
        <v>0</v>
      </c>
      <c r="S10" s="5" t="n">
        <f aca="false">IF(G10=0,0,(1-MIN(E10/MAX(G10,1),1))*50+(1-MIN(F10/MAX(H10,1),1))*50)</f>
        <v>0</v>
      </c>
    </row>
    <row r="11" customFormat="false" ht="15" hidden="false" customHeight="false" outlineLevel="0" collapsed="false">
      <c r="A11" s="5" t="n">
        <f aca="false">ITEM_MASTER_CLEAN!A11</f>
        <v>10</v>
      </c>
      <c r="B11" s="5" t="n">
        <f aca="false">ITEM_MASTER_CLEAN!B11</f>
        <v>25802</v>
      </c>
      <c r="C11" s="5" t="str">
        <f aca="false">ITEM_MASTER_CLEAN!C11</f>
        <v>ACETATE ROLL 3.5"X1250" 4MM 1RL</v>
      </c>
      <c r="D11" s="12" t="n">
        <f aca="false">ITEM_MASTER_CLEAN!F11</f>
        <v>23.42</v>
      </c>
      <c r="E11" s="5" t="n">
        <f aca="false">ITEM_MASTER_CLEAN!H11</f>
        <v>14</v>
      </c>
      <c r="F11" s="5" t="n">
        <f aca="false">ITEM_MASTER_CLEAN!I11</f>
        <v>11</v>
      </c>
      <c r="G11" s="5" t="n">
        <f aca="false">PAR_LEVELS!J11</f>
        <v>5.57142857142857</v>
      </c>
      <c r="H11" s="5" t="n">
        <f aca="false">PAR_LEVELS!K11</f>
        <v>5.57142857142857</v>
      </c>
      <c r="I11" s="5" t="n">
        <f aca="false">MAX(E11-G11,0)</f>
        <v>8.42857142857143</v>
      </c>
      <c r="J11" s="5" t="n">
        <f aca="false">MAX(F11-H11,0)</f>
        <v>5.42857142857143</v>
      </c>
      <c r="K11" s="5" t="n">
        <f aca="false">MAX(G11-E11,0)</f>
        <v>0</v>
      </c>
      <c r="L11" s="5" t="n">
        <f aca="false">MAX(H11-F11,0)</f>
        <v>0</v>
      </c>
      <c r="M11" s="5" t="str">
        <f aca="false">IF(AND(I11&gt;TransferMin,L11&gt;0),"OAK→HP",IF(AND(J11&gt;TransferMin,K11&gt;0),"HP→OAK","None"))</f>
        <v>None</v>
      </c>
      <c r="N11" s="5" t="n">
        <f aca="false">IF(M11="OAK→HP",MIN(I11,L11),IF(M11="HP→OAK",MIN(J11,K11),0))</f>
        <v>0</v>
      </c>
      <c r="O11" s="5" t="n">
        <f aca="false">MAX(K11-IF(M11="HP→OAK",N11,0),0)</f>
        <v>0</v>
      </c>
      <c r="P11" s="5" t="n">
        <f aca="false">MAX(L11-IF(M11="OAK→HP",N11,0),0)</f>
        <v>0</v>
      </c>
      <c r="Q11" s="5" t="n">
        <f aca="false">IF(O11&gt;0,CEILING(O11,ITEM_MASTER_CLEAN!G11),0)</f>
        <v>0</v>
      </c>
      <c r="R11" s="5" t="n">
        <f aca="false">IF(P11&gt;0,CEILING(P11,ITEM_MASTER_CLEAN!G11),0)</f>
        <v>0</v>
      </c>
      <c r="S11" s="5" t="n">
        <f aca="false">IF(G11=0,0,(1-MIN(E11/MAX(G11,1),1))*50+(1-MIN(F11/MAX(H11,1),1))*50)</f>
        <v>0</v>
      </c>
    </row>
    <row r="12" customFormat="false" ht="15" hidden="false" customHeight="false" outlineLevel="0" collapsed="false">
      <c r="A12" s="5" t="n">
        <f aca="false">ITEM_MASTER_CLEAN!A12</f>
        <v>11</v>
      </c>
      <c r="B12" s="5" t="n">
        <f aca="false">ITEM_MASTER_CLEAN!B12</f>
        <v>19689</v>
      </c>
      <c r="C12" s="5" t="str">
        <f aca="false">ITEM_MASTER_CLEAN!C12</f>
        <v>CAKE CUPCAKE BLACKOUT 8X4UN</v>
      </c>
      <c r="D12" s="12" t="n">
        <f aca="false">ITEM_MASTER_CLEAN!F12</f>
        <v>13.82</v>
      </c>
      <c r="E12" s="5" t="n">
        <f aca="false">ITEM_MASTER_CLEAN!H12</f>
        <v>1</v>
      </c>
      <c r="F12" s="5" t="n">
        <f aca="false">ITEM_MASTER_CLEAN!I12</f>
        <v>1</v>
      </c>
      <c r="G12" s="5" t="n">
        <f aca="false">PAR_LEVELS!J12</f>
        <v>1.85714285714286</v>
      </c>
      <c r="H12" s="5" t="n">
        <f aca="false">PAR_LEVELS!K12</f>
        <v>1.85714285714286</v>
      </c>
      <c r="I12" s="5" t="n">
        <f aca="false">MAX(E12-G12,0)</f>
        <v>0</v>
      </c>
      <c r="J12" s="5" t="n">
        <f aca="false">MAX(F12-H12,0)</f>
        <v>0</v>
      </c>
      <c r="K12" s="5" t="n">
        <f aca="false">MAX(G12-E12,0)</f>
        <v>0.857142857142857</v>
      </c>
      <c r="L12" s="5" t="n">
        <f aca="false">MAX(H12-F12,0)</f>
        <v>0.857142857142857</v>
      </c>
      <c r="M12" s="5" t="str">
        <f aca="false">IF(AND(I12&gt;TransferMin,L12&gt;0),"OAK→HP",IF(AND(J12&gt;TransferMin,K12&gt;0),"HP→OAK","None"))</f>
        <v>None</v>
      </c>
      <c r="N12" s="5" t="n">
        <f aca="false">IF(M12="OAK→HP",MIN(I12,L12),IF(M12="HP→OAK",MIN(J12,K12),0))</f>
        <v>0</v>
      </c>
      <c r="O12" s="5" t="n">
        <f aca="false">MAX(K12-IF(M12="HP→OAK",N12,0),0)</f>
        <v>0.857142857142857</v>
      </c>
      <c r="P12" s="5" t="n">
        <f aca="false">MAX(L12-IF(M12="OAK→HP",N12,0),0)</f>
        <v>0.857142857142857</v>
      </c>
      <c r="Q12" s="5" t="n">
        <f aca="false">IF(O12&gt;0,CEILING(O12,ITEM_MASTER_CLEAN!G12),0)</f>
        <v>8</v>
      </c>
      <c r="R12" s="5" t="n">
        <f aca="false">IF(P12&gt;0,CEILING(P12,ITEM_MASTER_CLEAN!G12),0)</f>
        <v>8</v>
      </c>
      <c r="S12" s="5" t="n">
        <f aca="false">IF(G12=0,0,(1-MIN(E12/MAX(G12,1),1))*50+(1-MIN(F12/MAX(H12,1),1))*50)</f>
        <v>46.1538461538461</v>
      </c>
    </row>
    <row r="13" customFormat="false" ht="15" hidden="false" customHeight="false" outlineLevel="0" collapsed="false">
      <c r="A13" s="5" t="n">
        <f aca="false">ITEM_MASTER_CLEAN!A13</f>
        <v>12</v>
      </c>
      <c r="B13" s="5" t="n">
        <f aca="false">ITEM_MASTER_CLEAN!B13</f>
        <v>19692</v>
      </c>
      <c r="C13" s="5" t="str">
        <f aca="false">ITEM_MASTER_CLEAN!C13</f>
        <v>CAKE CUPCAKE RED VELVET 8X4UN</v>
      </c>
      <c r="D13" s="12" t="n">
        <f aca="false">ITEM_MASTER_CLEAN!F13</f>
        <v>21.36</v>
      </c>
      <c r="E13" s="5" t="n">
        <f aca="false">ITEM_MASTER_CLEAN!H13</f>
        <v>6</v>
      </c>
      <c r="F13" s="5" t="n">
        <f aca="false">ITEM_MASTER_CLEAN!I13</f>
        <v>4</v>
      </c>
      <c r="G13" s="5" t="n">
        <f aca="false">PAR_LEVELS!J13</f>
        <v>3.71428571428571</v>
      </c>
      <c r="H13" s="5" t="n">
        <f aca="false">PAR_LEVELS!K13</f>
        <v>1.85714285714286</v>
      </c>
      <c r="I13" s="5" t="n">
        <f aca="false">MAX(E13-G13,0)</f>
        <v>2.28571428571429</v>
      </c>
      <c r="J13" s="5" t="n">
        <f aca="false">MAX(F13-H13,0)</f>
        <v>2.14285714285714</v>
      </c>
      <c r="K13" s="5" t="n">
        <f aca="false">MAX(G13-E13,0)</f>
        <v>0</v>
      </c>
      <c r="L13" s="5" t="n">
        <f aca="false">MAX(H13-F13,0)</f>
        <v>0</v>
      </c>
      <c r="M13" s="5" t="str">
        <f aca="false">IF(AND(I13&gt;TransferMin,L13&gt;0),"OAK→HP",IF(AND(J13&gt;TransferMin,K13&gt;0),"HP→OAK","None"))</f>
        <v>None</v>
      </c>
      <c r="N13" s="5" t="n">
        <f aca="false">IF(M13="OAK→HP",MIN(I13,L13),IF(M13="HP→OAK",MIN(J13,K13),0))</f>
        <v>0</v>
      </c>
      <c r="O13" s="5" t="n">
        <f aca="false">MAX(K13-IF(M13="HP→OAK",N13,0),0)</f>
        <v>0</v>
      </c>
      <c r="P13" s="5" t="n">
        <f aca="false">MAX(L13-IF(M13="OAK→HP",N13,0),0)</f>
        <v>0</v>
      </c>
      <c r="Q13" s="5" t="n">
        <f aca="false">IF(O13&gt;0,CEILING(O13,ITEM_MASTER_CLEAN!G13),0)</f>
        <v>0</v>
      </c>
      <c r="R13" s="5" t="n">
        <f aca="false">IF(P13&gt;0,CEILING(P13,ITEM_MASTER_CLEAN!G13),0)</f>
        <v>0</v>
      </c>
      <c r="S13" s="5" t="n">
        <f aca="false">IF(G13=0,0,(1-MIN(E13/MAX(G13,1),1))*50+(1-MIN(F13/MAX(H13,1),1))*50)</f>
        <v>0</v>
      </c>
    </row>
    <row r="14" customFormat="false" ht="15" hidden="false" customHeight="false" outlineLevel="0" collapsed="false">
      <c r="A14" s="5" t="n">
        <f aca="false">ITEM_MASTER_CLEAN!A14</f>
        <v>13</v>
      </c>
      <c r="B14" s="5" t="n">
        <f aca="false">ITEM_MASTER_CLEAN!B14</f>
        <v>19693</v>
      </c>
      <c r="C14" s="5" t="str">
        <f aca="false">ITEM_MASTER_CLEAN!C14</f>
        <v>CAKE CUPCAKE VANILLA BEAN 8X4UN</v>
      </c>
      <c r="D14" s="12" t="n">
        <f aca="false">ITEM_MASTER_CLEAN!F14</f>
        <v>17.87</v>
      </c>
      <c r="E14" s="5" t="n">
        <f aca="false">ITEM_MASTER_CLEAN!H14</f>
        <v>1</v>
      </c>
      <c r="F14" s="5" t="n">
        <f aca="false">ITEM_MASTER_CLEAN!I14</f>
        <v>3</v>
      </c>
      <c r="G14" s="5" t="n">
        <f aca="false">PAR_LEVELS!J14</f>
        <v>1.85714285714286</v>
      </c>
      <c r="H14" s="5" t="n">
        <f aca="false">PAR_LEVELS!K14</f>
        <v>3.71428571428571</v>
      </c>
      <c r="I14" s="5" t="n">
        <f aca="false">MAX(E14-G14,0)</f>
        <v>0</v>
      </c>
      <c r="J14" s="5" t="n">
        <f aca="false">MAX(F14-H14,0)</f>
        <v>0</v>
      </c>
      <c r="K14" s="5" t="n">
        <f aca="false">MAX(G14-E14,0)</f>
        <v>0.857142857142857</v>
      </c>
      <c r="L14" s="5" t="n">
        <f aca="false">MAX(H14-F14,0)</f>
        <v>0.714285714285714</v>
      </c>
      <c r="M14" s="5" t="str">
        <f aca="false">IF(AND(I14&gt;TransferMin,L14&gt;0),"OAK→HP",IF(AND(J14&gt;TransferMin,K14&gt;0),"HP→OAK","None"))</f>
        <v>None</v>
      </c>
      <c r="N14" s="5" t="n">
        <f aca="false">IF(M14="OAK→HP",MIN(I14,L14),IF(M14="HP→OAK",MIN(J14,K14),0))</f>
        <v>0</v>
      </c>
      <c r="O14" s="5" t="n">
        <f aca="false">MAX(K14-IF(M14="HP→OAK",N14,0),0)</f>
        <v>0.857142857142857</v>
      </c>
      <c r="P14" s="5" t="n">
        <f aca="false">MAX(L14-IF(M14="OAK→HP",N14,0),0)</f>
        <v>0.714285714285714</v>
      </c>
      <c r="Q14" s="5" t="n">
        <f aca="false">IF(O14&gt;0,CEILING(O14,ITEM_MASTER_CLEAN!G14),0)</f>
        <v>8</v>
      </c>
      <c r="R14" s="5" t="n">
        <f aca="false">IF(P14&gt;0,CEILING(P14,ITEM_MASTER_CLEAN!G14),0)</f>
        <v>8</v>
      </c>
      <c r="S14" s="5" t="n">
        <f aca="false">IF(G14=0,0,(1-MIN(E14/MAX(G14,1),1))*50+(1-MIN(F14/MAX(H14,1),1))*50)</f>
        <v>32.6923076923077</v>
      </c>
    </row>
    <row r="15" customFormat="false" ht="15" hidden="false" customHeight="false" outlineLevel="0" collapsed="false">
      <c r="A15" s="5" t="n">
        <f aca="false">ITEM_MASTER_CLEAN!A15</f>
        <v>14</v>
      </c>
      <c r="B15" s="5" t="n">
        <f aca="false">ITEM_MASTER_CLEAN!B15</f>
        <v>19688</v>
      </c>
      <c r="C15" s="5" t="str">
        <f aca="false">ITEM_MASTER_CLEAN!C15</f>
        <v>CAKE CHEESE ORIGINAL 6X6"</v>
      </c>
      <c r="D15" s="12" t="n">
        <f aca="false">ITEM_MASTER_CLEAN!F15</f>
        <v>58</v>
      </c>
      <c r="E15" s="5" t="n">
        <f aca="false">ITEM_MASTER_CLEAN!H15</f>
        <v>0</v>
      </c>
      <c r="F15" s="5" t="n">
        <f aca="false">ITEM_MASTER_CLEAN!I15</f>
        <v>7</v>
      </c>
      <c r="G15" s="5" t="n">
        <f aca="false">PAR_LEVELS!J15</f>
        <v>1.85714285714286</v>
      </c>
      <c r="H15" s="5" t="n">
        <f aca="false">PAR_LEVELS!K15</f>
        <v>3.71428571428571</v>
      </c>
      <c r="I15" s="5" t="n">
        <f aca="false">MAX(E15-G15,0)</f>
        <v>0</v>
      </c>
      <c r="J15" s="5" t="n">
        <f aca="false">MAX(F15-H15,0)</f>
        <v>3.28571428571429</v>
      </c>
      <c r="K15" s="5" t="n">
        <f aca="false">MAX(G15-E15,0)</f>
        <v>1.85714285714286</v>
      </c>
      <c r="L15" s="5" t="n">
        <f aca="false">MAX(H15-F15,0)</f>
        <v>0</v>
      </c>
      <c r="M15" s="5" t="str">
        <f aca="false">IF(AND(I15&gt;TransferMin,L15&gt;0),"OAK→HP",IF(AND(J15&gt;TransferMin,K15&gt;0),"HP→OAK","None"))</f>
        <v>None</v>
      </c>
      <c r="N15" s="5" t="n">
        <f aca="false">IF(M15="OAK→HP",MIN(I15,L15),IF(M15="HP→OAK",MIN(J15,K15),0))</f>
        <v>0</v>
      </c>
      <c r="O15" s="5" t="n">
        <f aca="false">MAX(K15-IF(M15="HP→OAK",N15,0),0)</f>
        <v>1.85714285714286</v>
      </c>
      <c r="P15" s="5" t="n">
        <f aca="false">MAX(L15-IF(M15="OAK→HP",N15,0),0)</f>
        <v>0</v>
      </c>
      <c r="Q15" s="5" t="n">
        <f aca="false">IF(O15&gt;0,CEILING(O15,ITEM_MASTER_CLEAN!G15),0)</f>
        <v>6</v>
      </c>
      <c r="R15" s="5" t="n">
        <f aca="false">IF(P15&gt;0,CEILING(P15,ITEM_MASTER_CLEAN!G15),0)</f>
        <v>0</v>
      </c>
      <c r="S15" s="5" t="n">
        <f aca="false">IF(G15=0,0,(1-MIN(E15/MAX(G15,1),1))*50+(1-MIN(F15/MAX(H15,1),1))*50)</f>
        <v>50</v>
      </c>
    </row>
    <row r="16" customFormat="false" ht="15" hidden="false" customHeight="false" outlineLevel="0" collapsed="false">
      <c r="A16" s="5" t="n">
        <f aca="false">ITEM_MASTER_CLEAN!A16</f>
        <v>15</v>
      </c>
      <c r="B16" s="5" t="n">
        <f aca="false">ITEM_MASTER_CLEAN!B16</f>
        <v>19687</v>
      </c>
      <c r="C16" s="5" t="str">
        <f aca="false">ITEM_MASTER_CLEAN!C16</f>
        <v>CAKE CHEESE WHT CHOC/RASP 6X6"</v>
      </c>
      <c r="D16" s="12" t="n">
        <f aca="false">ITEM_MASTER_CLEAN!F16</f>
        <v>84.7</v>
      </c>
      <c r="E16" s="5" t="n">
        <f aca="false">ITEM_MASTER_CLEAN!H16</f>
        <v>0</v>
      </c>
      <c r="F16" s="5" t="n">
        <f aca="false">ITEM_MASTER_CLEAN!I16</f>
        <v>0</v>
      </c>
      <c r="G16" s="5" t="n">
        <f aca="false">PAR_LEVELS!J16</f>
        <v>5.57142857142857</v>
      </c>
      <c r="H16" s="5" t="n">
        <f aca="false">PAR_LEVELS!K16</f>
        <v>3.71428571428571</v>
      </c>
      <c r="I16" s="5" t="n">
        <f aca="false">MAX(E16-G16,0)</f>
        <v>0</v>
      </c>
      <c r="J16" s="5" t="n">
        <f aca="false">MAX(F16-H16,0)</f>
        <v>0</v>
      </c>
      <c r="K16" s="5" t="n">
        <f aca="false">MAX(G16-E16,0)</f>
        <v>5.57142857142857</v>
      </c>
      <c r="L16" s="5" t="n">
        <f aca="false">MAX(H16-F16,0)</f>
        <v>3.71428571428571</v>
      </c>
      <c r="M16" s="5" t="str">
        <f aca="false">IF(AND(I16&gt;TransferMin,L16&gt;0),"OAK→HP",IF(AND(J16&gt;TransferMin,K16&gt;0),"HP→OAK","None"))</f>
        <v>None</v>
      </c>
      <c r="N16" s="5" t="n">
        <f aca="false">IF(M16="OAK→HP",MIN(I16,L16),IF(M16="HP→OAK",MIN(J16,K16),0))</f>
        <v>0</v>
      </c>
      <c r="O16" s="5" t="n">
        <f aca="false">MAX(K16-IF(M16="HP→OAK",N16,0),0)</f>
        <v>5.57142857142857</v>
      </c>
      <c r="P16" s="5" t="n">
        <f aca="false">MAX(L16-IF(M16="OAK→HP",N16,0),0)</f>
        <v>3.71428571428571</v>
      </c>
      <c r="Q16" s="5" t="n">
        <f aca="false">IF(O16&gt;0,CEILING(O16,ITEM_MASTER_CLEAN!G16),0)</f>
        <v>6</v>
      </c>
      <c r="R16" s="5" t="n">
        <f aca="false">IF(P16&gt;0,CEILING(P16,ITEM_MASTER_CLEAN!G16),0)</f>
        <v>6</v>
      </c>
      <c r="S16" s="5" t="n">
        <f aca="false">IF(G16=0,0,(1-MIN(E16/MAX(G16,1),1))*50+(1-MIN(F16/MAX(H16,1),1))*50)</f>
        <v>100</v>
      </c>
    </row>
    <row r="17" customFormat="false" ht="15" hidden="false" customHeight="false" outlineLevel="0" collapsed="false">
      <c r="A17" s="5" t="n">
        <f aca="false">ITEM_MASTER_CLEAN!A17</f>
        <v>16</v>
      </c>
      <c r="B17" s="5" t="n">
        <f aca="false">ITEM_MASTER_CLEAN!B17</f>
        <v>19685</v>
      </c>
      <c r="C17" s="5" t="str">
        <f aca="false">ITEM_MASTER_CLEAN!C17</f>
        <v>CAKE CHEESE CHOC MOUSSE 6X6"</v>
      </c>
      <c r="D17" s="12" t="n">
        <f aca="false">ITEM_MASTER_CLEAN!F17</f>
        <v>40.56</v>
      </c>
      <c r="E17" s="5" t="n">
        <f aca="false">ITEM_MASTER_CLEAN!H17</f>
        <v>1</v>
      </c>
      <c r="F17" s="5" t="n">
        <f aca="false">ITEM_MASTER_CLEAN!I17</f>
        <v>1</v>
      </c>
      <c r="G17" s="5" t="n">
        <f aca="false">PAR_LEVELS!J17</f>
        <v>1.85714285714286</v>
      </c>
      <c r="H17" s="5" t="n">
        <f aca="false">PAR_LEVELS!K17</f>
        <v>1.85714285714286</v>
      </c>
      <c r="I17" s="5" t="n">
        <f aca="false">MAX(E17-G17,0)</f>
        <v>0</v>
      </c>
      <c r="J17" s="5" t="n">
        <f aca="false">MAX(F17-H17,0)</f>
        <v>0</v>
      </c>
      <c r="K17" s="5" t="n">
        <f aca="false">MAX(G17-E17,0)</f>
        <v>0.857142857142857</v>
      </c>
      <c r="L17" s="5" t="n">
        <f aca="false">MAX(H17-F17,0)</f>
        <v>0.857142857142857</v>
      </c>
      <c r="M17" s="5" t="str">
        <f aca="false">IF(AND(I17&gt;TransferMin,L17&gt;0),"OAK→HP",IF(AND(J17&gt;TransferMin,K17&gt;0),"HP→OAK","None"))</f>
        <v>None</v>
      </c>
      <c r="N17" s="5" t="n">
        <f aca="false">IF(M17="OAK→HP",MIN(I17,L17),IF(M17="HP→OAK",MIN(J17,K17),0))</f>
        <v>0</v>
      </c>
      <c r="O17" s="5" t="n">
        <f aca="false">MAX(K17-IF(M17="HP→OAK",N17,0),0)</f>
        <v>0.857142857142857</v>
      </c>
      <c r="P17" s="5" t="n">
        <f aca="false">MAX(L17-IF(M17="OAK→HP",N17,0),0)</f>
        <v>0.857142857142857</v>
      </c>
      <c r="Q17" s="5" t="n">
        <f aca="false">IF(O17&gt;0,CEILING(O17,ITEM_MASTER_CLEAN!G17),0)</f>
        <v>6</v>
      </c>
      <c r="R17" s="5" t="n">
        <f aca="false">IF(P17&gt;0,CEILING(P17,ITEM_MASTER_CLEAN!G17),0)</f>
        <v>6</v>
      </c>
      <c r="S17" s="5" t="n">
        <f aca="false">IF(G17=0,0,(1-MIN(E17/MAX(G17,1),1))*50+(1-MIN(F17/MAX(H17,1),1))*50)</f>
        <v>46.1538461538461</v>
      </c>
    </row>
    <row r="18" customFormat="false" ht="15" hidden="false" customHeight="false" outlineLevel="0" collapsed="false">
      <c r="A18" s="5" t="n">
        <f aca="false">ITEM_MASTER_CLEAN!A18</f>
        <v>17</v>
      </c>
      <c r="B18" s="5" t="n">
        <f aca="false">ITEM_MASTER_CLEAN!B18</f>
        <v>19628</v>
      </c>
      <c r="C18" s="5" t="str">
        <f aca="false">ITEM_MASTER_CLEAN!C18</f>
        <v>CAKE CHEESE CAKE FACTORY 2X14UN</v>
      </c>
      <c r="D18" s="12" t="n">
        <f aca="false">ITEM_MASTER_CLEAN!F18</f>
        <v>33.35</v>
      </c>
      <c r="E18" s="5" t="n">
        <f aca="false">ITEM_MASTER_CLEAN!H18</f>
        <v>3</v>
      </c>
      <c r="F18" s="5" t="n">
        <f aca="false">ITEM_MASTER_CLEAN!I18</f>
        <v>1</v>
      </c>
      <c r="G18" s="5" t="n">
        <f aca="false">PAR_LEVELS!J18</f>
        <v>3.71428571428571</v>
      </c>
      <c r="H18" s="5" t="n">
        <f aca="false">PAR_LEVELS!K18</f>
        <v>1.85714285714286</v>
      </c>
      <c r="I18" s="5" t="n">
        <f aca="false">MAX(E18-G18,0)</f>
        <v>0</v>
      </c>
      <c r="J18" s="5" t="n">
        <f aca="false">MAX(F18-H18,0)</f>
        <v>0</v>
      </c>
      <c r="K18" s="5" t="n">
        <f aca="false">MAX(G18-E18,0)</f>
        <v>0.714285714285714</v>
      </c>
      <c r="L18" s="5" t="n">
        <f aca="false">MAX(H18-F18,0)</f>
        <v>0.857142857142857</v>
      </c>
      <c r="M18" s="5" t="str">
        <f aca="false">IF(AND(I18&gt;TransferMin,L18&gt;0),"OAK→HP",IF(AND(J18&gt;TransferMin,K18&gt;0),"HP→OAK","None"))</f>
        <v>None</v>
      </c>
      <c r="N18" s="5" t="n">
        <f aca="false">IF(M18="OAK→HP",MIN(I18,L18),IF(M18="HP→OAK",MIN(J18,K18),0))</f>
        <v>0</v>
      </c>
      <c r="O18" s="5" t="n">
        <f aca="false">MAX(K18-IF(M18="HP→OAK",N18,0),0)</f>
        <v>0.714285714285714</v>
      </c>
      <c r="P18" s="5" t="n">
        <f aca="false">MAX(L18-IF(M18="OAK→HP",N18,0),0)</f>
        <v>0.857142857142857</v>
      </c>
      <c r="Q18" s="5" t="n">
        <f aca="false">IF(O18&gt;0,CEILING(O18,ITEM_MASTER_CLEAN!G18),0)</f>
        <v>2</v>
      </c>
      <c r="R18" s="5" t="n">
        <f aca="false">IF(P18&gt;0,CEILING(P18,ITEM_MASTER_CLEAN!G18),0)</f>
        <v>2</v>
      </c>
      <c r="S18" s="5" t="n">
        <f aca="false">IF(G18=0,0,(1-MIN(E18/MAX(G18,1),1))*50+(1-MIN(F18/MAX(H18,1),1))*50)</f>
        <v>32.6923076923077</v>
      </c>
    </row>
    <row r="19" customFormat="false" ht="15" hidden="false" customHeight="false" outlineLevel="0" collapsed="false">
      <c r="A19" s="5" t="n">
        <f aca="false">ITEM_MASTER_CLEAN!A19</f>
        <v>18</v>
      </c>
      <c r="B19" s="5" t="n">
        <f aca="false">ITEM_MASTER_CLEAN!B19</f>
        <v>16992</v>
      </c>
      <c r="C19" s="5" t="str">
        <f aca="false">ITEM_MASTER_CLEAN!C19</f>
        <v>CAKE CHEESE MANGO LIME X2</v>
      </c>
      <c r="D19" s="12" t="n">
        <f aca="false">ITEM_MASTER_CLEAN!F19</f>
        <v>72.45</v>
      </c>
      <c r="E19" s="5" t="n">
        <f aca="false">ITEM_MASTER_CLEAN!H19</f>
        <v>0</v>
      </c>
      <c r="F19" s="5" t="n">
        <f aca="false">ITEM_MASTER_CLEAN!I19</f>
        <v>0</v>
      </c>
      <c r="G19" s="5" t="n">
        <f aca="false">PAR_LEVELS!J19</f>
        <v>1.85714285714286</v>
      </c>
      <c r="H19" s="5" t="n">
        <f aca="false">PAR_LEVELS!K19</f>
        <v>3.71428571428571</v>
      </c>
      <c r="I19" s="5" t="n">
        <f aca="false">MAX(E19-G19,0)</f>
        <v>0</v>
      </c>
      <c r="J19" s="5" t="n">
        <f aca="false">MAX(F19-H19,0)</f>
        <v>0</v>
      </c>
      <c r="K19" s="5" t="n">
        <f aca="false">MAX(G19-E19,0)</f>
        <v>1.85714285714286</v>
      </c>
      <c r="L19" s="5" t="n">
        <f aca="false">MAX(H19-F19,0)</f>
        <v>3.71428571428571</v>
      </c>
      <c r="M19" s="5" t="str">
        <f aca="false">IF(AND(I19&gt;TransferMin,L19&gt;0),"OAK→HP",IF(AND(J19&gt;TransferMin,K19&gt;0),"HP→OAK","None"))</f>
        <v>None</v>
      </c>
      <c r="N19" s="5" t="n">
        <f aca="false">IF(M19="OAK→HP",MIN(I19,L19),IF(M19="HP→OAK",MIN(J19,K19),0))</f>
        <v>0</v>
      </c>
      <c r="O19" s="5" t="n">
        <f aca="false">MAX(K19-IF(M19="HP→OAK",N19,0),0)</f>
        <v>1.85714285714286</v>
      </c>
      <c r="P19" s="5" t="n">
        <f aca="false">MAX(L19-IF(M19="OAK→HP",N19,0),0)</f>
        <v>3.71428571428571</v>
      </c>
      <c r="Q19" s="5" t="n">
        <f aca="false">IF(O19&gt;0,CEILING(O19,ITEM_MASTER_CLEAN!G19),0)</f>
        <v>2</v>
      </c>
      <c r="R19" s="5" t="n">
        <f aca="false">IF(P19&gt;0,CEILING(P19,ITEM_MASTER_CLEAN!G19),0)</f>
        <v>4</v>
      </c>
      <c r="S19" s="5" t="n">
        <f aca="false">IF(G19=0,0,(1-MIN(E19/MAX(G19,1),1))*50+(1-MIN(F19/MAX(H19,1),1))*50)</f>
        <v>100</v>
      </c>
    </row>
    <row r="20" customFormat="false" ht="15" hidden="false" customHeight="false" outlineLevel="0" collapsed="false">
      <c r="A20" s="5" t="n">
        <f aca="false">ITEM_MASTER_CLEAN!A20</f>
        <v>19</v>
      </c>
      <c r="B20" s="5" t="n">
        <f aca="false">ITEM_MASTER_CLEAN!B20</f>
        <v>16995</v>
      </c>
      <c r="C20" s="5" t="str">
        <f aca="false">ITEM_MASTER_CLEAN!C20</f>
        <v>CAKE CHEESE CINNABON X2</v>
      </c>
      <c r="D20" s="12" t="n">
        <f aca="false">ITEM_MASTER_CLEAN!F20</f>
        <v>41.11</v>
      </c>
      <c r="E20" s="5" t="n">
        <f aca="false">ITEM_MASTER_CLEAN!H20</f>
        <v>3</v>
      </c>
      <c r="F20" s="5" t="n">
        <f aca="false">ITEM_MASTER_CLEAN!I20</f>
        <v>0</v>
      </c>
      <c r="G20" s="5" t="n">
        <f aca="false">PAR_LEVELS!J20</f>
        <v>1.85714285714286</v>
      </c>
      <c r="H20" s="5" t="n">
        <f aca="false">PAR_LEVELS!K20</f>
        <v>3.71428571428571</v>
      </c>
      <c r="I20" s="5" t="n">
        <f aca="false">MAX(E20-G20,0)</f>
        <v>1.14285714285714</v>
      </c>
      <c r="J20" s="5" t="n">
        <f aca="false">MAX(F20-H20,0)</f>
        <v>0</v>
      </c>
      <c r="K20" s="5" t="n">
        <f aca="false">MAX(G20-E20,0)</f>
        <v>0</v>
      </c>
      <c r="L20" s="5" t="n">
        <f aca="false">MAX(H20-F20,0)</f>
        <v>3.71428571428571</v>
      </c>
      <c r="M20" s="5" t="str">
        <f aca="false">IF(AND(I20&gt;TransferMin,L20&gt;0),"OAK→HP",IF(AND(J20&gt;TransferMin,K20&gt;0),"HP→OAK","None"))</f>
        <v>None</v>
      </c>
      <c r="N20" s="5" t="n">
        <f aca="false">IF(M20="OAK→HP",MIN(I20,L20),IF(M20="HP→OAK",MIN(J20,K20),0))</f>
        <v>0</v>
      </c>
      <c r="O20" s="5" t="n">
        <f aca="false">MAX(K20-IF(M20="HP→OAK",N20,0),0)</f>
        <v>0</v>
      </c>
      <c r="P20" s="5" t="n">
        <f aca="false">MAX(L20-IF(M20="OAK→HP",N20,0),0)</f>
        <v>3.71428571428571</v>
      </c>
      <c r="Q20" s="5" t="n">
        <f aca="false">IF(O20&gt;0,CEILING(O20,ITEM_MASTER_CLEAN!G20),0)</f>
        <v>0</v>
      </c>
      <c r="R20" s="5" t="n">
        <f aca="false">IF(P20&gt;0,CEILING(P20,ITEM_MASTER_CLEAN!G20),0)</f>
        <v>4</v>
      </c>
      <c r="S20" s="5" t="n">
        <f aca="false">IF(G20=0,0,(1-MIN(E20/MAX(G20,1),1))*50+(1-MIN(F20/MAX(H20,1),1))*50)</f>
        <v>50</v>
      </c>
    </row>
    <row r="21" customFormat="false" ht="15" hidden="false" customHeight="false" outlineLevel="0" collapsed="false">
      <c r="A21" s="5" t="n">
        <f aca="false">ITEM_MASTER_CLEAN!A21</f>
        <v>20</v>
      </c>
      <c r="B21" s="5" t="n">
        <f aca="false">ITEM_MASTER_CLEAN!B21</f>
        <v>19629</v>
      </c>
      <c r="C21" s="5" t="str">
        <f aca="false">ITEM_MASTER_CLEAN!C21</f>
        <v>CAKE GODIVA DBL CHOC CHEESE 2X28PC</v>
      </c>
      <c r="D21" s="12" t="n">
        <f aca="false">ITEM_MASTER_CLEAN!F21</f>
        <v>29.38</v>
      </c>
      <c r="E21" s="5" t="n">
        <f aca="false">ITEM_MASTER_CLEAN!H21</f>
        <v>0</v>
      </c>
      <c r="F21" s="5" t="n">
        <f aca="false">ITEM_MASTER_CLEAN!I21</f>
        <v>7</v>
      </c>
      <c r="G21" s="5" t="n">
        <f aca="false">PAR_LEVELS!J21</f>
        <v>1.85714285714286</v>
      </c>
      <c r="H21" s="5" t="n">
        <f aca="false">PAR_LEVELS!K21</f>
        <v>3.71428571428571</v>
      </c>
      <c r="I21" s="5" t="n">
        <f aca="false">MAX(E21-G21,0)</f>
        <v>0</v>
      </c>
      <c r="J21" s="5" t="n">
        <f aca="false">MAX(F21-H21,0)</f>
        <v>3.28571428571429</v>
      </c>
      <c r="K21" s="5" t="n">
        <f aca="false">MAX(G21-E21,0)</f>
        <v>1.85714285714286</v>
      </c>
      <c r="L21" s="5" t="n">
        <f aca="false">MAX(H21-F21,0)</f>
        <v>0</v>
      </c>
      <c r="M21" s="5" t="str">
        <f aca="false">IF(AND(I21&gt;TransferMin,L21&gt;0),"OAK→HP",IF(AND(J21&gt;TransferMin,K21&gt;0),"HP→OAK","None"))</f>
        <v>None</v>
      </c>
      <c r="N21" s="5" t="n">
        <f aca="false">IF(M21="OAK→HP",MIN(I21,L21),IF(M21="HP→OAK",MIN(J21,K21),0))</f>
        <v>0</v>
      </c>
      <c r="O21" s="5" t="n">
        <f aca="false">MAX(K21-IF(M21="HP→OAK",N21,0),0)</f>
        <v>1.85714285714286</v>
      </c>
      <c r="P21" s="5" t="n">
        <f aca="false">MAX(L21-IF(M21="OAK→HP",N21,0),0)</f>
        <v>0</v>
      </c>
      <c r="Q21" s="5" t="n">
        <f aca="false">IF(O21&gt;0,CEILING(O21,ITEM_MASTER_CLEAN!G21),0)</f>
        <v>2</v>
      </c>
      <c r="R21" s="5" t="n">
        <f aca="false">IF(P21&gt;0,CEILING(P21,ITEM_MASTER_CLEAN!G21),0)</f>
        <v>0</v>
      </c>
      <c r="S21" s="5" t="n">
        <f aca="false">IF(G21=0,0,(1-MIN(E21/MAX(G21,1),1))*50+(1-MIN(F21/MAX(H21,1),1))*50)</f>
        <v>50</v>
      </c>
    </row>
    <row r="22" customFormat="false" ht="15" hidden="false" customHeight="false" outlineLevel="0" collapsed="false">
      <c r="A22" s="5" t="n">
        <f aca="false">ITEM_MASTER_CLEAN!A22</f>
        <v>21</v>
      </c>
      <c r="B22" s="5" t="n">
        <f aca="false">ITEM_MASTER_CLEAN!B22</f>
        <v>16993</v>
      </c>
      <c r="C22" s="5" t="str">
        <f aca="false">ITEM_MASTER_CLEAN!C22</f>
        <v>CAKE CHEESE OREO X2</v>
      </c>
      <c r="D22" s="12" t="n">
        <f aca="false">ITEM_MASTER_CLEAN!F22</f>
        <v>55.72</v>
      </c>
      <c r="E22" s="5" t="n">
        <f aca="false">ITEM_MASTER_CLEAN!H22</f>
        <v>2</v>
      </c>
      <c r="F22" s="5" t="n">
        <f aca="false">ITEM_MASTER_CLEAN!I22</f>
        <v>3</v>
      </c>
      <c r="G22" s="5" t="n">
        <f aca="false">PAR_LEVELS!J22</f>
        <v>3.71428571428571</v>
      </c>
      <c r="H22" s="5" t="n">
        <f aca="false">PAR_LEVELS!K22</f>
        <v>3.71428571428571</v>
      </c>
      <c r="I22" s="5" t="n">
        <f aca="false">MAX(E22-G22,0)</f>
        <v>0</v>
      </c>
      <c r="J22" s="5" t="n">
        <f aca="false">MAX(F22-H22,0)</f>
        <v>0</v>
      </c>
      <c r="K22" s="5" t="n">
        <f aca="false">MAX(G22-E22,0)</f>
        <v>1.71428571428571</v>
      </c>
      <c r="L22" s="5" t="n">
        <f aca="false">MAX(H22-F22,0)</f>
        <v>0.714285714285714</v>
      </c>
      <c r="M22" s="5" t="str">
        <f aca="false">IF(AND(I22&gt;TransferMin,L22&gt;0),"OAK→HP",IF(AND(J22&gt;TransferMin,K22&gt;0),"HP→OAK","None"))</f>
        <v>None</v>
      </c>
      <c r="N22" s="5" t="n">
        <f aca="false">IF(M22="OAK→HP",MIN(I22,L22),IF(M22="HP→OAK",MIN(J22,K22),0))</f>
        <v>0</v>
      </c>
      <c r="O22" s="5" t="n">
        <f aca="false">MAX(K22-IF(M22="HP→OAK",N22,0),0)</f>
        <v>1.71428571428571</v>
      </c>
      <c r="P22" s="5" t="n">
        <f aca="false">MAX(L22-IF(M22="OAK→HP",N22,0),0)</f>
        <v>0.714285714285714</v>
      </c>
      <c r="Q22" s="5" t="n">
        <f aca="false">IF(O22&gt;0,CEILING(O22,ITEM_MASTER_CLEAN!G22),0)</f>
        <v>2</v>
      </c>
      <c r="R22" s="5" t="n">
        <f aca="false">IF(P22&gt;0,CEILING(P22,ITEM_MASTER_CLEAN!G22),0)</f>
        <v>2</v>
      </c>
      <c r="S22" s="5" t="n">
        <f aca="false">IF(G22=0,0,(1-MIN(E22/MAX(G22,1),1))*50+(1-MIN(F22/MAX(H22,1),1))*50)</f>
        <v>32.6923076923077</v>
      </c>
    </row>
    <row r="23" customFormat="false" ht="15" hidden="false" customHeight="false" outlineLevel="0" collapsed="false">
      <c r="A23" s="5" t="n">
        <f aca="false">ITEM_MASTER_CLEAN!A23</f>
        <v>22</v>
      </c>
      <c r="B23" s="5" t="n">
        <f aca="false">ITEM_MASTER_CLEAN!B23</f>
        <v>16988</v>
      </c>
      <c r="C23" s="5" t="str">
        <f aca="false">ITEM_MASTER_CLEAN!C23</f>
        <v>CAKE CHEESE BANANA FOSTER X2</v>
      </c>
      <c r="D23" s="12" t="n">
        <f aca="false">ITEM_MASTER_CLEAN!F23</f>
        <v>72.39</v>
      </c>
      <c r="E23" s="5" t="n">
        <f aca="false">ITEM_MASTER_CLEAN!H23</f>
        <v>8</v>
      </c>
      <c r="F23" s="5" t="n">
        <f aca="false">ITEM_MASTER_CLEAN!I23</f>
        <v>0</v>
      </c>
      <c r="G23" s="5" t="n">
        <f aca="false">PAR_LEVELS!J23</f>
        <v>5.57142857142857</v>
      </c>
      <c r="H23" s="5" t="n">
        <f aca="false">PAR_LEVELS!K23</f>
        <v>1.85714285714286</v>
      </c>
      <c r="I23" s="5" t="n">
        <f aca="false">MAX(E23-G23,0)</f>
        <v>2.42857142857143</v>
      </c>
      <c r="J23" s="5" t="n">
        <f aca="false">MAX(F23-H23,0)</f>
        <v>0</v>
      </c>
      <c r="K23" s="5" t="n">
        <f aca="false">MAX(G23-E23,0)</f>
        <v>0</v>
      </c>
      <c r="L23" s="5" t="n">
        <f aca="false">MAX(H23-F23,0)</f>
        <v>1.85714285714286</v>
      </c>
      <c r="M23" s="5" t="str">
        <f aca="false">IF(AND(I23&gt;TransferMin,L23&gt;0),"OAK→HP",IF(AND(J23&gt;TransferMin,K23&gt;0),"HP→OAK","None"))</f>
        <v>None</v>
      </c>
      <c r="N23" s="5" t="n">
        <f aca="false">IF(M23="OAK→HP",MIN(I23,L23),IF(M23="HP→OAK",MIN(J23,K23),0))</f>
        <v>0</v>
      </c>
      <c r="O23" s="5" t="n">
        <f aca="false">MAX(K23-IF(M23="HP→OAK",N23,0),0)</f>
        <v>0</v>
      </c>
      <c r="P23" s="5" t="n">
        <f aca="false">MAX(L23-IF(M23="OAK→HP",N23,0),0)</f>
        <v>1.85714285714286</v>
      </c>
      <c r="Q23" s="5" t="n">
        <f aca="false">IF(O23&gt;0,CEILING(O23,ITEM_MASTER_CLEAN!G23),0)</f>
        <v>0</v>
      </c>
      <c r="R23" s="5" t="n">
        <f aca="false">IF(P23&gt;0,CEILING(P23,ITEM_MASTER_CLEAN!G23),0)</f>
        <v>2</v>
      </c>
      <c r="S23" s="5" t="n">
        <f aca="false">IF(G23=0,0,(1-MIN(E23/MAX(G23,1),1))*50+(1-MIN(F23/MAX(H23,1),1))*50)</f>
        <v>50</v>
      </c>
    </row>
    <row r="24" customFormat="false" ht="15" hidden="false" customHeight="false" outlineLevel="0" collapsed="false">
      <c r="A24" s="5" t="n">
        <f aca="false">ITEM_MASTER_CLEAN!A24</f>
        <v>23</v>
      </c>
      <c r="B24" s="5" t="n">
        <f aca="false">ITEM_MASTER_CLEAN!B24</f>
        <v>16987</v>
      </c>
      <c r="C24" s="5" t="str">
        <f aca="false">ITEM_MASTER_CLEAN!C24</f>
        <v>CAKE CHEESE WILD STRWBERRY X2</v>
      </c>
      <c r="D24" s="12" t="n">
        <f aca="false">ITEM_MASTER_CLEAN!F24</f>
        <v>34.11</v>
      </c>
      <c r="E24" s="5" t="n">
        <f aca="false">ITEM_MASTER_CLEAN!H24</f>
        <v>0</v>
      </c>
      <c r="F24" s="5" t="n">
        <f aca="false">ITEM_MASTER_CLEAN!I24</f>
        <v>0</v>
      </c>
      <c r="G24" s="5" t="n">
        <f aca="false">PAR_LEVELS!J24</f>
        <v>1.85714285714286</v>
      </c>
      <c r="H24" s="5" t="n">
        <f aca="false">PAR_LEVELS!K24</f>
        <v>3.71428571428571</v>
      </c>
      <c r="I24" s="5" t="n">
        <f aca="false">MAX(E24-G24,0)</f>
        <v>0</v>
      </c>
      <c r="J24" s="5" t="n">
        <f aca="false">MAX(F24-H24,0)</f>
        <v>0</v>
      </c>
      <c r="K24" s="5" t="n">
        <f aca="false">MAX(G24-E24,0)</f>
        <v>1.85714285714286</v>
      </c>
      <c r="L24" s="5" t="n">
        <f aca="false">MAX(H24-F24,0)</f>
        <v>3.71428571428571</v>
      </c>
      <c r="M24" s="5" t="str">
        <f aca="false">IF(AND(I24&gt;TransferMin,L24&gt;0),"OAK→HP",IF(AND(J24&gt;TransferMin,K24&gt;0),"HP→OAK","None"))</f>
        <v>None</v>
      </c>
      <c r="N24" s="5" t="n">
        <f aca="false">IF(M24="OAK→HP",MIN(I24,L24),IF(M24="HP→OAK",MIN(J24,K24),0))</f>
        <v>0</v>
      </c>
      <c r="O24" s="5" t="n">
        <f aca="false">MAX(K24-IF(M24="HP→OAK",N24,0),0)</f>
        <v>1.85714285714286</v>
      </c>
      <c r="P24" s="5" t="n">
        <f aca="false">MAX(L24-IF(M24="OAK→HP",N24,0),0)</f>
        <v>3.71428571428571</v>
      </c>
      <c r="Q24" s="5" t="n">
        <f aca="false">IF(O24&gt;0,CEILING(O24,ITEM_MASTER_CLEAN!G24),0)</f>
        <v>2</v>
      </c>
      <c r="R24" s="5" t="n">
        <f aca="false">IF(P24&gt;0,CEILING(P24,ITEM_MASTER_CLEAN!G24),0)</f>
        <v>4</v>
      </c>
      <c r="S24" s="5" t="n">
        <f aca="false">IF(G24=0,0,(1-MIN(E24/MAX(G24,1),1))*50+(1-MIN(F24/MAX(H24,1),1))*50)</f>
        <v>100</v>
      </c>
    </row>
    <row r="25" customFormat="false" ht="15" hidden="false" customHeight="false" outlineLevel="0" collapsed="false">
      <c r="A25" s="5" t="n">
        <f aca="false">ITEM_MASTER_CLEAN!A25</f>
        <v>24</v>
      </c>
      <c r="B25" s="5" t="n">
        <f aca="false">ITEM_MASTER_CLEAN!B25</f>
        <v>16994</v>
      </c>
      <c r="C25" s="5" t="str">
        <f aca="false">ITEM_MASTER_CLEAN!C25</f>
        <v>CAKE CHEESE DULCE DE LECHE X2</v>
      </c>
      <c r="D25" s="12" t="n">
        <f aca="false">ITEM_MASTER_CLEAN!F25</f>
        <v>31.36</v>
      </c>
      <c r="E25" s="5" t="n">
        <f aca="false">ITEM_MASTER_CLEAN!H25</f>
        <v>9</v>
      </c>
      <c r="F25" s="5" t="n">
        <f aca="false">ITEM_MASTER_CLEAN!I25</f>
        <v>0</v>
      </c>
      <c r="G25" s="5" t="n">
        <f aca="false">PAR_LEVELS!J25</f>
        <v>5.57142857142857</v>
      </c>
      <c r="H25" s="5" t="n">
        <f aca="false">PAR_LEVELS!K25</f>
        <v>1.85714285714286</v>
      </c>
      <c r="I25" s="5" t="n">
        <f aca="false">MAX(E25-G25,0)</f>
        <v>3.42857142857143</v>
      </c>
      <c r="J25" s="5" t="n">
        <f aca="false">MAX(F25-H25,0)</f>
        <v>0</v>
      </c>
      <c r="K25" s="5" t="n">
        <f aca="false">MAX(G25-E25,0)</f>
        <v>0</v>
      </c>
      <c r="L25" s="5" t="n">
        <f aca="false">MAX(H25-F25,0)</f>
        <v>1.85714285714286</v>
      </c>
      <c r="M25" s="5" t="str">
        <f aca="false">IF(AND(I25&gt;TransferMin,L25&gt;0),"OAK→HP",IF(AND(J25&gt;TransferMin,K25&gt;0),"HP→OAK","None"))</f>
        <v>None</v>
      </c>
      <c r="N25" s="5" t="n">
        <f aca="false">IF(M25="OAK→HP",MIN(I25,L25),IF(M25="HP→OAK",MIN(J25,K25),0))</f>
        <v>0</v>
      </c>
      <c r="O25" s="5" t="n">
        <f aca="false">MAX(K25-IF(M25="HP→OAK",N25,0),0)</f>
        <v>0</v>
      </c>
      <c r="P25" s="5" t="n">
        <f aca="false">MAX(L25-IF(M25="OAK→HP",N25,0),0)</f>
        <v>1.85714285714286</v>
      </c>
      <c r="Q25" s="5" t="n">
        <f aca="false">IF(O25&gt;0,CEILING(O25,ITEM_MASTER_CLEAN!G25),0)</f>
        <v>0</v>
      </c>
      <c r="R25" s="5" t="n">
        <f aca="false">IF(P25&gt;0,CEILING(P25,ITEM_MASTER_CLEAN!G25),0)</f>
        <v>2</v>
      </c>
      <c r="S25" s="5" t="n">
        <f aca="false">IF(G25=0,0,(1-MIN(E25/MAX(G25,1),1))*50+(1-MIN(F25/MAX(H25,1),1))*50)</f>
        <v>50</v>
      </c>
    </row>
    <row r="26" customFormat="false" ht="15" hidden="false" customHeight="false" outlineLevel="0" collapsed="false">
      <c r="A26" s="5" t="n">
        <f aca="false">ITEM_MASTER_CLEAN!A26</f>
        <v>25</v>
      </c>
      <c r="B26" s="5" t="n">
        <f aca="false">ITEM_MASTER_CLEAN!B26</f>
        <v>19694</v>
      </c>
      <c r="C26" s="5" t="str">
        <f aca="false">ITEM_MASTER_CLEAN!C26</f>
        <v>CAKE REESE P.BUTTER CHOC 2X28PC</v>
      </c>
      <c r="D26" s="12" t="n">
        <f aca="false">ITEM_MASTER_CLEAN!F26</f>
        <v>51.07</v>
      </c>
      <c r="E26" s="5" t="n">
        <f aca="false">ITEM_MASTER_CLEAN!H26</f>
        <v>0</v>
      </c>
      <c r="F26" s="5" t="n">
        <f aca="false">ITEM_MASTER_CLEAN!I26</f>
        <v>0</v>
      </c>
      <c r="G26" s="5" t="n">
        <f aca="false">PAR_LEVELS!J26</f>
        <v>1.85714285714286</v>
      </c>
      <c r="H26" s="5" t="n">
        <f aca="false">PAR_LEVELS!K26</f>
        <v>1.85714285714286</v>
      </c>
      <c r="I26" s="5" t="n">
        <f aca="false">MAX(E26-G26,0)</f>
        <v>0</v>
      </c>
      <c r="J26" s="5" t="n">
        <f aca="false">MAX(F26-H26,0)</f>
        <v>0</v>
      </c>
      <c r="K26" s="5" t="n">
        <f aca="false">MAX(G26-E26,0)</f>
        <v>1.85714285714286</v>
      </c>
      <c r="L26" s="5" t="n">
        <f aca="false">MAX(H26-F26,0)</f>
        <v>1.85714285714286</v>
      </c>
      <c r="M26" s="5" t="str">
        <f aca="false">IF(AND(I26&gt;TransferMin,L26&gt;0),"OAK→HP",IF(AND(J26&gt;TransferMin,K26&gt;0),"HP→OAK","None"))</f>
        <v>None</v>
      </c>
      <c r="N26" s="5" t="n">
        <f aca="false">IF(M26="OAK→HP",MIN(I26,L26),IF(M26="HP→OAK",MIN(J26,K26),0))</f>
        <v>0</v>
      </c>
      <c r="O26" s="5" t="n">
        <f aca="false">MAX(K26-IF(M26="HP→OAK",N26,0),0)</f>
        <v>1.85714285714286</v>
      </c>
      <c r="P26" s="5" t="n">
        <f aca="false">MAX(L26-IF(M26="OAK→HP",N26,0),0)</f>
        <v>1.85714285714286</v>
      </c>
      <c r="Q26" s="5" t="n">
        <f aca="false">IF(O26&gt;0,CEILING(O26,ITEM_MASTER_CLEAN!G26),0)</f>
        <v>2</v>
      </c>
      <c r="R26" s="5" t="n">
        <f aca="false">IF(P26&gt;0,CEILING(P26,ITEM_MASTER_CLEAN!G26),0)</f>
        <v>2</v>
      </c>
      <c r="S26" s="5" t="n">
        <f aca="false">IF(G26=0,0,(1-MIN(E26/MAX(G26,1),1))*50+(1-MIN(F26/MAX(H26,1),1))*50)</f>
        <v>100</v>
      </c>
    </row>
    <row r="27" customFormat="false" ht="15" hidden="false" customHeight="false" outlineLevel="0" collapsed="false">
      <c r="A27" s="5" t="n">
        <f aca="false">ITEM_MASTER_CLEAN!A27</f>
        <v>26</v>
      </c>
      <c r="B27" s="5" t="n">
        <f aca="false">ITEM_MASTER_CLEAN!B27</f>
        <v>16991</v>
      </c>
      <c r="C27" s="5" t="str">
        <f aca="false">ITEM_MASTER_CLEAN!C27</f>
        <v>CAKE CHEESE RED VELVET X2</v>
      </c>
      <c r="D27" s="12" t="n">
        <f aca="false">ITEM_MASTER_CLEAN!F27</f>
        <v>52.5</v>
      </c>
      <c r="E27" s="5" t="n">
        <f aca="false">ITEM_MASTER_CLEAN!H27</f>
        <v>4</v>
      </c>
      <c r="F27" s="5" t="n">
        <f aca="false">ITEM_MASTER_CLEAN!I27</f>
        <v>3</v>
      </c>
      <c r="G27" s="5" t="n">
        <f aca="false">PAR_LEVELS!J27</f>
        <v>5.57142857142857</v>
      </c>
      <c r="H27" s="5" t="n">
        <f aca="false">PAR_LEVELS!K27</f>
        <v>3.71428571428571</v>
      </c>
      <c r="I27" s="5" t="n">
        <f aca="false">MAX(E27-G27,0)</f>
        <v>0</v>
      </c>
      <c r="J27" s="5" t="n">
        <f aca="false">MAX(F27-H27,0)</f>
        <v>0</v>
      </c>
      <c r="K27" s="5" t="n">
        <f aca="false">MAX(G27-E27,0)</f>
        <v>1.57142857142857</v>
      </c>
      <c r="L27" s="5" t="n">
        <f aca="false">MAX(H27-F27,0)</f>
        <v>0.714285714285714</v>
      </c>
      <c r="M27" s="5" t="str">
        <f aca="false">IF(AND(I27&gt;TransferMin,L27&gt;0),"OAK→HP",IF(AND(J27&gt;TransferMin,K27&gt;0),"HP→OAK","None"))</f>
        <v>None</v>
      </c>
      <c r="N27" s="5" t="n">
        <f aca="false">IF(M27="OAK→HP",MIN(I27,L27),IF(M27="HP→OAK",MIN(J27,K27),0))</f>
        <v>0</v>
      </c>
      <c r="O27" s="5" t="n">
        <f aca="false">MAX(K27-IF(M27="HP→OAK",N27,0),0)</f>
        <v>1.57142857142857</v>
      </c>
      <c r="P27" s="5" t="n">
        <f aca="false">MAX(L27-IF(M27="OAK→HP",N27,0),0)</f>
        <v>0.714285714285714</v>
      </c>
      <c r="Q27" s="5" t="n">
        <f aca="false">IF(O27&gt;0,CEILING(O27,ITEM_MASTER_CLEAN!G27),0)</f>
        <v>2</v>
      </c>
      <c r="R27" s="5" t="n">
        <f aca="false">IF(P27&gt;0,CEILING(P27,ITEM_MASTER_CLEAN!G27),0)</f>
        <v>2</v>
      </c>
      <c r="S27" s="5" t="n">
        <f aca="false">IF(G27=0,0,(1-MIN(E27/MAX(G27,1),1))*50+(1-MIN(F27/MAX(H27,1),1))*50)</f>
        <v>23.7179487179487</v>
      </c>
    </row>
    <row r="28" customFormat="false" ht="15" hidden="false" customHeight="false" outlineLevel="0" collapsed="false">
      <c r="A28" s="5" t="n">
        <f aca="false">ITEM_MASTER_CLEAN!A28</f>
        <v>27</v>
      </c>
      <c r="B28" s="5" t="n">
        <f aca="false">ITEM_MASTER_CLEAN!B28</f>
        <v>16989</v>
      </c>
      <c r="C28" s="5" t="str">
        <f aca="false">ITEM_MASTER_CLEAN!C28</f>
        <v>CAKE CHEESE TUXEDO MOUSSE X2</v>
      </c>
      <c r="D28" s="12" t="n">
        <f aca="false">ITEM_MASTER_CLEAN!F28</f>
        <v>73.62</v>
      </c>
      <c r="E28" s="5" t="n">
        <f aca="false">ITEM_MASTER_CLEAN!H28</f>
        <v>3</v>
      </c>
      <c r="F28" s="5" t="n">
        <f aca="false">ITEM_MASTER_CLEAN!I28</f>
        <v>0</v>
      </c>
      <c r="G28" s="5" t="n">
        <f aca="false">PAR_LEVELS!J28</f>
        <v>1.85714285714286</v>
      </c>
      <c r="H28" s="5" t="n">
        <f aca="false">PAR_LEVELS!K28</f>
        <v>1.85714285714286</v>
      </c>
      <c r="I28" s="5" t="n">
        <f aca="false">MAX(E28-G28,0)</f>
        <v>1.14285714285714</v>
      </c>
      <c r="J28" s="5" t="n">
        <f aca="false">MAX(F28-H28,0)</f>
        <v>0</v>
      </c>
      <c r="K28" s="5" t="n">
        <f aca="false">MAX(G28-E28,0)</f>
        <v>0</v>
      </c>
      <c r="L28" s="5" t="n">
        <f aca="false">MAX(H28-F28,0)</f>
        <v>1.85714285714286</v>
      </c>
      <c r="M28" s="5" t="str">
        <f aca="false">IF(AND(I28&gt;TransferMin,L28&gt;0),"OAK→HP",IF(AND(J28&gt;TransferMin,K28&gt;0),"HP→OAK","None"))</f>
        <v>None</v>
      </c>
      <c r="N28" s="5" t="n">
        <f aca="false">IF(M28="OAK→HP",MIN(I28,L28),IF(M28="HP→OAK",MIN(J28,K28),0))</f>
        <v>0</v>
      </c>
      <c r="O28" s="5" t="n">
        <f aca="false">MAX(K28-IF(M28="HP→OAK",N28,0),0)</f>
        <v>0</v>
      </c>
      <c r="P28" s="5" t="n">
        <f aca="false">MAX(L28-IF(M28="OAK→HP",N28,0),0)</f>
        <v>1.85714285714286</v>
      </c>
      <c r="Q28" s="5" t="n">
        <f aca="false">IF(O28&gt;0,CEILING(O28,ITEM_MASTER_CLEAN!G28),0)</f>
        <v>0</v>
      </c>
      <c r="R28" s="5" t="n">
        <f aca="false">IF(P28&gt;0,CEILING(P28,ITEM_MASTER_CLEAN!G28),0)</f>
        <v>2</v>
      </c>
      <c r="S28" s="5" t="n">
        <f aca="false">IF(G28=0,0,(1-MIN(E28/MAX(G28,1),1))*50+(1-MIN(F28/MAX(H28,1),1))*50)</f>
        <v>50</v>
      </c>
    </row>
    <row r="29" customFormat="false" ht="15" hidden="false" customHeight="false" outlineLevel="0" collapsed="false">
      <c r="A29" s="5" t="n">
        <f aca="false">ITEM_MASTER_CLEAN!A29</f>
        <v>28</v>
      </c>
      <c r="B29" s="5" t="n">
        <f aca="false">ITEM_MASTER_CLEAN!B29</f>
        <v>19630</v>
      </c>
      <c r="C29" s="5" t="str">
        <f aca="false">ITEM_MASTER_CLEAN!C29</f>
        <v>CAKE WHITE CHOC RSPBRY CHEESE X2</v>
      </c>
      <c r="D29" s="12" t="n">
        <f aca="false">ITEM_MASTER_CLEAN!F29</f>
        <v>37.08</v>
      </c>
      <c r="E29" s="5" t="n">
        <f aca="false">ITEM_MASTER_CLEAN!H29</f>
        <v>10</v>
      </c>
      <c r="F29" s="5" t="n">
        <f aca="false">ITEM_MASTER_CLEAN!I29</f>
        <v>3</v>
      </c>
      <c r="G29" s="5" t="n">
        <f aca="false">PAR_LEVELS!J29</f>
        <v>5.57142857142857</v>
      </c>
      <c r="H29" s="5" t="n">
        <f aca="false">PAR_LEVELS!K29</f>
        <v>1.85714285714286</v>
      </c>
      <c r="I29" s="5" t="n">
        <f aca="false">MAX(E29-G29,0)</f>
        <v>4.42857142857143</v>
      </c>
      <c r="J29" s="5" t="n">
        <f aca="false">MAX(F29-H29,0)</f>
        <v>1.14285714285714</v>
      </c>
      <c r="K29" s="5" t="n">
        <f aca="false">MAX(G29-E29,0)</f>
        <v>0</v>
      </c>
      <c r="L29" s="5" t="n">
        <f aca="false">MAX(H29-F29,0)</f>
        <v>0</v>
      </c>
      <c r="M29" s="5" t="str">
        <f aca="false">IF(AND(I29&gt;TransferMin,L29&gt;0),"OAK→HP",IF(AND(J29&gt;TransferMin,K29&gt;0),"HP→OAK","None"))</f>
        <v>None</v>
      </c>
      <c r="N29" s="5" t="n">
        <f aca="false">IF(M29="OAK→HP",MIN(I29,L29),IF(M29="HP→OAK",MIN(J29,K29),0))</f>
        <v>0</v>
      </c>
      <c r="O29" s="5" t="n">
        <f aca="false">MAX(K29-IF(M29="HP→OAK",N29,0),0)</f>
        <v>0</v>
      </c>
      <c r="P29" s="5" t="n">
        <f aca="false">MAX(L29-IF(M29="OAK→HP",N29,0),0)</f>
        <v>0</v>
      </c>
      <c r="Q29" s="5" t="n">
        <f aca="false">IF(O29&gt;0,CEILING(O29,ITEM_MASTER_CLEAN!G29),0)</f>
        <v>0</v>
      </c>
      <c r="R29" s="5" t="n">
        <f aca="false">IF(P29&gt;0,CEILING(P29,ITEM_MASTER_CLEAN!G29),0)</f>
        <v>0</v>
      </c>
      <c r="S29" s="5" t="n">
        <f aca="false">IF(G29=0,0,(1-MIN(E29/MAX(G29,1),1))*50+(1-MIN(F29/MAX(H29,1),1))*50)</f>
        <v>0</v>
      </c>
    </row>
    <row r="30" customFormat="false" ht="15" hidden="false" customHeight="false" outlineLevel="0" collapsed="false">
      <c r="A30" s="5" t="n">
        <f aca="false">ITEM_MASTER_CLEAN!A30</f>
        <v>29</v>
      </c>
      <c r="B30" s="5" t="n">
        <f aca="false">ITEM_MASTER_CLEAN!B30</f>
        <v>44985</v>
      </c>
      <c r="C30" s="5" t="str">
        <f aca="false">ITEM_MASTER_CLEAN!C30</f>
        <v>BISC DOUGH OREO V-VIT0013V 5K</v>
      </c>
      <c r="D30" s="12" t="n">
        <f aca="false">ITEM_MASTER_CLEAN!F30</f>
        <v>53.51</v>
      </c>
      <c r="E30" s="5" t="n">
        <f aca="false">ITEM_MASTER_CLEAN!H30</f>
        <v>3</v>
      </c>
      <c r="F30" s="5" t="n">
        <f aca="false">ITEM_MASTER_CLEAN!I30</f>
        <v>0</v>
      </c>
      <c r="G30" s="5" t="n">
        <f aca="false">PAR_LEVELS!J30</f>
        <v>11.1428571428571</v>
      </c>
      <c r="H30" s="5" t="n">
        <f aca="false">PAR_LEVELS!K30</f>
        <v>1.85714285714286</v>
      </c>
      <c r="I30" s="5" t="n">
        <f aca="false">MAX(E30-G30,0)</f>
        <v>0</v>
      </c>
      <c r="J30" s="5" t="n">
        <f aca="false">MAX(F30-H30,0)</f>
        <v>0</v>
      </c>
      <c r="K30" s="5" t="n">
        <f aca="false">MAX(G30-E30,0)</f>
        <v>8.14285714285714</v>
      </c>
      <c r="L30" s="5" t="n">
        <f aca="false">MAX(H30-F30,0)</f>
        <v>1.85714285714286</v>
      </c>
      <c r="M30" s="5" t="str">
        <f aca="false">IF(AND(I30&gt;TransferMin,L30&gt;0),"OAK→HP",IF(AND(J30&gt;TransferMin,K30&gt;0),"HP→OAK","None"))</f>
        <v>None</v>
      </c>
      <c r="N30" s="5" t="n">
        <f aca="false">IF(M30="OAK→HP",MIN(I30,L30),IF(M30="HP→OAK",MIN(J30,K30),0))</f>
        <v>0</v>
      </c>
      <c r="O30" s="5" t="n">
        <f aca="false">MAX(K30-IF(M30="HP→OAK",N30,0),0)</f>
        <v>8.14285714285714</v>
      </c>
      <c r="P30" s="5" t="n">
        <f aca="false">MAX(L30-IF(M30="OAK→HP",N30,0),0)</f>
        <v>1.85714285714286</v>
      </c>
      <c r="Q30" s="5" t="n">
        <f aca="false">IF(O30&gt;0,CEILING(O30,ITEM_MASTER_CLEAN!G30),0)</f>
        <v>9</v>
      </c>
      <c r="R30" s="5" t="n">
        <f aca="false">IF(P30&gt;0,CEILING(P30,ITEM_MASTER_CLEAN!G30),0)</f>
        <v>2</v>
      </c>
      <c r="S30" s="5" t="n">
        <f aca="false">IF(G30=0,0,(1-MIN(E30/MAX(G30,1),1))*50+(1-MIN(F30/MAX(H30,1),1))*50)</f>
        <v>86.5384615384616</v>
      </c>
    </row>
    <row r="31" customFormat="false" ht="15" hidden="false" customHeight="false" outlineLevel="0" collapsed="false">
      <c r="A31" s="5" t="n">
        <f aca="false">ITEM_MASTER_CLEAN!A31</f>
        <v>30</v>
      </c>
      <c r="B31" s="5" t="n">
        <f aca="false">ITEM_MASTER_CLEAN!B31</f>
        <v>44961</v>
      </c>
      <c r="C31" s="5" t="str">
        <f aca="false">ITEM_MASTER_CLEAN!C31</f>
        <v>BISC DOUGH BLK CHOCO MED SWEET 5K</v>
      </c>
      <c r="D31" s="12" t="n">
        <f aca="false">ITEM_MASTER_CLEAN!F31</f>
        <v>59.96</v>
      </c>
      <c r="E31" s="5" t="n">
        <f aca="false">ITEM_MASTER_CLEAN!H31</f>
        <v>1</v>
      </c>
      <c r="F31" s="5" t="n">
        <f aca="false">ITEM_MASTER_CLEAN!I31</f>
        <v>1</v>
      </c>
      <c r="G31" s="5" t="n">
        <f aca="false">PAR_LEVELS!J31</f>
        <v>5.57142857142857</v>
      </c>
      <c r="H31" s="5" t="n">
        <f aca="false">PAR_LEVELS!K31</f>
        <v>5.57142857142857</v>
      </c>
      <c r="I31" s="5" t="n">
        <f aca="false">MAX(E31-G31,0)</f>
        <v>0</v>
      </c>
      <c r="J31" s="5" t="n">
        <f aca="false">MAX(F31-H31,0)</f>
        <v>0</v>
      </c>
      <c r="K31" s="5" t="n">
        <f aca="false">MAX(G31-E31,0)</f>
        <v>4.57142857142857</v>
      </c>
      <c r="L31" s="5" t="n">
        <f aca="false">MAX(H31-F31,0)</f>
        <v>4.57142857142857</v>
      </c>
      <c r="M31" s="5" t="str">
        <f aca="false">IF(AND(I31&gt;TransferMin,L31&gt;0),"OAK→HP",IF(AND(J31&gt;TransferMin,K31&gt;0),"HP→OAK","None"))</f>
        <v>None</v>
      </c>
      <c r="N31" s="5" t="n">
        <f aca="false">IF(M31="OAK→HP",MIN(I31,L31),IF(M31="HP→OAK",MIN(J31,K31),0))</f>
        <v>0</v>
      </c>
      <c r="O31" s="5" t="n">
        <f aca="false">MAX(K31-IF(M31="HP→OAK",N31,0),0)</f>
        <v>4.57142857142857</v>
      </c>
      <c r="P31" s="5" t="n">
        <f aca="false">MAX(L31-IF(M31="OAK→HP",N31,0),0)</f>
        <v>4.57142857142857</v>
      </c>
      <c r="Q31" s="5" t="n">
        <f aca="false">IF(O31&gt;0,CEILING(O31,ITEM_MASTER_CLEAN!G31),0)</f>
        <v>5</v>
      </c>
      <c r="R31" s="5" t="n">
        <f aca="false">IF(P31&gt;0,CEILING(P31,ITEM_MASTER_CLEAN!G31),0)</f>
        <v>5</v>
      </c>
      <c r="S31" s="5" t="n">
        <f aca="false">IF(G31=0,0,(1-MIN(E31/MAX(G31,1),1))*50+(1-MIN(F31/MAX(H31,1),1))*50)</f>
        <v>82.051282051282</v>
      </c>
    </row>
    <row r="32" customFormat="false" ht="15" hidden="false" customHeight="false" outlineLevel="0" collapsed="false">
      <c r="A32" s="5" t="n">
        <f aca="false">ITEM_MASTER_CLEAN!A32</f>
        <v>31</v>
      </c>
      <c r="B32" s="5" t="n">
        <f aca="false">ITEM_MASTER_CLEAN!B32</f>
        <v>44962</v>
      </c>
      <c r="C32" s="5" t="str">
        <f aca="false">ITEM_MASTER_CLEAN!C32</f>
        <v>BISC DOUGH DBL CHOCO PAIL 5K</v>
      </c>
      <c r="D32" s="12" t="n">
        <f aca="false">ITEM_MASTER_CLEAN!F32</f>
        <v>12.58</v>
      </c>
      <c r="E32" s="5" t="n">
        <f aca="false">ITEM_MASTER_CLEAN!H32</f>
        <v>9</v>
      </c>
      <c r="F32" s="5" t="n">
        <f aca="false">ITEM_MASTER_CLEAN!I32</f>
        <v>1</v>
      </c>
      <c r="G32" s="5" t="n">
        <f aca="false">PAR_LEVELS!J32</f>
        <v>11.1428571428571</v>
      </c>
      <c r="H32" s="5" t="n">
        <f aca="false">PAR_LEVELS!K32</f>
        <v>1.85714285714286</v>
      </c>
      <c r="I32" s="5" t="n">
        <f aca="false">MAX(E32-G32,0)</f>
        <v>0</v>
      </c>
      <c r="J32" s="5" t="n">
        <f aca="false">MAX(F32-H32,0)</f>
        <v>0</v>
      </c>
      <c r="K32" s="5" t="n">
        <f aca="false">MAX(G32-E32,0)</f>
        <v>2.14285714285714</v>
      </c>
      <c r="L32" s="5" t="n">
        <f aca="false">MAX(H32-F32,0)</f>
        <v>0.857142857142857</v>
      </c>
      <c r="M32" s="5" t="str">
        <f aca="false">IF(AND(I32&gt;TransferMin,L32&gt;0),"OAK→HP",IF(AND(J32&gt;TransferMin,K32&gt;0),"HP→OAK","None"))</f>
        <v>None</v>
      </c>
      <c r="N32" s="5" t="n">
        <f aca="false">IF(M32="OAK→HP",MIN(I32,L32),IF(M32="HP→OAK",MIN(J32,K32),0))</f>
        <v>0</v>
      </c>
      <c r="O32" s="5" t="n">
        <f aca="false">MAX(K32-IF(M32="HP→OAK",N32,0),0)</f>
        <v>2.14285714285714</v>
      </c>
      <c r="P32" s="5" t="n">
        <f aca="false">MAX(L32-IF(M32="OAK→HP",N32,0),0)</f>
        <v>0.857142857142857</v>
      </c>
      <c r="Q32" s="5" t="n">
        <f aca="false">IF(O32&gt;0,CEILING(O32,ITEM_MASTER_CLEAN!G32),0)</f>
        <v>3</v>
      </c>
      <c r="R32" s="5" t="n">
        <f aca="false">IF(P32&gt;0,CEILING(P32,ITEM_MASTER_CLEAN!G32),0)</f>
        <v>1</v>
      </c>
      <c r="S32" s="5" t="n">
        <f aca="false">IF(G32=0,0,(1-MIN(E32/MAX(G32,1),1))*50+(1-MIN(F32/MAX(H32,1),1))*50)</f>
        <v>32.6923076923077</v>
      </c>
    </row>
    <row r="33" customFormat="false" ht="15" hidden="false" customHeight="false" outlineLevel="0" collapsed="false">
      <c r="A33" s="5" t="n">
        <f aca="false">ITEM_MASTER_CLEAN!A33</f>
        <v>32</v>
      </c>
      <c r="B33" s="5" t="n">
        <f aca="false">ITEM_MASTER_CLEAN!B33</f>
        <v>63927</v>
      </c>
      <c r="C33" s="5" t="str">
        <f aca="false">ITEM_MASTER_CLEAN!C33</f>
        <v>Bisc PUCK Dbl Choc 160x2oz</v>
      </c>
      <c r="D33" s="12" t="n">
        <f aca="false">ITEM_MASTER_CLEAN!F33</f>
        <v>68.6</v>
      </c>
      <c r="E33" s="5" t="n">
        <f aca="false">ITEM_MASTER_CLEAN!H33</f>
        <v>7</v>
      </c>
      <c r="F33" s="5" t="n">
        <f aca="false">ITEM_MASTER_CLEAN!I33</f>
        <v>5</v>
      </c>
      <c r="G33" s="5" t="n">
        <f aca="false">PAR_LEVELS!J33</f>
        <v>7.42857142857143</v>
      </c>
      <c r="H33" s="5" t="n">
        <f aca="false">PAR_LEVELS!K33</f>
        <v>5.57142857142857</v>
      </c>
      <c r="I33" s="5" t="n">
        <f aca="false">MAX(E33-G33,0)</f>
        <v>0</v>
      </c>
      <c r="J33" s="5" t="n">
        <f aca="false">MAX(F33-H33,0)</f>
        <v>0</v>
      </c>
      <c r="K33" s="5" t="n">
        <f aca="false">MAX(G33-E33,0)</f>
        <v>0.428571428571428</v>
      </c>
      <c r="L33" s="5" t="n">
        <f aca="false">MAX(H33-F33,0)</f>
        <v>0.571428571428571</v>
      </c>
      <c r="M33" s="5" t="str">
        <f aca="false">IF(AND(I33&gt;TransferMin,L33&gt;0),"OAK→HP",IF(AND(J33&gt;TransferMin,K33&gt;0),"HP→OAK","None"))</f>
        <v>None</v>
      </c>
      <c r="N33" s="5" t="n">
        <f aca="false">IF(M33="OAK→HP",MIN(I33,L33),IF(M33="HP→OAK",MIN(J33,K33),0))</f>
        <v>0</v>
      </c>
      <c r="O33" s="5" t="n">
        <f aca="false">MAX(K33-IF(M33="HP→OAK",N33,0),0)</f>
        <v>0.428571428571428</v>
      </c>
      <c r="P33" s="5" t="n">
        <f aca="false">MAX(L33-IF(M33="OAK→HP",N33,0),0)</f>
        <v>0.571428571428571</v>
      </c>
      <c r="Q33" s="5" t="n">
        <f aca="false">IF(O33&gt;0,CEILING(O33,ITEM_MASTER_CLEAN!G33),0)</f>
        <v>160</v>
      </c>
      <c r="R33" s="5" t="n">
        <f aca="false">IF(P33&gt;0,CEILING(P33,ITEM_MASTER_CLEAN!G33),0)</f>
        <v>160</v>
      </c>
      <c r="S33" s="5" t="n">
        <f aca="false">IF(G33=0,0,(1-MIN(E33/MAX(G33,1),1))*50+(1-MIN(F33/MAX(H33,1),1))*50)</f>
        <v>8.01282051282051</v>
      </c>
    </row>
    <row r="34" customFormat="false" ht="15" hidden="false" customHeight="false" outlineLevel="0" collapsed="false">
      <c r="A34" s="5" t="n">
        <f aca="false">ITEM_MASTER_CLEAN!A34</f>
        <v>33</v>
      </c>
      <c r="B34" s="5" t="n">
        <f aca="false">ITEM_MASTER_CLEAN!B34</f>
        <v>64106</v>
      </c>
      <c r="C34" s="5" t="str">
        <f aca="false">ITEM_MASTER_CLEAN!C34</f>
        <v>Bisc PUCK ChocBln/Maca 160x2oz</v>
      </c>
      <c r="D34" s="12" t="n">
        <f aca="false">ITEM_MASTER_CLEAN!F34</f>
        <v>56.66</v>
      </c>
      <c r="E34" s="5" t="n">
        <f aca="false">ITEM_MASTER_CLEAN!H34</f>
        <v>2</v>
      </c>
      <c r="F34" s="5" t="n">
        <f aca="false">ITEM_MASTER_CLEAN!I34</f>
        <v>4</v>
      </c>
      <c r="G34" s="5" t="n">
        <f aca="false">PAR_LEVELS!J34</f>
        <v>3.71428571428571</v>
      </c>
      <c r="H34" s="5" t="n">
        <f aca="false">PAR_LEVELS!K34</f>
        <v>5.57142857142857</v>
      </c>
      <c r="I34" s="5" t="n">
        <f aca="false">MAX(E34-G34,0)</f>
        <v>0</v>
      </c>
      <c r="J34" s="5" t="n">
        <f aca="false">MAX(F34-H34,0)</f>
        <v>0</v>
      </c>
      <c r="K34" s="5" t="n">
        <f aca="false">MAX(G34-E34,0)</f>
        <v>1.71428571428571</v>
      </c>
      <c r="L34" s="5" t="n">
        <f aca="false">MAX(H34-F34,0)</f>
        <v>1.57142857142857</v>
      </c>
      <c r="M34" s="5" t="str">
        <f aca="false">IF(AND(I34&gt;TransferMin,L34&gt;0),"OAK→HP",IF(AND(J34&gt;TransferMin,K34&gt;0),"HP→OAK","None"))</f>
        <v>None</v>
      </c>
      <c r="N34" s="5" t="n">
        <f aca="false">IF(M34="OAK→HP",MIN(I34,L34),IF(M34="HP→OAK",MIN(J34,K34),0))</f>
        <v>0</v>
      </c>
      <c r="O34" s="5" t="n">
        <f aca="false">MAX(K34-IF(M34="HP→OAK",N34,0),0)</f>
        <v>1.71428571428571</v>
      </c>
      <c r="P34" s="5" t="n">
        <f aca="false">MAX(L34-IF(M34="OAK→HP",N34,0),0)</f>
        <v>1.57142857142857</v>
      </c>
      <c r="Q34" s="5" t="n">
        <f aca="false">IF(O34&gt;0,CEILING(O34,ITEM_MASTER_CLEAN!G34),0)</f>
        <v>160</v>
      </c>
      <c r="R34" s="5" t="n">
        <f aca="false">IF(P34&gt;0,CEILING(P34,ITEM_MASTER_CLEAN!G34),0)</f>
        <v>160</v>
      </c>
      <c r="S34" s="5" t="n">
        <f aca="false">IF(G34=0,0,(1-MIN(E34/MAX(G34,1),1))*50+(1-MIN(F34/MAX(H34,1),1))*50)</f>
        <v>37.1794871794872</v>
      </c>
    </row>
    <row r="35" customFormat="false" ht="15" hidden="false" customHeight="false" outlineLevel="0" collapsed="false">
      <c r="A35" s="5" t="n">
        <f aca="false">ITEM_MASTER_CLEAN!A35</f>
        <v>34</v>
      </c>
      <c r="B35" s="5" t="n">
        <f aca="false">ITEM_MASTER_CLEAN!B35</f>
        <v>63934</v>
      </c>
      <c r="C35" s="5" t="str">
        <f aca="false">ITEM_MASTER_CLEAN!C35</f>
        <v>Bisc PUCK ChocChunk 160x2oz</v>
      </c>
      <c r="D35" s="12" t="n">
        <f aca="false">ITEM_MASTER_CLEAN!F35</f>
        <v>61.35</v>
      </c>
      <c r="E35" s="5" t="n">
        <f aca="false">ITEM_MASTER_CLEAN!H35</f>
        <v>4</v>
      </c>
      <c r="F35" s="5" t="n">
        <f aca="false">ITEM_MASTER_CLEAN!I35</f>
        <v>4</v>
      </c>
      <c r="G35" s="5" t="n">
        <f aca="false">PAR_LEVELS!J35</f>
        <v>5.57142857142857</v>
      </c>
      <c r="H35" s="5" t="n">
        <f aca="false">PAR_LEVELS!K35</f>
        <v>5.57142857142857</v>
      </c>
      <c r="I35" s="5" t="n">
        <f aca="false">MAX(E35-G35,0)</f>
        <v>0</v>
      </c>
      <c r="J35" s="5" t="n">
        <f aca="false">MAX(F35-H35,0)</f>
        <v>0</v>
      </c>
      <c r="K35" s="5" t="n">
        <f aca="false">MAX(G35-E35,0)</f>
        <v>1.57142857142857</v>
      </c>
      <c r="L35" s="5" t="n">
        <f aca="false">MAX(H35-F35,0)</f>
        <v>1.57142857142857</v>
      </c>
      <c r="M35" s="5" t="str">
        <f aca="false">IF(AND(I35&gt;TransferMin,L35&gt;0),"OAK→HP",IF(AND(J35&gt;TransferMin,K35&gt;0),"HP→OAK","None"))</f>
        <v>None</v>
      </c>
      <c r="N35" s="5" t="n">
        <f aca="false">IF(M35="OAK→HP",MIN(I35,L35),IF(M35="HP→OAK",MIN(J35,K35),0))</f>
        <v>0</v>
      </c>
      <c r="O35" s="5" t="n">
        <f aca="false">MAX(K35-IF(M35="HP→OAK",N35,0),0)</f>
        <v>1.57142857142857</v>
      </c>
      <c r="P35" s="5" t="n">
        <f aca="false">MAX(L35-IF(M35="OAK→HP",N35,0),0)</f>
        <v>1.57142857142857</v>
      </c>
      <c r="Q35" s="5" t="n">
        <f aca="false">IF(O35&gt;0,CEILING(O35,ITEM_MASTER_CLEAN!G35),0)</f>
        <v>160</v>
      </c>
      <c r="R35" s="5" t="n">
        <f aca="false">IF(P35&gt;0,CEILING(P35,ITEM_MASTER_CLEAN!G35),0)</f>
        <v>160</v>
      </c>
      <c r="S35" s="5" t="n">
        <f aca="false">IF(G35=0,0,(1-MIN(E35/MAX(G35,1),1))*50+(1-MIN(F35/MAX(H35,1),1))*50)</f>
        <v>28.2051282051282</v>
      </c>
    </row>
    <row r="36" customFormat="false" ht="15" hidden="false" customHeight="false" outlineLevel="0" collapsed="false">
      <c r="A36" s="5" t="n">
        <f aca="false">ITEM_MASTER_CLEAN!A36</f>
        <v>35</v>
      </c>
      <c r="B36" s="5" t="n">
        <f aca="false">ITEM_MASTER_CLEAN!B36</f>
        <v>12596</v>
      </c>
      <c r="C36" s="5" t="str">
        <f aca="false">ITEM_MASTER_CLEAN!C36</f>
        <v>MTY TREAT FOR DOGS 24UN</v>
      </c>
      <c r="D36" s="12" t="n">
        <f aca="false">ITEM_MASTER_CLEAN!F36</f>
        <v>48.79</v>
      </c>
      <c r="E36" s="5" t="n">
        <f aca="false">ITEM_MASTER_CLEAN!H36</f>
        <v>14</v>
      </c>
      <c r="F36" s="5" t="n">
        <f aca="false">ITEM_MASTER_CLEAN!I36</f>
        <v>0</v>
      </c>
      <c r="G36" s="5" t="n">
        <f aca="false">PAR_LEVELS!J36</f>
        <v>7.42857142857143</v>
      </c>
      <c r="H36" s="5" t="n">
        <f aca="false">PAR_LEVELS!K36</f>
        <v>1.85714285714286</v>
      </c>
      <c r="I36" s="5" t="n">
        <f aca="false">MAX(E36-G36,0)</f>
        <v>6.57142857142857</v>
      </c>
      <c r="J36" s="5" t="n">
        <f aca="false">MAX(F36-H36,0)</f>
        <v>0</v>
      </c>
      <c r="K36" s="5" t="n">
        <f aca="false">MAX(G36-E36,0)</f>
        <v>0</v>
      </c>
      <c r="L36" s="5" t="n">
        <f aca="false">MAX(H36-F36,0)</f>
        <v>1.85714285714286</v>
      </c>
      <c r="M36" s="5" t="str">
        <f aca="false">IF(AND(I36&gt;TransferMin,L36&gt;0),"OAK→HP",IF(AND(J36&gt;TransferMin,K36&gt;0),"HP→OAK","None"))</f>
        <v>OAK→HP</v>
      </c>
      <c r="N36" s="5" t="n">
        <f aca="false">IF(M36="OAK→HP",MIN(I36,L36),IF(M36="HP→OAK",MIN(J36,K36),0))</f>
        <v>1.85714285714286</v>
      </c>
      <c r="O36" s="5" t="n">
        <f aca="false">MAX(K36-IF(M36="HP→OAK",N36,0),0)</f>
        <v>0</v>
      </c>
      <c r="P36" s="5" t="n">
        <f aca="false">MAX(L36-IF(M36="OAK→HP",N36,0),0)</f>
        <v>0</v>
      </c>
      <c r="Q36" s="5" t="n">
        <f aca="false">IF(O36&gt;0,CEILING(O36,ITEM_MASTER_CLEAN!G36),0)</f>
        <v>0</v>
      </c>
      <c r="R36" s="5" t="n">
        <f aca="false">IF(P36&gt;0,CEILING(P36,ITEM_MASTER_CLEAN!G36),0)</f>
        <v>0</v>
      </c>
      <c r="S36" s="5" t="n">
        <f aca="false">IF(G36=0,0,(1-MIN(E36/MAX(G36,1),1))*50+(1-MIN(F36/MAX(H36,1),1))*50)</f>
        <v>50</v>
      </c>
    </row>
    <row r="37" customFormat="false" ht="15" hidden="false" customHeight="false" outlineLevel="0" collapsed="false">
      <c r="A37" s="5" t="n">
        <f aca="false">ITEM_MASTER_CLEAN!A37</f>
        <v>36</v>
      </c>
      <c r="B37" s="5" t="n">
        <f aca="false">ITEM_MASTER_CLEAN!B37</f>
        <v>48219</v>
      </c>
      <c r="C37" s="5" t="str">
        <f aca="false">ITEM_MASTER_CLEAN!C37</f>
        <v>BISC LOTUS BISCOFF 10X250G</v>
      </c>
      <c r="D37" s="12" t="n">
        <f aca="false">ITEM_MASTER_CLEAN!F37</f>
        <v>35.88</v>
      </c>
      <c r="E37" s="5" t="n">
        <f aca="false">ITEM_MASTER_CLEAN!H37</f>
        <v>1</v>
      </c>
      <c r="F37" s="5" t="n">
        <f aca="false">ITEM_MASTER_CLEAN!I37</f>
        <v>10</v>
      </c>
      <c r="G37" s="5" t="n">
        <f aca="false">PAR_LEVELS!J37</f>
        <v>9.28571428571429</v>
      </c>
      <c r="H37" s="5" t="n">
        <f aca="false">PAR_LEVELS!K37</f>
        <v>7.42857142857143</v>
      </c>
      <c r="I37" s="5" t="n">
        <f aca="false">MAX(E37-G37,0)</f>
        <v>0</v>
      </c>
      <c r="J37" s="5" t="n">
        <f aca="false">MAX(F37-H37,0)</f>
        <v>2.57142857142857</v>
      </c>
      <c r="K37" s="5" t="n">
        <f aca="false">MAX(G37-E37,0)</f>
        <v>8.28571428571429</v>
      </c>
      <c r="L37" s="5" t="n">
        <f aca="false">MAX(H37-F37,0)</f>
        <v>0</v>
      </c>
      <c r="M37" s="5" t="str">
        <f aca="false">IF(AND(I37&gt;TransferMin,L37&gt;0),"OAK→HP",IF(AND(J37&gt;TransferMin,K37&gt;0),"HP→OAK","None"))</f>
        <v>None</v>
      </c>
      <c r="N37" s="5" t="n">
        <f aca="false">IF(M37="OAK→HP",MIN(I37,L37),IF(M37="HP→OAK",MIN(J37,K37),0))</f>
        <v>0</v>
      </c>
      <c r="O37" s="5" t="n">
        <f aca="false">MAX(K37-IF(M37="HP→OAK",N37,0),0)</f>
        <v>8.28571428571429</v>
      </c>
      <c r="P37" s="5" t="n">
        <f aca="false">MAX(L37-IF(M37="OAK→HP",N37,0),0)</f>
        <v>0</v>
      </c>
      <c r="Q37" s="5" t="n">
        <f aca="false">IF(O37&gt;0,CEILING(O37,ITEM_MASTER_CLEAN!G37),0)</f>
        <v>10</v>
      </c>
      <c r="R37" s="5" t="n">
        <f aca="false">IF(P37&gt;0,CEILING(P37,ITEM_MASTER_CLEAN!G37),0)</f>
        <v>0</v>
      </c>
      <c r="S37" s="5" t="n">
        <f aca="false">IF(G37=0,0,(1-MIN(E37/MAX(G37,1),1))*50+(1-MIN(F37/MAX(H37,1),1))*50)</f>
        <v>44.6153846153846</v>
      </c>
    </row>
    <row r="38" customFormat="false" ht="15" hidden="false" customHeight="false" outlineLevel="0" collapsed="false">
      <c r="A38" s="5" t="n">
        <f aca="false">ITEM_MASTER_CLEAN!A38</f>
        <v>37</v>
      </c>
      <c r="B38" s="5" t="n">
        <f aca="false">ITEM_MASTER_CLEAN!B38</f>
        <v>39811</v>
      </c>
      <c r="C38" s="5" t="str">
        <f aca="false">ITEM_MASTER_CLEAN!C38</f>
        <v>DONUT REGULAR 00726  140X28G</v>
      </c>
      <c r="D38" s="12" t="n">
        <f aca="false">ITEM_MASTER_CLEAN!F38</f>
        <v>32.63</v>
      </c>
      <c r="E38" s="5" t="n">
        <f aca="false">ITEM_MASTER_CLEAN!H38</f>
        <v>1</v>
      </c>
      <c r="F38" s="5" t="n">
        <f aca="false">ITEM_MASTER_CLEAN!I38</f>
        <v>3</v>
      </c>
      <c r="G38" s="5" t="n">
        <f aca="false">PAR_LEVELS!J38</f>
        <v>7.42857142857143</v>
      </c>
      <c r="H38" s="5" t="n">
        <f aca="false">PAR_LEVELS!K38</f>
        <v>1.85714285714286</v>
      </c>
      <c r="I38" s="5" t="n">
        <f aca="false">MAX(E38-G38,0)</f>
        <v>0</v>
      </c>
      <c r="J38" s="5" t="n">
        <f aca="false">MAX(F38-H38,0)</f>
        <v>1.14285714285714</v>
      </c>
      <c r="K38" s="5" t="n">
        <f aca="false">MAX(G38-E38,0)</f>
        <v>6.42857142857143</v>
      </c>
      <c r="L38" s="5" t="n">
        <f aca="false">MAX(H38-F38,0)</f>
        <v>0</v>
      </c>
      <c r="M38" s="5" t="str">
        <f aca="false">IF(AND(I38&gt;TransferMin,L38&gt;0),"OAK→HP",IF(AND(J38&gt;TransferMin,K38&gt;0),"HP→OAK","None"))</f>
        <v>None</v>
      </c>
      <c r="N38" s="5" t="n">
        <f aca="false">IF(M38="OAK→HP",MIN(I38,L38),IF(M38="HP→OAK",MIN(J38,K38),0))</f>
        <v>0</v>
      </c>
      <c r="O38" s="5" t="n">
        <f aca="false">MAX(K38-IF(M38="HP→OAK",N38,0),0)</f>
        <v>6.42857142857143</v>
      </c>
      <c r="P38" s="5" t="n">
        <f aca="false">MAX(L38-IF(M38="OAK→HP",N38,0),0)</f>
        <v>0</v>
      </c>
      <c r="Q38" s="5" t="n">
        <f aca="false">IF(O38&gt;0,CEILING(O38,ITEM_MASTER_CLEAN!G38),0)</f>
        <v>140</v>
      </c>
      <c r="R38" s="5" t="n">
        <f aca="false">IF(P38&gt;0,CEILING(P38,ITEM_MASTER_CLEAN!G38),0)</f>
        <v>0</v>
      </c>
      <c r="S38" s="5" t="n">
        <f aca="false">IF(G38=0,0,(1-MIN(E38/MAX(G38,1),1))*50+(1-MIN(F38/MAX(H38,1),1))*50)</f>
        <v>43.2692307692308</v>
      </c>
    </row>
    <row r="39" customFormat="false" ht="15" hidden="false" customHeight="false" outlineLevel="0" collapsed="false">
      <c r="A39" s="5" t="n">
        <f aca="false">ITEM_MASTER_CLEAN!A39</f>
        <v>38</v>
      </c>
      <c r="B39" s="5" t="n">
        <f aca="false">ITEM_MASTER_CLEAN!B39</f>
        <v>43328</v>
      </c>
      <c r="C39" s="5" t="str">
        <f aca="false">ITEM_MASTER_CLEAN!C39</f>
        <v>DONUT MINI VANILLA 2442 300X12G</v>
      </c>
      <c r="D39" s="12" t="n">
        <f aca="false">ITEM_MASTER_CLEAN!F39</f>
        <v>38.35</v>
      </c>
      <c r="E39" s="5" t="n">
        <f aca="false">ITEM_MASTER_CLEAN!H39</f>
        <v>11</v>
      </c>
      <c r="F39" s="5" t="n">
        <f aca="false">ITEM_MASTER_CLEAN!I39</f>
        <v>1</v>
      </c>
      <c r="G39" s="5" t="n">
        <f aca="false">PAR_LEVELS!J39</f>
        <v>5.57142857142857</v>
      </c>
      <c r="H39" s="5" t="n">
        <f aca="false">PAR_LEVELS!K39</f>
        <v>5.57142857142857</v>
      </c>
      <c r="I39" s="5" t="n">
        <f aca="false">MAX(E39-G39,0)</f>
        <v>5.42857142857143</v>
      </c>
      <c r="J39" s="5" t="n">
        <f aca="false">MAX(F39-H39,0)</f>
        <v>0</v>
      </c>
      <c r="K39" s="5" t="n">
        <f aca="false">MAX(G39-E39,0)</f>
        <v>0</v>
      </c>
      <c r="L39" s="5" t="n">
        <f aca="false">MAX(H39-F39,0)</f>
        <v>4.57142857142857</v>
      </c>
      <c r="M39" s="5" t="str">
        <f aca="false">IF(AND(I39&gt;TransferMin,L39&gt;0),"OAK→HP",IF(AND(J39&gt;TransferMin,K39&gt;0),"HP→OAK","None"))</f>
        <v>OAK→HP</v>
      </c>
      <c r="N39" s="5" t="n">
        <f aca="false">IF(M39="OAK→HP",MIN(I39,L39),IF(M39="HP→OAK",MIN(J39,K39),0))</f>
        <v>4.57142857142857</v>
      </c>
      <c r="O39" s="5" t="n">
        <f aca="false">MAX(K39-IF(M39="HP→OAK",N39,0),0)</f>
        <v>0</v>
      </c>
      <c r="P39" s="5" t="n">
        <f aca="false">MAX(L39-IF(M39="OAK→HP",N39,0),0)</f>
        <v>0</v>
      </c>
      <c r="Q39" s="5" t="n">
        <f aca="false">IF(O39&gt;0,CEILING(O39,ITEM_MASTER_CLEAN!G39),0)</f>
        <v>0</v>
      </c>
      <c r="R39" s="5" t="n">
        <f aca="false">IF(P39&gt;0,CEILING(P39,ITEM_MASTER_CLEAN!G39),0)</f>
        <v>0</v>
      </c>
      <c r="S39" s="5" t="n">
        <f aca="false">IF(G39=0,0,(1-MIN(E39/MAX(G39,1),1))*50+(1-MIN(F39/MAX(H39,1),1))*50)</f>
        <v>41.025641025641</v>
      </c>
    </row>
    <row r="40" customFormat="false" ht="15" hidden="false" customHeight="false" outlineLevel="0" collapsed="false">
      <c r="A40" s="5" t="n">
        <f aca="false">ITEM_MASTER_CLEAN!A40</f>
        <v>39</v>
      </c>
      <c r="B40" s="5" t="n">
        <f aca="false">ITEM_MASTER_CLEAN!B40</f>
        <v>50170</v>
      </c>
      <c r="C40" s="5" t="str">
        <f aca="false">ITEM_MASTER_CLEAN!C40</f>
        <v>MTY CHOC FF 3100051  5X1L</v>
      </c>
      <c r="D40" s="12" t="n">
        <f aca="false">ITEM_MASTER_CLEAN!F40</f>
        <v>53.81</v>
      </c>
      <c r="E40" s="5" t="n">
        <f aca="false">ITEM_MASTER_CLEAN!H40</f>
        <v>3</v>
      </c>
      <c r="F40" s="5" t="n">
        <f aca="false">ITEM_MASTER_CLEAN!I40</f>
        <v>3</v>
      </c>
      <c r="G40" s="5" t="n">
        <f aca="false">PAR_LEVELS!J40</f>
        <v>3.71428571428571</v>
      </c>
      <c r="H40" s="5" t="n">
        <f aca="false">PAR_LEVELS!K40</f>
        <v>3.71428571428571</v>
      </c>
      <c r="I40" s="5" t="n">
        <f aca="false">MAX(E40-G40,0)</f>
        <v>0</v>
      </c>
      <c r="J40" s="5" t="n">
        <f aca="false">MAX(F40-H40,0)</f>
        <v>0</v>
      </c>
      <c r="K40" s="5" t="n">
        <f aca="false">MAX(G40-E40,0)</f>
        <v>0.714285714285714</v>
      </c>
      <c r="L40" s="5" t="n">
        <f aca="false">MAX(H40-F40,0)</f>
        <v>0.714285714285714</v>
      </c>
      <c r="M40" s="5" t="str">
        <f aca="false">IF(AND(I40&gt;TransferMin,L40&gt;0),"OAK→HP",IF(AND(J40&gt;TransferMin,K40&gt;0),"HP→OAK","None"))</f>
        <v>None</v>
      </c>
      <c r="N40" s="5" t="n">
        <f aca="false">IF(M40="OAK→HP",MIN(I40,L40),IF(M40="HP→OAK",MIN(J40,K40),0))</f>
        <v>0</v>
      </c>
      <c r="O40" s="5" t="n">
        <f aca="false">MAX(K40-IF(M40="HP→OAK",N40,0),0)</f>
        <v>0.714285714285714</v>
      </c>
      <c r="P40" s="5" t="n">
        <f aca="false">MAX(L40-IF(M40="OAK→HP",N40,0),0)</f>
        <v>0.714285714285714</v>
      </c>
      <c r="Q40" s="5" t="n">
        <f aca="false">IF(O40&gt;0,CEILING(O40,ITEM_MASTER_CLEAN!G40),0)</f>
        <v>5</v>
      </c>
      <c r="R40" s="5" t="n">
        <f aca="false">IF(P40&gt;0,CEILING(P40,ITEM_MASTER_CLEAN!G40),0)</f>
        <v>5</v>
      </c>
      <c r="S40" s="5" t="n">
        <f aca="false">IF(G40=0,0,(1-MIN(E40/MAX(G40,1),1))*50+(1-MIN(F40/MAX(H40,1),1))*50)</f>
        <v>19.2307692307692</v>
      </c>
    </row>
    <row r="41" customFormat="false" ht="15" hidden="false" customHeight="false" outlineLevel="0" collapsed="false">
      <c r="A41" s="5" t="n">
        <f aca="false">ITEM_MASTER_CLEAN!A41</f>
        <v>40</v>
      </c>
      <c r="B41" s="5" t="n">
        <f aca="false">ITEM_MASTER_CLEAN!B41</f>
        <v>50010</v>
      </c>
      <c r="C41" s="5" t="str">
        <f aca="false">ITEM_MASTER_CLEAN!C41</f>
        <v>SCE CARAMEL REG MCL 5X1L</v>
      </c>
      <c r="D41" s="12" t="n">
        <f aca="false">ITEM_MASTER_CLEAN!F41</f>
        <v>48.2</v>
      </c>
      <c r="E41" s="5" t="n">
        <f aca="false">ITEM_MASTER_CLEAN!H41</f>
        <v>6</v>
      </c>
      <c r="F41" s="5" t="n">
        <f aca="false">ITEM_MASTER_CLEAN!I41</f>
        <v>0</v>
      </c>
      <c r="G41" s="5" t="n">
        <f aca="false">PAR_LEVELS!J41</f>
        <v>3.71428571428571</v>
      </c>
      <c r="H41" s="5" t="n">
        <f aca="false">PAR_LEVELS!K41</f>
        <v>3.71428571428571</v>
      </c>
      <c r="I41" s="5" t="n">
        <f aca="false">MAX(E41-G41,0)</f>
        <v>2.28571428571429</v>
      </c>
      <c r="J41" s="5" t="n">
        <f aca="false">MAX(F41-H41,0)</f>
        <v>0</v>
      </c>
      <c r="K41" s="5" t="n">
        <f aca="false">MAX(G41-E41,0)</f>
        <v>0</v>
      </c>
      <c r="L41" s="5" t="n">
        <f aca="false">MAX(H41-F41,0)</f>
        <v>3.71428571428571</v>
      </c>
      <c r="M41" s="5" t="str">
        <f aca="false">IF(AND(I41&gt;TransferMin,L41&gt;0),"OAK→HP",IF(AND(J41&gt;TransferMin,K41&gt;0),"HP→OAK","None"))</f>
        <v>None</v>
      </c>
      <c r="N41" s="5" t="n">
        <f aca="false">IF(M41="OAK→HP",MIN(I41,L41),IF(M41="HP→OAK",MIN(J41,K41),0))</f>
        <v>0</v>
      </c>
      <c r="O41" s="5" t="n">
        <f aca="false">MAX(K41-IF(M41="HP→OAK",N41,0),0)</f>
        <v>0</v>
      </c>
      <c r="P41" s="5" t="n">
        <f aca="false">MAX(L41-IF(M41="OAK→HP",N41,0),0)</f>
        <v>3.71428571428571</v>
      </c>
      <c r="Q41" s="5" t="n">
        <f aca="false">IF(O41&gt;0,CEILING(O41,ITEM_MASTER_CLEAN!G41),0)</f>
        <v>0</v>
      </c>
      <c r="R41" s="5" t="n">
        <f aca="false">IF(P41&gt;0,CEILING(P41,ITEM_MASTER_CLEAN!G41),0)</f>
        <v>5</v>
      </c>
      <c r="S41" s="5" t="n">
        <f aca="false">IF(G41=0,0,(1-MIN(E41/MAX(G41,1),1))*50+(1-MIN(F41/MAX(H41,1),1))*50)</f>
        <v>50</v>
      </c>
    </row>
    <row r="42" customFormat="false" ht="15" hidden="false" customHeight="false" outlineLevel="0" collapsed="false">
      <c r="A42" s="5" t="n">
        <f aca="false">ITEM_MASTER_CLEAN!A42</f>
        <v>41</v>
      </c>
      <c r="B42" s="5" t="n">
        <f aca="false">ITEM_MASTER_CLEAN!B42</f>
        <v>50166</v>
      </c>
      <c r="C42" s="5" t="str">
        <f aca="false">ITEM_MASTER_CLEAN!C42</f>
        <v>MTY fraise fr flow 10x1L</v>
      </c>
      <c r="D42" s="12" t="n">
        <f aca="false">ITEM_MASTER_CLEAN!F42</f>
        <v>50.92</v>
      </c>
      <c r="E42" s="5" t="n">
        <f aca="false">ITEM_MASTER_CLEAN!H42</f>
        <v>4</v>
      </c>
      <c r="F42" s="5" t="n">
        <f aca="false">ITEM_MASTER_CLEAN!I42</f>
        <v>2</v>
      </c>
      <c r="G42" s="5" t="n">
        <f aca="false">PAR_LEVELS!J42</f>
        <v>5.57142857142857</v>
      </c>
      <c r="H42" s="5" t="n">
        <f aca="false">PAR_LEVELS!K42</f>
        <v>3.71428571428571</v>
      </c>
      <c r="I42" s="5" t="n">
        <f aca="false">MAX(E42-G42,0)</f>
        <v>0</v>
      </c>
      <c r="J42" s="5" t="n">
        <f aca="false">MAX(F42-H42,0)</f>
        <v>0</v>
      </c>
      <c r="K42" s="5" t="n">
        <f aca="false">MAX(G42-E42,0)</f>
        <v>1.57142857142857</v>
      </c>
      <c r="L42" s="5" t="n">
        <f aca="false">MAX(H42-F42,0)</f>
        <v>1.71428571428571</v>
      </c>
      <c r="M42" s="5" t="str">
        <f aca="false">IF(AND(I42&gt;TransferMin,L42&gt;0),"OAK→HP",IF(AND(J42&gt;TransferMin,K42&gt;0),"HP→OAK","None"))</f>
        <v>None</v>
      </c>
      <c r="N42" s="5" t="n">
        <f aca="false">IF(M42="OAK→HP",MIN(I42,L42),IF(M42="HP→OAK",MIN(J42,K42),0))</f>
        <v>0</v>
      </c>
      <c r="O42" s="5" t="n">
        <f aca="false">MAX(K42-IF(M42="HP→OAK",N42,0),0)</f>
        <v>1.57142857142857</v>
      </c>
      <c r="P42" s="5" t="n">
        <f aca="false">MAX(L42-IF(M42="OAK→HP",N42,0),0)</f>
        <v>1.71428571428571</v>
      </c>
      <c r="Q42" s="5" t="n">
        <f aca="false">IF(O42&gt;0,CEILING(O42,ITEM_MASTER_CLEAN!G42),0)</f>
        <v>10</v>
      </c>
      <c r="R42" s="5" t="n">
        <f aca="false">IF(P42&gt;0,CEILING(P42,ITEM_MASTER_CLEAN!G42),0)</f>
        <v>10</v>
      </c>
      <c r="S42" s="5" t="n">
        <f aca="false">IF(G42=0,0,(1-MIN(E42/MAX(G42,1),1))*50+(1-MIN(F42/MAX(H42,1),1))*50)</f>
        <v>37.1794871794872</v>
      </c>
    </row>
    <row r="43" customFormat="false" ht="15" hidden="false" customHeight="false" outlineLevel="0" collapsed="false">
      <c r="A43" s="5" t="n">
        <f aca="false">ITEM_MASTER_CLEAN!A43</f>
        <v>42</v>
      </c>
      <c r="B43" s="5" t="n">
        <f aca="false">ITEM_MASTER_CLEAN!B43</f>
        <v>19850</v>
      </c>
      <c r="C43" s="5" t="str">
        <f aca="false">ITEM_MASTER_CLEAN!C43</f>
        <v>SPICE CINNAMON GRND 400G</v>
      </c>
      <c r="D43" s="12" t="n">
        <f aca="false">ITEM_MASTER_CLEAN!F43</f>
        <v>4.35</v>
      </c>
      <c r="E43" s="5" t="n">
        <f aca="false">ITEM_MASTER_CLEAN!H43</f>
        <v>11</v>
      </c>
      <c r="F43" s="5" t="n">
        <f aca="false">ITEM_MASTER_CLEAN!I43</f>
        <v>9</v>
      </c>
      <c r="G43" s="5" t="n">
        <f aca="false">PAR_LEVELS!J43</f>
        <v>5.57142857142857</v>
      </c>
      <c r="H43" s="5" t="n">
        <f aca="false">PAR_LEVELS!K43</f>
        <v>3.71428571428571</v>
      </c>
      <c r="I43" s="5" t="n">
        <f aca="false">MAX(E43-G43,0)</f>
        <v>5.42857142857143</v>
      </c>
      <c r="J43" s="5" t="n">
        <f aca="false">MAX(F43-H43,0)</f>
        <v>5.28571428571429</v>
      </c>
      <c r="K43" s="5" t="n">
        <f aca="false">MAX(G43-E43,0)</f>
        <v>0</v>
      </c>
      <c r="L43" s="5" t="n">
        <f aca="false">MAX(H43-F43,0)</f>
        <v>0</v>
      </c>
      <c r="M43" s="5" t="str">
        <f aca="false">IF(AND(I43&gt;TransferMin,L43&gt;0),"OAK→HP",IF(AND(J43&gt;TransferMin,K43&gt;0),"HP→OAK","None"))</f>
        <v>None</v>
      </c>
      <c r="N43" s="5" t="n">
        <f aca="false">IF(M43="OAK→HP",MIN(I43,L43),IF(M43="HP→OAK",MIN(J43,K43),0))</f>
        <v>0</v>
      </c>
      <c r="O43" s="5" t="n">
        <f aca="false">MAX(K43-IF(M43="HP→OAK",N43,0),0)</f>
        <v>0</v>
      </c>
      <c r="P43" s="5" t="n">
        <f aca="false">MAX(L43-IF(M43="OAK→HP",N43,0),0)</f>
        <v>0</v>
      </c>
      <c r="Q43" s="5" t="n">
        <f aca="false">IF(O43&gt;0,CEILING(O43,ITEM_MASTER_CLEAN!G43),0)</f>
        <v>0</v>
      </c>
      <c r="R43" s="5" t="n">
        <f aca="false">IF(P43&gt;0,CEILING(P43,ITEM_MASTER_CLEAN!G43),0)</f>
        <v>0</v>
      </c>
      <c r="S43" s="5" t="n">
        <f aca="false">IF(G43=0,0,(1-MIN(E43/MAX(G43,1),1))*50+(1-MIN(F43/MAX(H43,1),1))*50)</f>
        <v>0</v>
      </c>
    </row>
    <row r="44" customFormat="false" ht="15" hidden="false" customHeight="false" outlineLevel="0" collapsed="false">
      <c r="A44" s="5" t="n">
        <f aca="false">ITEM_MASTER_CLEAN!A44</f>
        <v>43</v>
      </c>
      <c r="B44" s="5" t="n">
        <f aca="false">ITEM_MASTER_CLEAN!B44</f>
        <v>68587</v>
      </c>
      <c r="C44" s="5" t="str">
        <f aca="false">ITEM_MASTER_CLEAN!C44</f>
        <v>SUGAR SPECIAL FINE K 1X2K</v>
      </c>
      <c r="D44" s="12" t="n">
        <f aca="false">ITEM_MASTER_CLEAN!F44</f>
        <v>5.41</v>
      </c>
      <c r="E44" s="5" t="n">
        <f aca="false">ITEM_MASTER_CLEAN!H44</f>
        <v>2</v>
      </c>
      <c r="F44" s="5" t="n">
        <f aca="false">ITEM_MASTER_CLEAN!I44</f>
        <v>3</v>
      </c>
      <c r="G44" s="5" t="n">
        <f aca="false">PAR_LEVELS!J44</f>
        <v>3.71428571428571</v>
      </c>
      <c r="H44" s="5" t="n">
        <f aca="false">PAR_LEVELS!K44</f>
        <v>5.57142857142857</v>
      </c>
      <c r="I44" s="5" t="n">
        <f aca="false">MAX(E44-G44,0)</f>
        <v>0</v>
      </c>
      <c r="J44" s="5" t="n">
        <f aca="false">MAX(F44-H44,0)</f>
        <v>0</v>
      </c>
      <c r="K44" s="5" t="n">
        <f aca="false">MAX(G44-E44,0)</f>
        <v>1.71428571428571</v>
      </c>
      <c r="L44" s="5" t="n">
        <f aca="false">MAX(H44-F44,0)</f>
        <v>2.57142857142857</v>
      </c>
      <c r="M44" s="5" t="str">
        <f aca="false">IF(AND(I44&gt;TransferMin,L44&gt;0),"OAK→HP",IF(AND(J44&gt;TransferMin,K44&gt;0),"HP→OAK","None"))</f>
        <v>None</v>
      </c>
      <c r="N44" s="5" t="n">
        <f aca="false">IF(M44="OAK→HP",MIN(I44,L44),IF(M44="HP→OAK",MIN(J44,K44),0))</f>
        <v>0</v>
      </c>
      <c r="O44" s="5" t="n">
        <f aca="false">MAX(K44-IF(M44="HP→OAK",N44,0),0)</f>
        <v>1.71428571428571</v>
      </c>
      <c r="P44" s="5" t="n">
        <f aca="false">MAX(L44-IF(M44="OAK→HP",N44,0),0)</f>
        <v>2.57142857142857</v>
      </c>
      <c r="Q44" s="5" t="n">
        <f aca="false">IF(O44&gt;0,CEILING(O44,ITEM_MASTER_CLEAN!G44),0)</f>
        <v>2</v>
      </c>
      <c r="R44" s="5" t="n">
        <f aca="false">IF(P44&gt;0,CEILING(P44,ITEM_MASTER_CLEAN!G44),0)</f>
        <v>3</v>
      </c>
      <c r="S44" s="5" t="n">
        <f aca="false">IF(G44=0,0,(1-MIN(E44/MAX(G44,1),1))*50+(1-MIN(F44/MAX(H44,1),1))*50)</f>
        <v>46.1538461538461</v>
      </c>
    </row>
    <row r="45" customFormat="false" ht="15" hidden="false" customHeight="false" outlineLevel="0" collapsed="false">
      <c r="A45" s="5" t="n">
        <f aca="false">ITEM_MASTER_CLEAN!A45</f>
        <v>44</v>
      </c>
      <c r="B45" s="5" t="n">
        <f aca="false">ITEM_MASTER_CLEAN!B45</f>
        <v>65315</v>
      </c>
      <c r="C45" s="5" t="str">
        <f aca="false">ITEM_MASTER_CLEAN!C45</f>
        <v>SUGAR ICING K 1X1K</v>
      </c>
      <c r="D45" s="12" t="n">
        <f aca="false">ITEM_MASTER_CLEAN!F45</f>
        <v>4.32</v>
      </c>
      <c r="E45" s="5" t="n">
        <f aca="false">ITEM_MASTER_CLEAN!H45</f>
        <v>1</v>
      </c>
      <c r="F45" s="5" t="n">
        <f aca="false">ITEM_MASTER_CLEAN!I45</f>
        <v>2</v>
      </c>
      <c r="G45" s="5" t="n">
        <f aca="false">PAR_LEVELS!J45</f>
        <v>1.85714285714286</v>
      </c>
      <c r="H45" s="5" t="n">
        <f aca="false">PAR_LEVELS!K45</f>
        <v>3.71428571428571</v>
      </c>
      <c r="I45" s="5" t="n">
        <f aca="false">MAX(E45-G45,0)</f>
        <v>0</v>
      </c>
      <c r="J45" s="5" t="n">
        <f aca="false">MAX(F45-H45,0)</f>
        <v>0</v>
      </c>
      <c r="K45" s="5" t="n">
        <f aca="false">MAX(G45-E45,0)</f>
        <v>0.857142857142857</v>
      </c>
      <c r="L45" s="5" t="n">
        <f aca="false">MAX(H45-F45,0)</f>
        <v>1.71428571428571</v>
      </c>
      <c r="M45" s="5" t="str">
        <f aca="false">IF(AND(I45&gt;TransferMin,L45&gt;0),"OAK→HP",IF(AND(J45&gt;TransferMin,K45&gt;0),"HP→OAK","None"))</f>
        <v>None</v>
      </c>
      <c r="N45" s="5" t="n">
        <f aca="false">IF(M45="OAK→HP",MIN(I45,L45),IF(M45="HP→OAK",MIN(J45,K45),0))</f>
        <v>0</v>
      </c>
      <c r="O45" s="5" t="n">
        <f aca="false">MAX(K45-IF(M45="HP→OAK",N45,0),0)</f>
        <v>0.857142857142857</v>
      </c>
      <c r="P45" s="5" t="n">
        <f aca="false">MAX(L45-IF(M45="OAK→HP",N45,0),0)</f>
        <v>1.71428571428571</v>
      </c>
      <c r="Q45" s="5" t="n">
        <f aca="false">IF(O45&gt;0,CEILING(O45,ITEM_MASTER_CLEAN!G45),0)</f>
        <v>1</v>
      </c>
      <c r="R45" s="5" t="n">
        <f aca="false">IF(P45&gt;0,CEILING(P45,ITEM_MASTER_CLEAN!G45),0)</f>
        <v>2</v>
      </c>
      <c r="S45" s="5" t="n">
        <f aca="false">IF(G45=0,0,(1-MIN(E45/MAX(G45,1),1))*50+(1-MIN(F45/MAX(H45,1),1))*50)</f>
        <v>46.1538461538461</v>
      </c>
    </row>
    <row r="46" customFormat="false" ht="15" hidden="false" customHeight="false" outlineLevel="0" collapsed="false">
      <c r="A46" s="5" t="n">
        <f aca="false">ITEM_MASTER_CLEAN!A46</f>
        <v>45</v>
      </c>
      <c r="B46" s="5" t="n">
        <f aca="false">ITEM_MASTER_CLEAN!B46</f>
        <v>47526</v>
      </c>
      <c r="C46" s="5" t="str">
        <f aca="false">ITEM_MASTER_CLEAN!C46</f>
        <v>CREPE DUTCH 105498 100X63G</v>
      </c>
      <c r="D46" s="12" t="n">
        <f aca="false">ITEM_MASTER_CLEAN!F46</f>
        <v>55.33</v>
      </c>
      <c r="E46" s="5" t="n">
        <f aca="false">ITEM_MASTER_CLEAN!H46</f>
        <v>1</v>
      </c>
      <c r="F46" s="5" t="n">
        <f aca="false">ITEM_MASTER_CLEAN!I46</f>
        <v>1</v>
      </c>
      <c r="G46" s="5" t="n">
        <f aca="false">PAR_LEVELS!J46</f>
        <v>3.71428571428571</v>
      </c>
      <c r="H46" s="5" t="n">
        <f aca="false">PAR_LEVELS!K46</f>
        <v>3.71428571428571</v>
      </c>
      <c r="I46" s="5" t="n">
        <f aca="false">MAX(E46-G46,0)</f>
        <v>0</v>
      </c>
      <c r="J46" s="5" t="n">
        <f aca="false">MAX(F46-H46,0)</f>
        <v>0</v>
      </c>
      <c r="K46" s="5" t="n">
        <f aca="false">MAX(G46-E46,0)</f>
        <v>2.71428571428571</v>
      </c>
      <c r="L46" s="5" t="n">
        <f aca="false">MAX(H46-F46,0)</f>
        <v>2.71428571428571</v>
      </c>
      <c r="M46" s="5" t="str">
        <f aca="false">IF(AND(I46&gt;TransferMin,L46&gt;0),"OAK→HP",IF(AND(J46&gt;TransferMin,K46&gt;0),"HP→OAK","None"))</f>
        <v>None</v>
      </c>
      <c r="N46" s="5" t="n">
        <f aca="false">IF(M46="OAK→HP",MIN(I46,L46),IF(M46="HP→OAK",MIN(J46,K46),0))</f>
        <v>0</v>
      </c>
      <c r="O46" s="5" t="n">
        <f aca="false">MAX(K46-IF(M46="HP→OAK",N46,0),0)</f>
        <v>2.71428571428571</v>
      </c>
      <c r="P46" s="5" t="n">
        <f aca="false">MAX(L46-IF(M46="OAK→HP",N46,0),0)</f>
        <v>2.71428571428571</v>
      </c>
      <c r="Q46" s="5" t="n">
        <f aca="false">IF(O46&gt;0,CEILING(O46,ITEM_MASTER_CLEAN!G46),0)</f>
        <v>100</v>
      </c>
      <c r="R46" s="5" t="n">
        <f aca="false">IF(P46&gt;0,CEILING(P46,ITEM_MASTER_CLEAN!G46),0)</f>
        <v>100</v>
      </c>
      <c r="S46" s="5" t="n">
        <f aca="false">IF(G46=0,0,(1-MIN(E46/MAX(G46,1),1))*50+(1-MIN(F46/MAX(H46,1),1))*50)</f>
        <v>73.0769230769231</v>
      </c>
    </row>
    <row r="47" customFormat="false" ht="15" hidden="false" customHeight="false" outlineLevel="0" collapsed="false">
      <c r="A47" s="5" t="n">
        <f aca="false">ITEM_MASTER_CLEAN!A47</f>
        <v>46</v>
      </c>
      <c r="B47" s="5" t="n">
        <f aca="false">ITEM_MASTER_CLEAN!B47</f>
        <v>49632</v>
      </c>
      <c r="C47" s="5" t="str">
        <f aca="false">ITEM_MASTER_CLEAN!C47</f>
        <v>WAFFLE BELGIAN VAN IND.WRAP 80X70G</v>
      </c>
      <c r="D47" s="12" t="n">
        <f aca="false">ITEM_MASTER_CLEAN!F47</f>
        <v>21.23</v>
      </c>
      <c r="E47" s="5" t="n">
        <f aca="false">ITEM_MASTER_CLEAN!H47</f>
        <v>1</v>
      </c>
      <c r="F47" s="5" t="n">
        <f aca="false">ITEM_MASTER_CLEAN!I47</f>
        <v>9</v>
      </c>
      <c r="G47" s="5" t="n">
        <f aca="false">PAR_LEVELS!J47</f>
        <v>5.57142857142857</v>
      </c>
      <c r="H47" s="5" t="n">
        <f aca="false">PAR_LEVELS!K47</f>
        <v>5.57142857142857</v>
      </c>
      <c r="I47" s="5" t="n">
        <f aca="false">MAX(E47-G47,0)</f>
        <v>0</v>
      </c>
      <c r="J47" s="5" t="n">
        <f aca="false">MAX(F47-H47,0)</f>
        <v>3.42857142857143</v>
      </c>
      <c r="K47" s="5" t="n">
        <f aca="false">MAX(G47-E47,0)</f>
        <v>4.57142857142857</v>
      </c>
      <c r="L47" s="5" t="n">
        <f aca="false">MAX(H47-F47,0)</f>
        <v>0</v>
      </c>
      <c r="M47" s="5" t="str">
        <f aca="false">IF(AND(I47&gt;TransferMin,L47&gt;0),"OAK→HP",IF(AND(J47&gt;TransferMin,K47&gt;0),"HP→OAK","None"))</f>
        <v>None</v>
      </c>
      <c r="N47" s="5" t="n">
        <f aca="false">IF(M47="OAK→HP",MIN(I47,L47),IF(M47="HP→OAK",MIN(J47,K47),0))</f>
        <v>0</v>
      </c>
      <c r="O47" s="5" t="n">
        <f aca="false">MAX(K47-IF(M47="HP→OAK",N47,0),0)</f>
        <v>4.57142857142857</v>
      </c>
      <c r="P47" s="5" t="n">
        <f aca="false">MAX(L47-IF(M47="OAK→HP",N47,0),0)</f>
        <v>0</v>
      </c>
      <c r="Q47" s="5" t="n">
        <f aca="false">IF(O47&gt;0,CEILING(O47,ITEM_MASTER_CLEAN!G47),0)</f>
        <v>80</v>
      </c>
      <c r="R47" s="5" t="n">
        <f aca="false">IF(P47&gt;0,CEILING(P47,ITEM_MASTER_CLEAN!G47),0)</f>
        <v>0</v>
      </c>
      <c r="S47" s="5" t="n">
        <f aca="false">IF(G47=0,0,(1-MIN(E47/MAX(G47,1),1))*50+(1-MIN(F47/MAX(H47,1),1))*50)</f>
        <v>41.025641025641</v>
      </c>
    </row>
    <row r="48" customFormat="false" ht="15" hidden="false" customHeight="false" outlineLevel="0" collapsed="false">
      <c r="A48" s="5" t="n">
        <f aca="false">ITEM_MASTER_CLEAN!A48</f>
        <v>47</v>
      </c>
      <c r="B48" s="5" t="n">
        <f aca="false">ITEM_MASTER_CLEAN!B48</f>
        <v>44967</v>
      </c>
      <c r="C48" s="5" t="str">
        <f aca="false">ITEM_MASTER_CLEAN!C48</f>
        <v>CHOC FONDANT BKD V-FX956 32X105G</v>
      </c>
      <c r="D48" s="12" t="n">
        <f aca="false">ITEM_MASTER_CLEAN!F48</f>
        <v>48.87</v>
      </c>
      <c r="E48" s="5" t="n">
        <f aca="false">ITEM_MASTER_CLEAN!H48</f>
        <v>7</v>
      </c>
      <c r="F48" s="5" t="n">
        <f aca="false">ITEM_MASTER_CLEAN!I48</f>
        <v>14</v>
      </c>
      <c r="G48" s="5" t="n">
        <f aca="false">PAR_LEVELS!J48</f>
        <v>3.71428571428571</v>
      </c>
      <c r="H48" s="5" t="n">
        <f aca="false">PAR_LEVELS!K48</f>
        <v>5.57142857142857</v>
      </c>
      <c r="I48" s="5" t="n">
        <f aca="false">MAX(E48-G48,0)</f>
        <v>3.28571428571429</v>
      </c>
      <c r="J48" s="5" t="n">
        <f aca="false">MAX(F48-H48,0)</f>
        <v>8.42857142857143</v>
      </c>
      <c r="K48" s="5" t="n">
        <f aca="false">MAX(G48-E48,0)</f>
        <v>0</v>
      </c>
      <c r="L48" s="5" t="n">
        <f aca="false">MAX(H48-F48,0)</f>
        <v>0</v>
      </c>
      <c r="M48" s="5" t="str">
        <f aca="false">IF(AND(I48&gt;TransferMin,L48&gt;0),"OAK→HP",IF(AND(J48&gt;TransferMin,K48&gt;0),"HP→OAK","None"))</f>
        <v>None</v>
      </c>
      <c r="N48" s="5" t="n">
        <f aca="false">IF(M48="OAK→HP",MIN(I48,L48),IF(M48="HP→OAK",MIN(J48,K48),0))</f>
        <v>0</v>
      </c>
      <c r="O48" s="5" t="n">
        <f aca="false">MAX(K48-IF(M48="HP→OAK",N48,0),0)</f>
        <v>0</v>
      </c>
      <c r="P48" s="5" t="n">
        <f aca="false">MAX(L48-IF(M48="OAK→HP",N48,0),0)</f>
        <v>0</v>
      </c>
      <c r="Q48" s="5" t="n">
        <f aca="false">IF(O48&gt;0,CEILING(O48,ITEM_MASTER_CLEAN!G48),0)</f>
        <v>0</v>
      </c>
      <c r="R48" s="5" t="n">
        <f aca="false">IF(P48&gt;0,CEILING(P48,ITEM_MASTER_CLEAN!G48),0)</f>
        <v>0</v>
      </c>
      <c r="S48" s="5" t="n">
        <f aca="false">IF(G48=0,0,(1-MIN(E48/MAX(G48,1),1))*50+(1-MIN(F48/MAX(H48,1),1))*50)</f>
        <v>0</v>
      </c>
    </row>
    <row r="49" customFormat="false" ht="15" hidden="false" customHeight="false" outlineLevel="0" collapsed="false">
      <c r="A49" s="5" t="n">
        <f aca="false">ITEM_MASTER_CLEAN!A49</f>
        <v>48</v>
      </c>
      <c r="B49" s="5" t="n">
        <f aca="false">ITEM_MASTER_CLEAN!B49</f>
        <v>33785</v>
      </c>
      <c r="C49" s="5" t="str">
        <f aca="false">ITEM_MASTER_CLEAN!C49</f>
        <v>LADIP CAKE MARSHMELLOW C.DOUGH X2</v>
      </c>
      <c r="D49" s="12" t="n">
        <f aca="false">ITEM_MASTER_CLEAN!F49</f>
        <v>54.29</v>
      </c>
      <c r="E49" s="5" t="n">
        <f aca="false">ITEM_MASTER_CLEAN!H49</f>
        <v>1</v>
      </c>
      <c r="F49" s="5" t="n">
        <f aca="false">ITEM_MASTER_CLEAN!I49</f>
        <v>1</v>
      </c>
      <c r="G49" s="5" t="n">
        <f aca="false">PAR_LEVELS!J49</f>
        <v>5.57142857142857</v>
      </c>
      <c r="H49" s="5" t="n">
        <f aca="false">PAR_LEVELS!K49</f>
        <v>3.71428571428571</v>
      </c>
      <c r="I49" s="5" t="n">
        <f aca="false">MAX(E49-G49,0)</f>
        <v>0</v>
      </c>
      <c r="J49" s="5" t="n">
        <f aca="false">MAX(F49-H49,0)</f>
        <v>0</v>
      </c>
      <c r="K49" s="5" t="n">
        <f aca="false">MAX(G49-E49,0)</f>
        <v>4.57142857142857</v>
      </c>
      <c r="L49" s="5" t="n">
        <f aca="false">MAX(H49-F49,0)</f>
        <v>2.71428571428571</v>
      </c>
      <c r="M49" s="5" t="str">
        <f aca="false">IF(AND(I49&gt;TransferMin,L49&gt;0),"OAK→HP",IF(AND(J49&gt;TransferMin,K49&gt;0),"HP→OAK","None"))</f>
        <v>None</v>
      </c>
      <c r="N49" s="5" t="n">
        <f aca="false">IF(M49="OAK→HP",MIN(I49,L49),IF(M49="HP→OAK",MIN(J49,K49),0))</f>
        <v>0</v>
      </c>
      <c r="O49" s="5" t="n">
        <f aca="false">MAX(K49-IF(M49="HP→OAK",N49,0),0)</f>
        <v>4.57142857142857</v>
      </c>
      <c r="P49" s="5" t="n">
        <f aca="false">MAX(L49-IF(M49="OAK→HP",N49,0),0)</f>
        <v>2.71428571428571</v>
      </c>
      <c r="Q49" s="5" t="n">
        <f aca="false">IF(O49&gt;0,CEILING(O49,ITEM_MASTER_CLEAN!G49),0)</f>
        <v>6</v>
      </c>
      <c r="R49" s="5" t="n">
        <f aca="false">IF(P49&gt;0,CEILING(P49,ITEM_MASTER_CLEAN!G49),0)</f>
        <v>4</v>
      </c>
      <c r="S49" s="5" t="n">
        <f aca="false">IF(G49=0,0,(1-MIN(E49/MAX(G49,1),1))*50+(1-MIN(F49/MAX(H49,1),1))*50)</f>
        <v>77.5641025641026</v>
      </c>
    </row>
    <row r="50" customFormat="false" ht="15" hidden="false" customHeight="false" outlineLevel="0" collapsed="false">
      <c r="A50" s="5" t="n">
        <f aca="false">ITEM_MASTER_CLEAN!A50</f>
        <v>49</v>
      </c>
      <c r="B50" s="5" t="n">
        <f aca="false">ITEM_MASTER_CLEAN!B50</f>
        <v>33784</v>
      </c>
      <c r="C50" s="5" t="str">
        <f aca="false">ITEM_MASTER_CLEAN!C50</f>
        <v>LADIP CAKE CARNIVAL 10" X2</v>
      </c>
      <c r="D50" s="12" t="n">
        <f aca="false">ITEM_MASTER_CLEAN!F50</f>
        <v>51.8</v>
      </c>
      <c r="E50" s="5" t="n">
        <f aca="false">ITEM_MASTER_CLEAN!H50</f>
        <v>0</v>
      </c>
      <c r="F50" s="5" t="n">
        <f aca="false">ITEM_MASTER_CLEAN!I50</f>
        <v>0</v>
      </c>
      <c r="G50" s="5" t="n">
        <f aca="false">PAR_LEVELS!J50</f>
        <v>1.85714285714286</v>
      </c>
      <c r="H50" s="5" t="n">
        <f aca="false">PAR_LEVELS!K50</f>
        <v>3.71428571428571</v>
      </c>
      <c r="I50" s="5" t="n">
        <f aca="false">MAX(E50-G50,0)</f>
        <v>0</v>
      </c>
      <c r="J50" s="5" t="n">
        <f aca="false">MAX(F50-H50,0)</f>
        <v>0</v>
      </c>
      <c r="K50" s="5" t="n">
        <f aca="false">MAX(G50-E50,0)</f>
        <v>1.85714285714286</v>
      </c>
      <c r="L50" s="5" t="n">
        <f aca="false">MAX(H50-F50,0)</f>
        <v>3.71428571428571</v>
      </c>
      <c r="M50" s="5" t="str">
        <f aca="false">IF(AND(I50&gt;TransferMin,L50&gt;0),"OAK→HP",IF(AND(J50&gt;TransferMin,K50&gt;0),"HP→OAK","None"))</f>
        <v>None</v>
      </c>
      <c r="N50" s="5" t="n">
        <f aca="false">IF(M50="OAK→HP",MIN(I50,L50),IF(M50="HP→OAK",MIN(J50,K50),0))</f>
        <v>0</v>
      </c>
      <c r="O50" s="5" t="n">
        <f aca="false">MAX(K50-IF(M50="HP→OAK",N50,0),0)</f>
        <v>1.85714285714286</v>
      </c>
      <c r="P50" s="5" t="n">
        <f aca="false">MAX(L50-IF(M50="OAK→HP",N50,0),0)</f>
        <v>3.71428571428571</v>
      </c>
      <c r="Q50" s="5" t="n">
        <f aca="false">IF(O50&gt;0,CEILING(O50,ITEM_MASTER_CLEAN!G50),0)</f>
        <v>2</v>
      </c>
      <c r="R50" s="5" t="n">
        <f aca="false">IF(P50&gt;0,CEILING(P50,ITEM_MASTER_CLEAN!G50),0)</f>
        <v>4</v>
      </c>
      <c r="S50" s="5" t="n">
        <f aca="false">IF(G50=0,0,(1-MIN(E50/MAX(G50,1),1))*50+(1-MIN(F50/MAX(H50,1),1))*50)</f>
        <v>100</v>
      </c>
    </row>
    <row r="51" customFormat="false" ht="15" hidden="false" customHeight="false" outlineLevel="0" collapsed="false">
      <c r="A51" s="5" t="n">
        <f aca="false">ITEM_MASTER_CLEAN!A51</f>
        <v>50</v>
      </c>
      <c r="B51" s="5" t="n">
        <f aca="false">ITEM_MASTER_CLEAN!B51</f>
        <v>33780</v>
      </c>
      <c r="C51" s="5" t="str">
        <f aca="false">ITEM_MASTER_CLEAN!C51</f>
        <v>LADIP CAKE RAINBOW X2</v>
      </c>
      <c r="D51" s="12" t="n">
        <f aca="false">ITEM_MASTER_CLEAN!F51</f>
        <v>48.64</v>
      </c>
      <c r="E51" s="5" t="n">
        <f aca="false">ITEM_MASTER_CLEAN!H51</f>
        <v>2</v>
      </c>
      <c r="F51" s="5" t="n">
        <f aca="false">ITEM_MASTER_CLEAN!I51</f>
        <v>1</v>
      </c>
      <c r="G51" s="5" t="n">
        <f aca="false">PAR_LEVELS!J51</f>
        <v>3.71428571428571</v>
      </c>
      <c r="H51" s="5" t="n">
        <f aca="false">PAR_LEVELS!K51</f>
        <v>1.85714285714286</v>
      </c>
      <c r="I51" s="5" t="n">
        <f aca="false">MAX(E51-G51,0)</f>
        <v>0</v>
      </c>
      <c r="J51" s="5" t="n">
        <f aca="false">MAX(F51-H51,0)</f>
        <v>0</v>
      </c>
      <c r="K51" s="5" t="n">
        <f aca="false">MAX(G51-E51,0)</f>
        <v>1.71428571428571</v>
      </c>
      <c r="L51" s="5" t="n">
        <f aca="false">MAX(H51-F51,0)</f>
        <v>0.857142857142857</v>
      </c>
      <c r="M51" s="5" t="str">
        <f aca="false">IF(AND(I51&gt;TransferMin,L51&gt;0),"OAK→HP",IF(AND(J51&gt;TransferMin,K51&gt;0),"HP→OAK","None"))</f>
        <v>None</v>
      </c>
      <c r="N51" s="5" t="n">
        <f aca="false">IF(M51="OAK→HP",MIN(I51,L51),IF(M51="HP→OAK",MIN(J51,K51),0))</f>
        <v>0</v>
      </c>
      <c r="O51" s="5" t="n">
        <f aca="false">MAX(K51-IF(M51="HP→OAK",N51,0),0)</f>
        <v>1.71428571428571</v>
      </c>
      <c r="P51" s="5" t="n">
        <f aca="false">MAX(L51-IF(M51="OAK→HP",N51,0),0)</f>
        <v>0.857142857142857</v>
      </c>
      <c r="Q51" s="5" t="n">
        <f aca="false">IF(O51&gt;0,CEILING(O51,ITEM_MASTER_CLEAN!G51),0)</f>
        <v>2</v>
      </c>
      <c r="R51" s="5" t="n">
        <f aca="false">IF(P51&gt;0,CEILING(P51,ITEM_MASTER_CLEAN!G51),0)</f>
        <v>2</v>
      </c>
      <c r="S51" s="5" t="n">
        <f aca="false">IF(G51=0,0,(1-MIN(E51/MAX(G51,1),1))*50+(1-MIN(F51/MAX(H51,1),1))*50)</f>
        <v>46.1538461538461</v>
      </c>
    </row>
    <row r="52" customFormat="false" ht="15" hidden="false" customHeight="false" outlineLevel="0" collapsed="false">
      <c r="A52" s="5" t="n">
        <f aca="false">ITEM_MASTER_CLEAN!A52</f>
        <v>51</v>
      </c>
      <c r="B52" s="5" t="n">
        <f aca="false">ITEM_MASTER_CLEAN!B52</f>
        <v>28983</v>
      </c>
      <c r="C52" s="5" t="str">
        <f aca="false">ITEM_MASTER_CLEAN!C52</f>
        <v>BROWNIE PLAIN 10" 14PC X2</v>
      </c>
      <c r="D52" s="12" t="n">
        <f aca="false">ITEM_MASTER_CLEAN!F52</f>
        <v>37.77</v>
      </c>
      <c r="E52" s="5" t="n">
        <f aca="false">ITEM_MASTER_CLEAN!H52</f>
        <v>0</v>
      </c>
      <c r="F52" s="5" t="n">
        <f aca="false">ITEM_MASTER_CLEAN!I52</f>
        <v>10</v>
      </c>
      <c r="G52" s="5" t="n">
        <f aca="false">PAR_LEVELS!J52</f>
        <v>3.71428571428571</v>
      </c>
      <c r="H52" s="5" t="n">
        <f aca="false">PAR_LEVELS!K52</f>
        <v>5.57142857142857</v>
      </c>
      <c r="I52" s="5" t="n">
        <f aca="false">MAX(E52-G52,0)</f>
        <v>0</v>
      </c>
      <c r="J52" s="5" t="n">
        <f aca="false">MAX(F52-H52,0)</f>
        <v>4.42857142857143</v>
      </c>
      <c r="K52" s="5" t="n">
        <f aca="false">MAX(G52-E52,0)</f>
        <v>3.71428571428571</v>
      </c>
      <c r="L52" s="5" t="n">
        <f aca="false">MAX(H52-F52,0)</f>
        <v>0</v>
      </c>
      <c r="M52" s="5" t="str">
        <f aca="false">IF(AND(I52&gt;TransferMin,L52&gt;0),"OAK→HP",IF(AND(J52&gt;TransferMin,K52&gt;0),"HP→OAK","None"))</f>
        <v>None</v>
      </c>
      <c r="N52" s="5" t="n">
        <f aca="false">IF(M52="OAK→HP",MIN(I52,L52),IF(M52="HP→OAK",MIN(J52,K52),0))</f>
        <v>0</v>
      </c>
      <c r="O52" s="5" t="n">
        <f aca="false">MAX(K52-IF(M52="HP→OAK",N52,0),0)</f>
        <v>3.71428571428571</v>
      </c>
      <c r="P52" s="5" t="n">
        <f aca="false">MAX(L52-IF(M52="OAK→HP",N52,0),0)</f>
        <v>0</v>
      </c>
      <c r="Q52" s="5" t="n">
        <f aca="false">IF(O52&gt;0,CEILING(O52,ITEM_MASTER_CLEAN!G52),0)</f>
        <v>4</v>
      </c>
      <c r="R52" s="5" t="n">
        <f aca="false">IF(P52&gt;0,CEILING(P52,ITEM_MASTER_CLEAN!G52),0)</f>
        <v>0</v>
      </c>
      <c r="S52" s="5" t="n">
        <f aca="false">IF(G52=0,0,(1-MIN(E52/MAX(G52,1),1))*50+(1-MIN(F52/MAX(H52,1),1))*50)</f>
        <v>50</v>
      </c>
    </row>
    <row r="53" customFormat="false" ht="15" hidden="false" customHeight="false" outlineLevel="0" collapsed="false">
      <c r="A53" s="5" t="n">
        <f aca="false">ITEM_MASTER_CLEAN!A53</f>
        <v>52</v>
      </c>
      <c r="B53" s="5" t="n">
        <f aca="false">ITEM_MASTER_CLEAN!B53</f>
        <v>28988</v>
      </c>
      <c r="C53" s="5" t="str">
        <f aca="false">ITEM_MASTER_CLEAN!C53</f>
        <v>CAKE CARROT BEAUX 10" 14PC</v>
      </c>
      <c r="D53" s="12" t="n">
        <f aca="false">ITEM_MASTER_CLEAN!F53</f>
        <v>20.33</v>
      </c>
      <c r="E53" s="5" t="n">
        <f aca="false">ITEM_MASTER_CLEAN!H53</f>
        <v>11</v>
      </c>
      <c r="F53" s="5" t="n">
        <f aca="false">ITEM_MASTER_CLEAN!I53</f>
        <v>0</v>
      </c>
      <c r="G53" s="5" t="n">
        <f aca="false">PAR_LEVELS!J53</f>
        <v>7.42857142857143</v>
      </c>
      <c r="H53" s="5" t="n">
        <f aca="false">PAR_LEVELS!K53</f>
        <v>1.85714285714286</v>
      </c>
      <c r="I53" s="5" t="n">
        <f aca="false">MAX(E53-G53,0)</f>
        <v>3.57142857142857</v>
      </c>
      <c r="J53" s="5" t="n">
        <f aca="false">MAX(F53-H53,0)</f>
        <v>0</v>
      </c>
      <c r="K53" s="5" t="n">
        <f aca="false">MAX(G53-E53,0)</f>
        <v>0</v>
      </c>
      <c r="L53" s="5" t="n">
        <f aca="false">MAX(H53-F53,0)</f>
        <v>1.85714285714286</v>
      </c>
      <c r="M53" s="5" t="str">
        <f aca="false">IF(AND(I53&gt;TransferMin,L53&gt;0),"OAK→HP",IF(AND(J53&gt;TransferMin,K53&gt;0),"HP→OAK","None"))</f>
        <v>None</v>
      </c>
      <c r="N53" s="5" t="n">
        <f aca="false">IF(M53="OAK→HP",MIN(I53,L53),IF(M53="HP→OAK",MIN(J53,K53),0))</f>
        <v>0</v>
      </c>
      <c r="O53" s="5" t="n">
        <f aca="false">MAX(K53-IF(M53="HP→OAK",N53,0),0)</f>
        <v>0</v>
      </c>
      <c r="P53" s="5" t="n">
        <f aca="false">MAX(L53-IF(M53="OAK→HP",N53,0),0)</f>
        <v>1.85714285714286</v>
      </c>
      <c r="Q53" s="5" t="n">
        <f aca="false">IF(O53&gt;0,CEILING(O53,ITEM_MASTER_CLEAN!G53),0)</f>
        <v>0</v>
      </c>
      <c r="R53" s="5" t="n">
        <f aca="false">IF(P53&gt;0,CEILING(P53,ITEM_MASTER_CLEAN!G53),0)</f>
        <v>2</v>
      </c>
      <c r="S53" s="5" t="n">
        <f aca="false">IF(G53=0,0,(1-MIN(E53/MAX(G53,1),1))*50+(1-MIN(F53/MAX(H53,1),1))*50)</f>
        <v>50</v>
      </c>
    </row>
    <row r="54" customFormat="false" ht="15" hidden="false" customHeight="false" outlineLevel="0" collapsed="false">
      <c r="A54" s="5" t="n">
        <f aca="false">ITEM_MASTER_CLEAN!A54</f>
        <v>53</v>
      </c>
      <c r="B54" s="5" t="n">
        <f aca="false">ITEM_MASTER_CLEAN!B54</f>
        <v>28989</v>
      </c>
      <c r="C54" s="5" t="str">
        <f aca="false">ITEM_MASTER_CLEAN!C54</f>
        <v>CAKE REODELIGHT 10" 16PC</v>
      </c>
      <c r="D54" s="12" t="n">
        <f aca="false">ITEM_MASTER_CLEAN!F54</f>
        <v>37.82</v>
      </c>
      <c r="E54" s="5" t="n">
        <f aca="false">ITEM_MASTER_CLEAN!H54</f>
        <v>2</v>
      </c>
      <c r="F54" s="5" t="n">
        <f aca="false">ITEM_MASTER_CLEAN!I54</f>
        <v>1</v>
      </c>
      <c r="G54" s="5" t="n">
        <f aca="false">PAR_LEVELS!J54</f>
        <v>7.42857142857143</v>
      </c>
      <c r="H54" s="5" t="n">
        <f aca="false">PAR_LEVELS!K54</f>
        <v>5.57142857142857</v>
      </c>
      <c r="I54" s="5" t="n">
        <f aca="false">MAX(E54-G54,0)</f>
        <v>0</v>
      </c>
      <c r="J54" s="5" t="n">
        <f aca="false">MAX(F54-H54,0)</f>
        <v>0</v>
      </c>
      <c r="K54" s="5" t="n">
        <f aca="false">MAX(G54-E54,0)</f>
        <v>5.42857142857143</v>
      </c>
      <c r="L54" s="5" t="n">
        <f aca="false">MAX(H54-F54,0)</f>
        <v>4.57142857142857</v>
      </c>
      <c r="M54" s="5" t="str">
        <f aca="false">IF(AND(I54&gt;TransferMin,L54&gt;0),"OAK→HP",IF(AND(J54&gt;TransferMin,K54&gt;0),"HP→OAK","None"))</f>
        <v>None</v>
      </c>
      <c r="N54" s="5" t="n">
        <f aca="false">IF(M54="OAK→HP",MIN(I54,L54),IF(M54="HP→OAK",MIN(J54,K54),0))</f>
        <v>0</v>
      </c>
      <c r="O54" s="5" t="n">
        <f aca="false">MAX(K54-IF(M54="HP→OAK",N54,0),0)</f>
        <v>5.42857142857143</v>
      </c>
      <c r="P54" s="5" t="n">
        <f aca="false">MAX(L54-IF(M54="OAK→HP",N54,0),0)</f>
        <v>4.57142857142857</v>
      </c>
      <c r="Q54" s="5" t="n">
        <f aca="false">IF(O54&gt;0,CEILING(O54,ITEM_MASTER_CLEAN!G54),0)</f>
        <v>6</v>
      </c>
      <c r="R54" s="5" t="n">
        <f aca="false">IF(P54&gt;0,CEILING(P54,ITEM_MASTER_CLEAN!G54),0)</f>
        <v>5</v>
      </c>
      <c r="S54" s="5" t="n">
        <f aca="false">IF(G54=0,0,(1-MIN(E54/MAX(G54,1),1))*50+(1-MIN(F54/MAX(H54,1),1))*50)</f>
        <v>77.5641025641026</v>
      </c>
    </row>
    <row r="55" customFormat="false" ht="15" hidden="false" customHeight="false" outlineLevel="0" collapsed="false">
      <c r="A55" s="5" t="n">
        <f aca="false">ITEM_MASTER_CLEAN!A55</f>
        <v>54</v>
      </c>
      <c r="B55" s="5" t="n">
        <f aca="false">ITEM_MASTER_CLEAN!B55</f>
        <v>28990</v>
      </c>
      <c r="C55" s="5" t="str">
        <f aca="false">ITEM_MASTER_CLEAN!C55</f>
        <v>CAKE TIRAMISU 9" 12PC</v>
      </c>
      <c r="D55" s="12" t="n">
        <f aca="false">ITEM_MASTER_CLEAN!F55</f>
        <v>55.75</v>
      </c>
      <c r="E55" s="5" t="n">
        <f aca="false">ITEM_MASTER_CLEAN!H55</f>
        <v>1</v>
      </c>
      <c r="F55" s="5" t="n">
        <f aca="false">ITEM_MASTER_CLEAN!I55</f>
        <v>2</v>
      </c>
      <c r="G55" s="5" t="n">
        <f aca="false">PAR_LEVELS!J55</f>
        <v>7.42857142857143</v>
      </c>
      <c r="H55" s="5" t="n">
        <f aca="false">PAR_LEVELS!K55</f>
        <v>5.57142857142857</v>
      </c>
      <c r="I55" s="5" t="n">
        <f aca="false">MAX(E55-G55,0)</f>
        <v>0</v>
      </c>
      <c r="J55" s="5" t="n">
        <f aca="false">MAX(F55-H55,0)</f>
        <v>0</v>
      </c>
      <c r="K55" s="5" t="n">
        <f aca="false">MAX(G55-E55,0)</f>
        <v>6.42857142857143</v>
      </c>
      <c r="L55" s="5" t="n">
        <f aca="false">MAX(H55-F55,0)</f>
        <v>3.57142857142857</v>
      </c>
      <c r="M55" s="5" t="str">
        <f aca="false">IF(AND(I55&gt;TransferMin,L55&gt;0),"OAK→HP",IF(AND(J55&gt;TransferMin,K55&gt;0),"HP→OAK","None"))</f>
        <v>None</v>
      </c>
      <c r="N55" s="5" t="n">
        <f aca="false">IF(M55="OAK→HP",MIN(I55,L55),IF(M55="HP→OAK",MIN(J55,K55),0))</f>
        <v>0</v>
      </c>
      <c r="O55" s="5" t="n">
        <f aca="false">MAX(K55-IF(M55="HP→OAK",N55,0),0)</f>
        <v>6.42857142857143</v>
      </c>
      <c r="P55" s="5" t="n">
        <f aca="false">MAX(L55-IF(M55="OAK→HP",N55,0),0)</f>
        <v>3.57142857142857</v>
      </c>
      <c r="Q55" s="5" t="n">
        <f aca="false">IF(O55&gt;0,CEILING(O55,ITEM_MASTER_CLEAN!G55),0)</f>
        <v>7</v>
      </c>
      <c r="R55" s="5" t="n">
        <f aca="false">IF(P55&gt;0,CEILING(P55,ITEM_MASTER_CLEAN!G55),0)</f>
        <v>4</v>
      </c>
      <c r="S55" s="5" t="n">
        <f aca="false">IF(G55=0,0,(1-MIN(E55/MAX(G55,1),1))*50+(1-MIN(F55/MAX(H55,1),1))*50)</f>
        <v>75.3205128205128</v>
      </c>
    </row>
    <row r="56" customFormat="false" ht="15" hidden="false" customHeight="false" outlineLevel="0" collapsed="false">
      <c r="A56" s="5" t="n">
        <f aca="false">ITEM_MASTER_CLEAN!A56</f>
        <v>55</v>
      </c>
      <c r="B56" s="5" t="n">
        <f aca="false">ITEM_MASTER_CLEAN!B56</f>
        <v>28992</v>
      </c>
      <c r="C56" s="5" t="str">
        <f aca="false">ITEM_MASTER_CLEAN!C56</f>
        <v>CAKE RED VELVET 10" 14PC  X1</v>
      </c>
      <c r="D56" s="12" t="n">
        <f aca="false">ITEM_MASTER_CLEAN!F56</f>
        <v>56.99</v>
      </c>
      <c r="E56" s="5" t="n">
        <f aca="false">ITEM_MASTER_CLEAN!H56</f>
        <v>1</v>
      </c>
      <c r="F56" s="5" t="n">
        <f aca="false">ITEM_MASTER_CLEAN!I56</f>
        <v>1</v>
      </c>
      <c r="G56" s="5" t="n">
        <f aca="false">PAR_LEVELS!J56</f>
        <v>5.57142857142857</v>
      </c>
      <c r="H56" s="5" t="n">
        <f aca="false">PAR_LEVELS!K56</f>
        <v>5.57142857142857</v>
      </c>
      <c r="I56" s="5" t="n">
        <f aca="false">MAX(E56-G56,0)</f>
        <v>0</v>
      </c>
      <c r="J56" s="5" t="n">
        <f aca="false">MAX(F56-H56,0)</f>
        <v>0</v>
      </c>
      <c r="K56" s="5" t="n">
        <f aca="false">MAX(G56-E56,0)</f>
        <v>4.57142857142857</v>
      </c>
      <c r="L56" s="5" t="n">
        <f aca="false">MAX(H56-F56,0)</f>
        <v>4.57142857142857</v>
      </c>
      <c r="M56" s="5" t="str">
        <f aca="false">IF(AND(I56&gt;TransferMin,L56&gt;0),"OAK→HP",IF(AND(J56&gt;TransferMin,K56&gt;0),"HP→OAK","None"))</f>
        <v>None</v>
      </c>
      <c r="N56" s="5" t="n">
        <f aca="false">IF(M56="OAK→HP",MIN(I56,L56),IF(M56="HP→OAK",MIN(J56,K56),0))</f>
        <v>0</v>
      </c>
      <c r="O56" s="5" t="n">
        <f aca="false">MAX(K56-IF(M56="HP→OAK",N56,0),0)</f>
        <v>4.57142857142857</v>
      </c>
      <c r="P56" s="5" t="n">
        <f aca="false">MAX(L56-IF(M56="OAK→HP",N56,0),0)</f>
        <v>4.57142857142857</v>
      </c>
      <c r="Q56" s="5" t="n">
        <f aca="false">IF(O56&gt;0,CEILING(O56,ITEM_MASTER_CLEAN!G56),0)</f>
        <v>5</v>
      </c>
      <c r="R56" s="5" t="n">
        <f aca="false">IF(P56&gt;0,CEILING(P56,ITEM_MASTER_CLEAN!G56),0)</f>
        <v>5</v>
      </c>
      <c r="S56" s="5" t="n">
        <f aca="false">IF(G56=0,0,(1-MIN(E56/MAX(G56,1),1))*50+(1-MIN(F56/MAX(H56,1),1))*50)</f>
        <v>82.051282051282</v>
      </c>
    </row>
    <row r="57" customFormat="false" ht="15" hidden="false" customHeight="false" outlineLevel="0" collapsed="false">
      <c r="A57" s="5" t="n">
        <f aca="false">ITEM_MASTER_CLEAN!A57</f>
        <v>56</v>
      </c>
      <c r="B57" s="5" t="n">
        <f aca="false">ITEM_MASTER_CLEAN!B57</f>
        <v>27030</v>
      </c>
      <c r="C57" s="5" t="str">
        <f aca="false">ITEM_MASTER_CLEAN!C57</f>
        <v>*NOUVEAU - gât choc décadent 6" 6un</v>
      </c>
      <c r="D57" s="12" t="n">
        <f aca="false">ITEM_MASTER_CLEAN!F57</f>
        <v>31.79</v>
      </c>
      <c r="E57" s="5" t="n">
        <f aca="false">ITEM_MASTER_CLEAN!H57</f>
        <v>1</v>
      </c>
      <c r="F57" s="5" t="n">
        <f aca="false">ITEM_MASTER_CLEAN!I57</f>
        <v>1</v>
      </c>
      <c r="G57" s="5" t="n">
        <f aca="false">PAR_LEVELS!J57</f>
        <v>1.85714285714286</v>
      </c>
      <c r="H57" s="5" t="n">
        <f aca="false">PAR_LEVELS!K57</f>
        <v>1.85714285714286</v>
      </c>
      <c r="I57" s="5" t="n">
        <f aca="false">MAX(E57-G57,0)</f>
        <v>0</v>
      </c>
      <c r="J57" s="5" t="n">
        <f aca="false">MAX(F57-H57,0)</f>
        <v>0</v>
      </c>
      <c r="K57" s="5" t="n">
        <f aca="false">MAX(G57-E57,0)</f>
        <v>0.857142857142857</v>
      </c>
      <c r="L57" s="5" t="n">
        <f aca="false">MAX(H57-F57,0)</f>
        <v>0.857142857142857</v>
      </c>
      <c r="M57" s="5" t="str">
        <f aca="false">IF(AND(I57&gt;TransferMin,L57&gt;0),"OAK→HP",IF(AND(J57&gt;TransferMin,K57&gt;0),"HP→OAK","None"))</f>
        <v>None</v>
      </c>
      <c r="N57" s="5" t="n">
        <f aca="false">IF(M57="OAK→HP",MIN(I57,L57),IF(M57="HP→OAK",MIN(J57,K57),0))</f>
        <v>0</v>
      </c>
      <c r="O57" s="5" t="n">
        <f aca="false">MAX(K57-IF(M57="HP→OAK",N57,0),0)</f>
        <v>0.857142857142857</v>
      </c>
      <c r="P57" s="5" t="n">
        <f aca="false">MAX(L57-IF(M57="OAK→HP",N57,0),0)</f>
        <v>0.857142857142857</v>
      </c>
      <c r="Q57" s="5" t="n">
        <f aca="false">IF(O57&gt;0,CEILING(O57,ITEM_MASTER_CLEAN!G57),0)</f>
        <v>6</v>
      </c>
      <c r="R57" s="5" t="n">
        <f aca="false">IF(P57&gt;0,CEILING(P57,ITEM_MASTER_CLEAN!G57),0)</f>
        <v>6</v>
      </c>
      <c r="S57" s="5" t="n">
        <f aca="false">IF(G57=0,0,(1-MIN(E57/MAX(G57,1),1))*50+(1-MIN(F57/MAX(H57,1),1))*50)</f>
        <v>46.1538461538461</v>
      </c>
    </row>
    <row r="58" customFormat="false" ht="15" hidden="false" customHeight="false" outlineLevel="0" collapsed="false">
      <c r="A58" s="5" t="n">
        <f aca="false">ITEM_MASTER_CLEAN!A58</f>
        <v>57</v>
      </c>
      <c r="B58" s="5" t="n">
        <f aca="false">ITEM_MASTER_CLEAN!B58</f>
        <v>27031</v>
      </c>
      <c r="C58" s="5" t="str">
        <f aca="false">ITEM_MASTER_CLEAN!C58</f>
        <v>*NOUVEAU - gât choc-noiset. 6" 6un</v>
      </c>
      <c r="D58" s="12" t="n">
        <f aca="false">ITEM_MASTER_CLEAN!F58</f>
        <v>31.54</v>
      </c>
      <c r="E58" s="5" t="n">
        <f aca="false">ITEM_MASTER_CLEAN!H58</f>
        <v>7</v>
      </c>
      <c r="F58" s="5" t="n">
        <f aca="false">ITEM_MASTER_CLEAN!I58</f>
        <v>3</v>
      </c>
      <c r="G58" s="5" t="n">
        <f aca="false">PAR_LEVELS!J58</f>
        <v>7.42857142857143</v>
      </c>
      <c r="H58" s="5" t="n">
        <f aca="false">PAR_LEVELS!K58</f>
        <v>3.71428571428571</v>
      </c>
      <c r="I58" s="5" t="n">
        <f aca="false">MAX(E58-G58,0)</f>
        <v>0</v>
      </c>
      <c r="J58" s="5" t="n">
        <f aca="false">MAX(F58-H58,0)</f>
        <v>0</v>
      </c>
      <c r="K58" s="5" t="n">
        <f aca="false">MAX(G58-E58,0)</f>
        <v>0.428571428571428</v>
      </c>
      <c r="L58" s="5" t="n">
        <f aca="false">MAX(H58-F58,0)</f>
        <v>0.714285714285714</v>
      </c>
      <c r="M58" s="5" t="str">
        <f aca="false">IF(AND(I58&gt;TransferMin,L58&gt;0),"OAK→HP",IF(AND(J58&gt;TransferMin,K58&gt;0),"HP→OAK","None"))</f>
        <v>None</v>
      </c>
      <c r="N58" s="5" t="n">
        <f aca="false">IF(M58="OAK→HP",MIN(I58,L58),IF(M58="HP→OAK",MIN(J58,K58),0))</f>
        <v>0</v>
      </c>
      <c r="O58" s="5" t="n">
        <f aca="false">MAX(K58-IF(M58="HP→OAK",N58,0),0)</f>
        <v>0.428571428571428</v>
      </c>
      <c r="P58" s="5" t="n">
        <f aca="false">MAX(L58-IF(M58="OAK→HP",N58,0),0)</f>
        <v>0.714285714285714</v>
      </c>
      <c r="Q58" s="5" t="n">
        <f aca="false">IF(O58&gt;0,CEILING(O58,ITEM_MASTER_CLEAN!G58),0)</f>
        <v>6</v>
      </c>
      <c r="R58" s="5" t="n">
        <f aca="false">IF(P58&gt;0,CEILING(P58,ITEM_MASTER_CLEAN!G58),0)</f>
        <v>6</v>
      </c>
      <c r="S58" s="5" t="n">
        <f aca="false">IF(G58=0,0,(1-MIN(E58/MAX(G58,1),1))*50+(1-MIN(F58/MAX(H58,1),1))*50)</f>
        <v>12.5</v>
      </c>
    </row>
    <row r="59" customFormat="false" ht="15" hidden="false" customHeight="false" outlineLevel="0" collapsed="false">
      <c r="A59" s="5" t="n">
        <f aca="false">ITEM_MASTER_CLEAN!A59</f>
        <v>58</v>
      </c>
      <c r="B59" s="5" t="n">
        <f aca="false">ITEM_MASTER_CLEAN!B59</f>
        <v>27032</v>
      </c>
      <c r="C59" s="5" t="str">
        <f aca="false">ITEM_MASTER_CLEAN!C59</f>
        <v>*NOUVEAU - gât Mangue Msse 6" 6un</v>
      </c>
      <c r="D59" s="12" t="n">
        <f aca="false">ITEM_MASTER_CLEAN!F59</f>
        <v>15.98</v>
      </c>
      <c r="E59" s="5" t="n">
        <f aca="false">ITEM_MASTER_CLEAN!H59</f>
        <v>6</v>
      </c>
      <c r="F59" s="5" t="n">
        <f aca="false">ITEM_MASTER_CLEAN!I59</f>
        <v>3</v>
      </c>
      <c r="G59" s="5" t="n">
        <f aca="false">PAR_LEVELS!J59</f>
        <v>7.42857142857143</v>
      </c>
      <c r="H59" s="5" t="n">
        <f aca="false">PAR_LEVELS!K59</f>
        <v>3.71428571428571</v>
      </c>
      <c r="I59" s="5" t="n">
        <f aca="false">MAX(E59-G59,0)</f>
        <v>0</v>
      </c>
      <c r="J59" s="5" t="n">
        <f aca="false">MAX(F59-H59,0)</f>
        <v>0</v>
      </c>
      <c r="K59" s="5" t="n">
        <f aca="false">MAX(G59-E59,0)</f>
        <v>1.42857142857143</v>
      </c>
      <c r="L59" s="5" t="n">
        <f aca="false">MAX(H59-F59,0)</f>
        <v>0.714285714285714</v>
      </c>
      <c r="M59" s="5" t="str">
        <f aca="false">IF(AND(I59&gt;TransferMin,L59&gt;0),"OAK→HP",IF(AND(J59&gt;TransferMin,K59&gt;0),"HP→OAK","None"))</f>
        <v>None</v>
      </c>
      <c r="N59" s="5" t="n">
        <f aca="false">IF(M59="OAK→HP",MIN(I59,L59),IF(M59="HP→OAK",MIN(J59,K59),0))</f>
        <v>0</v>
      </c>
      <c r="O59" s="5" t="n">
        <f aca="false">MAX(K59-IF(M59="HP→OAK",N59,0),0)</f>
        <v>1.42857142857143</v>
      </c>
      <c r="P59" s="5" t="n">
        <f aca="false">MAX(L59-IF(M59="OAK→HP",N59,0),0)</f>
        <v>0.714285714285714</v>
      </c>
      <c r="Q59" s="5" t="n">
        <f aca="false">IF(O59&gt;0,CEILING(O59,ITEM_MASTER_CLEAN!G59),0)</f>
        <v>6</v>
      </c>
      <c r="R59" s="5" t="n">
        <f aca="false">IF(P59&gt;0,CEILING(P59,ITEM_MASTER_CLEAN!G59),0)</f>
        <v>6</v>
      </c>
      <c r="S59" s="5" t="n">
        <f aca="false">IF(G59=0,0,(1-MIN(E59/MAX(G59,1),1))*50+(1-MIN(F59/MAX(H59,1),1))*50)</f>
        <v>19.2307692307692</v>
      </c>
    </row>
    <row r="60" customFormat="false" ht="15" hidden="false" customHeight="false" outlineLevel="0" collapsed="false">
      <c r="A60" s="5" t="n">
        <f aca="false">ITEM_MASTER_CLEAN!A60</f>
        <v>59</v>
      </c>
      <c r="B60" s="5" t="n">
        <f aca="false">ITEM_MASTER_CLEAN!B60</f>
        <v>27033</v>
      </c>
      <c r="C60" s="5" t="str">
        <f aca="false">ITEM_MASTER_CLEAN!C60</f>
        <v>LADIP CAKE RED BERRY MOUSSE 6" 6UN</v>
      </c>
      <c r="D60" s="12" t="n">
        <f aca="false">ITEM_MASTER_CLEAN!F60</f>
        <v>35.95</v>
      </c>
      <c r="E60" s="5" t="n">
        <f aca="false">ITEM_MASTER_CLEAN!H60</f>
        <v>3</v>
      </c>
      <c r="F60" s="5" t="n">
        <f aca="false">ITEM_MASTER_CLEAN!I60</f>
        <v>2</v>
      </c>
      <c r="G60" s="5" t="n">
        <f aca="false">PAR_LEVELS!J60</f>
        <v>3.71428571428571</v>
      </c>
      <c r="H60" s="5" t="n">
        <f aca="false">PAR_LEVELS!K60</f>
        <v>3.71428571428571</v>
      </c>
      <c r="I60" s="5" t="n">
        <f aca="false">MAX(E60-G60,0)</f>
        <v>0</v>
      </c>
      <c r="J60" s="5" t="n">
        <f aca="false">MAX(F60-H60,0)</f>
        <v>0</v>
      </c>
      <c r="K60" s="5" t="n">
        <f aca="false">MAX(G60-E60,0)</f>
        <v>0.714285714285714</v>
      </c>
      <c r="L60" s="5" t="n">
        <f aca="false">MAX(H60-F60,0)</f>
        <v>1.71428571428571</v>
      </c>
      <c r="M60" s="5" t="str">
        <f aca="false">IF(AND(I60&gt;TransferMin,L60&gt;0),"OAK→HP",IF(AND(J60&gt;TransferMin,K60&gt;0),"HP→OAK","None"))</f>
        <v>None</v>
      </c>
      <c r="N60" s="5" t="n">
        <f aca="false">IF(M60="OAK→HP",MIN(I60,L60),IF(M60="HP→OAK",MIN(J60,K60),0))</f>
        <v>0</v>
      </c>
      <c r="O60" s="5" t="n">
        <f aca="false">MAX(K60-IF(M60="HP→OAK",N60,0),0)</f>
        <v>0.714285714285714</v>
      </c>
      <c r="P60" s="5" t="n">
        <f aca="false">MAX(L60-IF(M60="OAK→HP",N60,0),0)</f>
        <v>1.71428571428571</v>
      </c>
      <c r="Q60" s="5" t="n">
        <f aca="false">IF(O60&gt;0,CEILING(O60,ITEM_MASTER_CLEAN!G60),0)</f>
        <v>6</v>
      </c>
      <c r="R60" s="5" t="n">
        <f aca="false">IF(P60&gt;0,CEILING(P60,ITEM_MASTER_CLEAN!G60),0)</f>
        <v>6</v>
      </c>
      <c r="S60" s="5" t="n">
        <f aca="false">IF(G60=0,0,(1-MIN(E60/MAX(G60,1),1))*50+(1-MIN(F60/MAX(H60,1),1))*50)</f>
        <v>32.6923076923077</v>
      </c>
    </row>
    <row r="61" customFormat="false" ht="15" hidden="false" customHeight="false" outlineLevel="0" collapsed="false">
      <c r="A61" s="5" t="n">
        <f aca="false">ITEM_MASTER_CLEAN!A61</f>
        <v>60</v>
      </c>
      <c r="B61" s="5" t="n">
        <f aca="false">ITEM_MASTER_CLEAN!B61</f>
        <v>27034</v>
      </c>
      <c r="C61" s="5" t="str">
        <f aca="false">ITEM_MASTER_CLEAN!C61</f>
        <v>*NOUVEAU -gât d'anniversaire 6"6un</v>
      </c>
      <c r="D61" s="12" t="n">
        <f aca="false">ITEM_MASTER_CLEAN!F61</f>
        <v>35.22</v>
      </c>
      <c r="E61" s="5" t="n">
        <f aca="false">ITEM_MASTER_CLEAN!H61</f>
        <v>3</v>
      </c>
      <c r="F61" s="5" t="n">
        <f aca="false">ITEM_MASTER_CLEAN!I61</f>
        <v>2</v>
      </c>
      <c r="G61" s="5" t="n">
        <f aca="false">PAR_LEVELS!J61</f>
        <v>3.71428571428571</v>
      </c>
      <c r="H61" s="5" t="n">
        <f aca="false">PAR_LEVELS!K61</f>
        <v>3.71428571428571</v>
      </c>
      <c r="I61" s="5" t="n">
        <f aca="false">MAX(E61-G61,0)</f>
        <v>0</v>
      </c>
      <c r="J61" s="5" t="n">
        <f aca="false">MAX(F61-H61,0)</f>
        <v>0</v>
      </c>
      <c r="K61" s="5" t="n">
        <f aca="false">MAX(G61-E61,0)</f>
        <v>0.714285714285714</v>
      </c>
      <c r="L61" s="5" t="n">
        <f aca="false">MAX(H61-F61,0)</f>
        <v>1.71428571428571</v>
      </c>
      <c r="M61" s="5" t="str">
        <f aca="false">IF(AND(I61&gt;TransferMin,L61&gt;0),"OAK→HP",IF(AND(J61&gt;TransferMin,K61&gt;0),"HP→OAK","None"))</f>
        <v>None</v>
      </c>
      <c r="N61" s="5" t="n">
        <f aca="false">IF(M61="OAK→HP",MIN(I61,L61),IF(M61="HP→OAK",MIN(J61,K61),0))</f>
        <v>0</v>
      </c>
      <c r="O61" s="5" t="n">
        <f aca="false">MAX(K61-IF(M61="HP→OAK",N61,0),0)</f>
        <v>0.714285714285714</v>
      </c>
      <c r="P61" s="5" t="n">
        <f aca="false">MAX(L61-IF(M61="OAK→HP",N61,0),0)</f>
        <v>1.71428571428571</v>
      </c>
      <c r="Q61" s="5" t="n">
        <f aca="false">IF(O61&gt;0,CEILING(O61,ITEM_MASTER_CLEAN!G61),0)</f>
        <v>6</v>
      </c>
      <c r="R61" s="5" t="n">
        <f aca="false">IF(P61&gt;0,CEILING(P61,ITEM_MASTER_CLEAN!G61),0)</f>
        <v>6</v>
      </c>
      <c r="S61" s="5" t="n">
        <f aca="false">IF(G61=0,0,(1-MIN(E61/MAX(G61,1),1))*50+(1-MIN(F61/MAX(H61,1),1))*50)</f>
        <v>32.6923076923077</v>
      </c>
    </row>
    <row r="62" customFormat="false" ht="15" hidden="false" customHeight="false" outlineLevel="0" collapsed="false">
      <c r="A62" s="5" t="n">
        <f aca="false">ITEM_MASTER_CLEAN!A62</f>
        <v>61</v>
      </c>
      <c r="B62" s="5" t="n">
        <f aca="false">ITEM_MASTER_CLEAN!B62</f>
        <v>28967</v>
      </c>
      <c r="C62" s="5" t="str">
        <f aca="false">ITEM_MASTER_CLEAN!C62</f>
        <v>PIE KEY LIME GRAHAM 10" KILO 12PC</v>
      </c>
      <c r="D62" s="12" t="n">
        <f aca="false">ITEM_MASTER_CLEAN!F62</f>
        <v>48.15</v>
      </c>
      <c r="E62" s="5" t="n">
        <f aca="false">ITEM_MASTER_CLEAN!H62</f>
        <v>0</v>
      </c>
      <c r="F62" s="5" t="n">
        <f aca="false">ITEM_MASTER_CLEAN!I62</f>
        <v>0</v>
      </c>
      <c r="G62" s="5" t="n">
        <f aca="false">PAR_LEVELS!J62</f>
        <v>1.85714285714286</v>
      </c>
      <c r="H62" s="5" t="n">
        <f aca="false">PAR_LEVELS!K62</f>
        <v>5.57142857142857</v>
      </c>
      <c r="I62" s="5" t="n">
        <f aca="false">MAX(E62-G62,0)</f>
        <v>0</v>
      </c>
      <c r="J62" s="5" t="n">
        <f aca="false">MAX(F62-H62,0)</f>
        <v>0</v>
      </c>
      <c r="K62" s="5" t="n">
        <f aca="false">MAX(G62-E62,0)</f>
        <v>1.85714285714286</v>
      </c>
      <c r="L62" s="5" t="n">
        <f aca="false">MAX(H62-F62,0)</f>
        <v>5.57142857142857</v>
      </c>
      <c r="M62" s="5" t="str">
        <f aca="false">IF(AND(I62&gt;TransferMin,L62&gt;0),"OAK→HP",IF(AND(J62&gt;TransferMin,K62&gt;0),"HP→OAK","None"))</f>
        <v>None</v>
      </c>
      <c r="N62" s="5" t="n">
        <f aca="false">IF(M62="OAK→HP",MIN(I62,L62),IF(M62="HP→OAK",MIN(J62,K62),0))</f>
        <v>0</v>
      </c>
      <c r="O62" s="5" t="n">
        <f aca="false">MAX(K62-IF(M62="HP→OAK",N62,0),0)</f>
        <v>1.85714285714286</v>
      </c>
      <c r="P62" s="5" t="n">
        <f aca="false">MAX(L62-IF(M62="OAK→HP",N62,0),0)</f>
        <v>5.57142857142857</v>
      </c>
      <c r="Q62" s="5" t="n">
        <f aca="false">IF(O62&gt;0,CEILING(O62,ITEM_MASTER_CLEAN!G62),0)</f>
        <v>2</v>
      </c>
      <c r="R62" s="5" t="n">
        <f aca="false">IF(P62&gt;0,CEILING(P62,ITEM_MASTER_CLEAN!G62),0)</f>
        <v>6</v>
      </c>
      <c r="S62" s="5" t="n">
        <f aca="false">IF(G62=0,0,(1-MIN(E62/MAX(G62,1),1))*50+(1-MIN(F62/MAX(H62,1),1))*50)</f>
        <v>100</v>
      </c>
    </row>
    <row r="63" customFormat="false" ht="15" hidden="false" customHeight="false" outlineLevel="0" collapsed="false">
      <c r="A63" s="5" t="n">
        <f aca="false">ITEM_MASTER_CLEAN!A63</f>
        <v>62</v>
      </c>
      <c r="B63" s="5" t="n">
        <f aca="false">ITEM_MASTER_CLEAN!B63</f>
        <v>31229</v>
      </c>
      <c r="C63" s="5" t="str">
        <f aca="false">ITEM_MASTER_CLEAN!C63</f>
        <v>LC ICE CRM MIX VANILLA 2X10L</v>
      </c>
      <c r="D63" s="12" t="n">
        <f aca="false">ITEM_MASTER_CLEAN!F63</f>
        <v>50.28</v>
      </c>
      <c r="E63" s="5" t="n">
        <f aca="false">ITEM_MASTER_CLEAN!H63</f>
        <v>11</v>
      </c>
      <c r="F63" s="5" t="n">
        <f aca="false">ITEM_MASTER_CLEAN!I63</f>
        <v>9</v>
      </c>
      <c r="G63" s="5" t="n">
        <f aca="false">PAR_LEVELS!J63</f>
        <v>11.1428571428571</v>
      </c>
      <c r="H63" s="5" t="n">
        <f aca="false">PAR_LEVELS!K63</f>
        <v>11.1428571428571</v>
      </c>
      <c r="I63" s="5" t="n">
        <f aca="false">MAX(E63-G63,0)</f>
        <v>0</v>
      </c>
      <c r="J63" s="5" t="n">
        <f aca="false">MAX(F63-H63,0)</f>
        <v>0</v>
      </c>
      <c r="K63" s="5" t="n">
        <f aca="false">MAX(G63-E63,0)</f>
        <v>0.142857142857142</v>
      </c>
      <c r="L63" s="5" t="n">
        <f aca="false">MAX(H63-F63,0)</f>
        <v>2.14285714285714</v>
      </c>
      <c r="M63" s="5" t="str">
        <f aca="false">IF(AND(I63&gt;TransferMin,L63&gt;0),"OAK→HP",IF(AND(J63&gt;TransferMin,K63&gt;0),"HP→OAK","None"))</f>
        <v>None</v>
      </c>
      <c r="N63" s="5" t="n">
        <f aca="false">IF(M63="OAK→HP",MIN(I63,L63),IF(M63="HP→OAK",MIN(J63,K63),0))</f>
        <v>0</v>
      </c>
      <c r="O63" s="5" t="n">
        <f aca="false">MAX(K63-IF(M63="HP→OAK",N63,0),0)</f>
        <v>0.142857142857142</v>
      </c>
      <c r="P63" s="5" t="n">
        <f aca="false">MAX(L63-IF(M63="OAK→HP",N63,0),0)</f>
        <v>2.14285714285714</v>
      </c>
      <c r="Q63" s="5" t="n">
        <f aca="false">IF(O63&gt;0,CEILING(O63,ITEM_MASTER_CLEAN!G63),0)</f>
        <v>2</v>
      </c>
      <c r="R63" s="5" t="n">
        <f aca="false">IF(P63&gt;0,CEILING(P63,ITEM_MASTER_CLEAN!G63),0)</f>
        <v>4</v>
      </c>
      <c r="S63" s="5" t="n">
        <f aca="false">IF(G63=0,0,(1-MIN(E63/MAX(G63,1),1))*50+(1-MIN(F63/MAX(H63,1),1))*50)</f>
        <v>10.2564102564103</v>
      </c>
    </row>
    <row r="64" customFormat="false" ht="15" hidden="false" customHeight="false" outlineLevel="0" collapsed="false">
      <c r="A64" s="5" t="n">
        <f aca="false">ITEM_MASTER_CLEAN!A64</f>
        <v>63</v>
      </c>
      <c r="B64" s="5" t="n">
        <f aca="false">ITEM_MASTER_CLEAN!B64</f>
        <v>36756</v>
      </c>
      <c r="C64" s="5" t="str">
        <f aca="false">ITEM_MASTER_CLEAN!C64</f>
        <v>LADIP MANGO S/SERVE VEGAN 8X1.89L</v>
      </c>
      <c r="D64" s="12" t="n">
        <f aca="false">ITEM_MASTER_CLEAN!F64</f>
        <v>58.22</v>
      </c>
      <c r="E64" s="5" t="n">
        <f aca="false">ITEM_MASTER_CLEAN!H64</f>
        <v>10</v>
      </c>
      <c r="F64" s="5" t="n">
        <f aca="false">ITEM_MASTER_CLEAN!I64</f>
        <v>0</v>
      </c>
      <c r="G64" s="5" t="n">
        <f aca="false">PAR_LEVELS!J64</f>
        <v>7.42857142857143</v>
      </c>
      <c r="H64" s="5" t="n">
        <f aca="false">PAR_LEVELS!K64</f>
        <v>9.28571428571429</v>
      </c>
      <c r="I64" s="5" t="n">
        <f aca="false">MAX(E64-G64,0)</f>
        <v>2.57142857142857</v>
      </c>
      <c r="J64" s="5" t="n">
        <f aca="false">MAX(F64-H64,0)</f>
        <v>0</v>
      </c>
      <c r="K64" s="5" t="n">
        <f aca="false">MAX(G64-E64,0)</f>
        <v>0</v>
      </c>
      <c r="L64" s="5" t="n">
        <f aca="false">MAX(H64-F64,0)</f>
        <v>9.28571428571429</v>
      </c>
      <c r="M64" s="5" t="str">
        <f aca="false">IF(AND(I64&gt;TransferMin,L64&gt;0),"OAK→HP",IF(AND(J64&gt;TransferMin,K64&gt;0),"HP→OAK","None"))</f>
        <v>None</v>
      </c>
      <c r="N64" s="5" t="n">
        <f aca="false">IF(M64="OAK→HP",MIN(I64,L64),IF(M64="HP→OAK",MIN(J64,K64),0))</f>
        <v>0</v>
      </c>
      <c r="O64" s="5" t="n">
        <f aca="false">MAX(K64-IF(M64="HP→OAK",N64,0),0)</f>
        <v>0</v>
      </c>
      <c r="P64" s="5" t="n">
        <f aca="false">MAX(L64-IF(M64="OAK→HP",N64,0),0)</f>
        <v>9.28571428571429</v>
      </c>
      <c r="Q64" s="5" t="n">
        <f aca="false">IF(O64&gt;0,CEILING(O64,ITEM_MASTER_CLEAN!G64),0)</f>
        <v>0</v>
      </c>
      <c r="R64" s="5" t="n">
        <f aca="false">IF(P64&gt;0,CEILING(P64,ITEM_MASTER_CLEAN!G64),0)</f>
        <v>16</v>
      </c>
      <c r="S64" s="5" t="n">
        <f aca="false">IF(G64=0,0,(1-MIN(E64/MAX(G64,1),1))*50+(1-MIN(F64/MAX(H64,1),1))*50)</f>
        <v>50</v>
      </c>
    </row>
    <row r="65" customFormat="false" ht="15" hidden="false" customHeight="false" outlineLevel="0" collapsed="false">
      <c r="A65" s="5" t="n">
        <f aca="false">ITEM_MASTER_CLEAN!A65</f>
        <v>64</v>
      </c>
      <c r="B65" s="5" t="n">
        <f aca="false">ITEM_MASTER_CLEAN!B65</f>
        <v>31231</v>
      </c>
      <c r="C65" s="5" t="str">
        <f aca="false">ITEM_MASTER_CLEAN!C65</f>
        <v>LC ICE CRM MIX CHOCOLATE 2X10L</v>
      </c>
      <c r="D65" s="12" t="n">
        <f aca="false">ITEM_MASTER_CLEAN!F65</f>
        <v>60.66</v>
      </c>
      <c r="E65" s="5" t="n">
        <f aca="false">ITEM_MASTER_CLEAN!H65</f>
        <v>13</v>
      </c>
      <c r="F65" s="5" t="n">
        <f aca="false">ITEM_MASTER_CLEAN!I65</f>
        <v>5</v>
      </c>
      <c r="G65" s="5" t="n">
        <f aca="false">PAR_LEVELS!J65</f>
        <v>14.8571428571429</v>
      </c>
      <c r="H65" s="5" t="n">
        <f aca="false">PAR_LEVELS!K65</f>
        <v>7.42857142857143</v>
      </c>
      <c r="I65" s="5" t="n">
        <f aca="false">MAX(E65-G65,0)</f>
        <v>0</v>
      </c>
      <c r="J65" s="5" t="n">
        <f aca="false">MAX(F65-H65,0)</f>
        <v>0</v>
      </c>
      <c r="K65" s="5" t="n">
        <f aca="false">MAX(G65-E65,0)</f>
        <v>1.85714285714286</v>
      </c>
      <c r="L65" s="5" t="n">
        <f aca="false">MAX(H65-F65,0)</f>
        <v>2.42857142857143</v>
      </c>
      <c r="M65" s="5" t="str">
        <f aca="false">IF(AND(I65&gt;TransferMin,L65&gt;0),"OAK→HP",IF(AND(J65&gt;TransferMin,K65&gt;0),"HP→OAK","None"))</f>
        <v>None</v>
      </c>
      <c r="N65" s="5" t="n">
        <f aca="false">IF(M65="OAK→HP",MIN(I65,L65),IF(M65="HP→OAK",MIN(J65,K65),0))</f>
        <v>0</v>
      </c>
      <c r="O65" s="5" t="n">
        <f aca="false">MAX(K65-IF(M65="HP→OAK",N65,0),0)</f>
        <v>1.85714285714286</v>
      </c>
      <c r="P65" s="5" t="n">
        <f aca="false">MAX(L65-IF(M65="OAK→HP",N65,0),0)</f>
        <v>2.42857142857143</v>
      </c>
      <c r="Q65" s="5" t="n">
        <f aca="false">IF(O65&gt;0,CEILING(O65,ITEM_MASTER_CLEAN!G65),0)</f>
        <v>2</v>
      </c>
      <c r="R65" s="5" t="n">
        <f aca="false">IF(P65&gt;0,CEILING(P65,ITEM_MASTER_CLEAN!G65),0)</f>
        <v>4</v>
      </c>
      <c r="S65" s="5" t="n">
        <f aca="false">IF(G65=0,0,(1-MIN(E65/MAX(G65,1),1))*50+(1-MIN(F65/MAX(H65,1),1))*50)</f>
        <v>22.5961538461538</v>
      </c>
    </row>
    <row r="66" customFormat="false" ht="15" hidden="false" customHeight="false" outlineLevel="0" collapsed="false">
      <c r="A66" s="5" t="n">
        <f aca="false">ITEM_MASTER_CLEAN!A66</f>
        <v>65</v>
      </c>
      <c r="B66" s="5" t="n">
        <f aca="false">ITEM_MASTER_CLEAN!B66</f>
        <v>30283</v>
      </c>
      <c r="C66" s="5" t="str">
        <f aca="false">ITEM_MASTER_CLEAN!C66</f>
        <v>BEV MILKSHAKE CARAMILK 12X310ML</v>
      </c>
      <c r="D66" s="12" t="n">
        <f aca="false">ITEM_MASTER_CLEAN!F66</f>
        <v>17.81</v>
      </c>
      <c r="E66" s="5" t="n">
        <f aca="false">ITEM_MASTER_CLEAN!H66</f>
        <v>2</v>
      </c>
      <c r="F66" s="5" t="n">
        <f aca="false">ITEM_MASTER_CLEAN!I66</f>
        <v>9</v>
      </c>
      <c r="G66" s="5" t="n">
        <f aca="false">PAR_LEVELS!J66</f>
        <v>14.8571428571429</v>
      </c>
      <c r="H66" s="5" t="n">
        <f aca="false">PAR_LEVELS!K66</f>
        <v>5.57142857142857</v>
      </c>
      <c r="I66" s="5" t="n">
        <f aca="false">MAX(E66-G66,0)</f>
        <v>0</v>
      </c>
      <c r="J66" s="5" t="n">
        <f aca="false">MAX(F66-H66,0)</f>
        <v>3.42857142857143</v>
      </c>
      <c r="K66" s="5" t="n">
        <f aca="false">MAX(G66-E66,0)</f>
        <v>12.8571428571429</v>
      </c>
      <c r="L66" s="5" t="n">
        <f aca="false">MAX(H66-F66,0)</f>
        <v>0</v>
      </c>
      <c r="M66" s="5" t="str">
        <f aca="false">IF(AND(I66&gt;TransferMin,L66&gt;0),"OAK→HP",IF(AND(J66&gt;TransferMin,K66&gt;0),"HP→OAK","None"))</f>
        <v>None</v>
      </c>
      <c r="N66" s="5" t="n">
        <f aca="false">IF(M66="OAK→HP",MIN(I66,L66),IF(M66="HP→OAK",MIN(J66,K66),0))</f>
        <v>0</v>
      </c>
      <c r="O66" s="5" t="n">
        <f aca="false">MAX(K66-IF(M66="HP→OAK",N66,0),0)</f>
        <v>12.8571428571429</v>
      </c>
      <c r="P66" s="5" t="n">
        <f aca="false">MAX(L66-IF(M66="OAK→HP",N66,0),0)</f>
        <v>0</v>
      </c>
      <c r="Q66" s="5" t="n">
        <f aca="false">IF(O66&gt;0,CEILING(O66,ITEM_MASTER_CLEAN!G66),0)</f>
        <v>24</v>
      </c>
      <c r="R66" s="5" t="n">
        <f aca="false">IF(P66&gt;0,CEILING(P66,ITEM_MASTER_CLEAN!G66),0)</f>
        <v>0</v>
      </c>
      <c r="S66" s="5" t="n">
        <f aca="false">IF(G66=0,0,(1-MIN(E66/MAX(G66,1),1))*50+(1-MIN(F66/MAX(H66,1),1))*50)</f>
        <v>43.2692307692308</v>
      </c>
    </row>
    <row r="67" customFormat="false" ht="15" hidden="false" customHeight="false" outlineLevel="0" collapsed="false">
      <c r="A67" s="5" t="n">
        <f aca="false">ITEM_MASTER_CLEAN!A67</f>
        <v>66</v>
      </c>
      <c r="B67" s="5" t="n">
        <f aca="false">ITEM_MASTER_CLEAN!B67</f>
        <v>30282</v>
      </c>
      <c r="C67" s="5" t="str">
        <f aca="false">ITEM_MASTER_CLEAN!C67</f>
        <v>BEV MILKSHAKE COFFE CRISP 12X473ML</v>
      </c>
      <c r="D67" s="12" t="n">
        <f aca="false">ITEM_MASTER_CLEAN!F67</f>
        <v>5.23</v>
      </c>
      <c r="E67" s="5" t="n">
        <f aca="false">ITEM_MASTER_CLEAN!H67</f>
        <v>10</v>
      </c>
      <c r="F67" s="5" t="n">
        <f aca="false">ITEM_MASTER_CLEAN!I67</f>
        <v>6</v>
      </c>
      <c r="G67" s="5" t="n">
        <f aca="false">PAR_LEVELS!J67</f>
        <v>16.7142857142857</v>
      </c>
      <c r="H67" s="5" t="n">
        <f aca="false">PAR_LEVELS!K67</f>
        <v>9.28571428571429</v>
      </c>
      <c r="I67" s="5" t="n">
        <f aca="false">MAX(E67-G67,0)</f>
        <v>0</v>
      </c>
      <c r="J67" s="5" t="n">
        <f aca="false">MAX(F67-H67,0)</f>
        <v>0</v>
      </c>
      <c r="K67" s="5" t="n">
        <f aca="false">MAX(G67-E67,0)</f>
        <v>6.71428571428572</v>
      </c>
      <c r="L67" s="5" t="n">
        <f aca="false">MAX(H67-F67,0)</f>
        <v>3.28571428571429</v>
      </c>
      <c r="M67" s="5" t="str">
        <f aca="false">IF(AND(I67&gt;TransferMin,L67&gt;0),"OAK→HP",IF(AND(J67&gt;TransferMin,K67&gt;0),"HP→OAK","None"))</f>
        <v>None</v>
      </c>
      <c r="N67" s="5" t="n">
        <f aca="false">IF(M67="OAK→HP",MIN(I67,L67),IF(M67="HP→OAK",MIN(J67,K67),0))</f>
        <v>0</v>
      </c>
      <c r="O67" s="5" t="n">
        <f aca="false">MAX(K67-IF(M67="HP→OAK",N67,0),0)</f>
        <v>6.71428571428572</v>
      </c>
      <c r="P67" s="5" t="n">
        <f aca="false">MAX(L67-IF(M67="OAK→HP",N67,0),0)</f>
        <v>3.28571428571429</v>
      </c>
      <c r="Q67" s="5" t="n">
        <f aca="false">IF(O67&gt;0,CEILING(O67,ITEM_MASTER_CLEAN!G67),0)</f>
        <v>12</v>
      </c>
      <c r="R67" s="5" t="n">
        <f aca="false">IF(P67&gt;0,CEILING(P67,ITEM_MASTER_CLEAN!G67),0)</f>
        <v>12</v>
      </c>
      <c r="S67" s="5" t="n">
        <f aca="false">IF(G67=0,0,(1-MIN(E67/MAX(G67,1),1))*50+(1-MIN(F67/MAX(H67,1),1))*50)</f>
        <v>37.7777777777778</v>
      </c>
    </row>
    <row r="68" customFormat="false" ht="15" hidden="false" customHeight="false" outlineLevel="0" collapsed="false">
      <c r="A68" s="5" t="n">
        <f aca="false">ITEM_MASTER_CLEAN!A68</f>
        <v>67</v>
      </c>
      <c r="B68" s="5" t="n">
        <f aca="false">ITEM_MASTER_CLEAN!B68</f>
        <v>31225</v>
      </c>
      <c r="C68" s="5" t="str">
        <f aca="false">ITEM_MASTER_CLEAN!C68</f>
        <v>PRVT MILK HOMO 2L</v>
      </c>
      <c r="D68" s="12" t="n">
        <f aca="false">ITEM_MASTER_CLEAN!F68</f>
        <v>4.4</v>
      </c>
      <c r="E68" s="5" t="n">
        <f aca="false">ITEM_MASTER_CLEAN!H68</f>
        <v>0</v>
      </c>
      <c r="F68" s="5" t="n">
        <f aca="false">ITEM_MASTER_CLEAN!I68</f>
        <v>21</v>
      </c>
      <c r="G68" s="5" t="n">
        <f aca="false">PAR_LEVELS!J68</f>
        <v>7.42857142857143</v>
      </c>
      <c r="H68" s="5" t="n">
        <f aca="false">PAR_LEVELS!K68</f>
        <v>11.1428571428571</v>
      </c>
      <c r="I68" s="5" t="n">
        <f aca="false">MAX(E68-G68,0)</f>
        <v>0</v>
      </c>
      <c r="J68" s="5" t="n">
        <f aca="false">MAX(F68-H68,0)</f>
        <v>9.85714285714286</v>
      </c>
      <c r="K68" s="5" t="n">
        <f aca="false">MAX(G68-E68,0)</f>
        <v>7.42857142857143</v>
      </c>
      <c r="L68" s="5" t="n">
        <f aca="false">MAX(H68-F68,0)</f>
        <v>0</v>
      </c>
      <c r="M68" s="5" t="str">
        <f aca="false">IF(AND(I68&gt;TransferMin,L68&gt;0),"OAK→HP",IF(AND(J68&gt;TransferMin,K68&gt;0),"HP→OAK","None"))</f>
        <v>HP→OAK</v>
      </c>
      <c r="N68" s="5" t="n">
        <f aca="false">IF(M68="OAK→HP",MIN(I68,L68),IF(M68="HP→OAK",MIN(J68,K68),0))</f>
        <v>7.42857142857143</v>
      </c>
      <c r="O68" s="5" t="n">
        <f aca="false">MAX(K68-IF(M68="HP→OAK",N68,0),0)</f>
        <v>0</v>
      </c>
      <c r="P68" s="5" t="n">
        <f aca="false">MAX(L68-IF(M68="OAK→HP",N68,0),0)</f>
        <v>0</v>
      </c>
      <c r="Q68" s="5" t="n">
        <f aca="false">IF(O68&gt;0,CEILING(O68,ITEM_MASTER_CLEAN!G68),0)</f>
        <v>0</v>
      </c>
      <c r="R68" s="5" t="n">
        <f aca="false">IF(P68&gt;0,CEILING(P68,ITEM_MASTER_CLEAN!G68),0)</f>
        <v>0</v>
      </c>
      <c r="S68" s="5" t="n">
        <f aca="false">IF(G68=0,0,(1-MIN(E68/MAX(G68,1),1))*50+(1-MIN(F68/MAX(H68,1),1))*50)</f>
        <v>50</v>
      </c>
    </row>
    <row r="69" customFormat="false" ht="15" hidden="false" customHeight="false" outlineLevel="0" collapsed="false">
      <c r="A69" s="5" t="n">
        <f aca="false">ITEM_MASTER_CLEAN!A69</f>
        <v>68</v>
      </c>
      <c r="B69" s="5" t="n">
        <f aca="false">ITEM_MASTER_CLEAN!B69</f>
        <v>31227</v>
      </c>
      <c r="C69" s="5" t="str">
        <f aca="false">ITEM_MASTER_CLEAN!C69</f>
        <v>PRVT MILK CHOCOLATE 2L</v>
      </c>
      <c r="D69" s="12" t="n">
        <f aca="false">ITEM_MASTER_CLEAN!F69</f>
        <v>4.97</v>
      </c>
      <c r="E69" s="5" t="n">
        <f aca="false">ITEM_MASTER_CLEAN!H69</f>
        <v>41</v>
      </c>
      <c r="F69" s="5" t="n">
        <f aca="false">ITEM_MASTER_CLEAN!I69</f>
        <v>17</v>
      </c>
      <c r="G69" s="5" t="n">
        <f aca="false">PAR_LEVELS!J69</f>
        <v>16.7142857142857</v>
      </c>
      <c r="H69" s="5" t="n">
        <f aca="false">PAR_LEVELS!K69</f>
        <v>7.42857142857143</v>
      </c>
      <c r="I69" s="5" t="n">
        <f aca="false">MAX(E69-G69,0)</f>
        <v>24.2857142857143</v>
      </c>
      <c r="J69" s="5" t="n">
        <f aca="false">MAX(F69-H69,0)</f>
        <v>9.57142857142857</v>
      </c>
      <c r="K69" s="5" t="n">
        <f aca="false">MAX(G69-E69,0)</f>
        <v>0</v>
      </c>
      <c r="L69" s="5" t="n">
        <f aca="false">MAX(H69-F69,0)</f>
        <v>0</v>
      </c>
      <c r="M69" s="5" t="str">
        <f aca="false">IF(AND(I69&gt;TransferMin,L69&gt;0),"OAK→HP",IF(AND(J69&gt;TransferMin,K69&gt;0),"HP→OAK","None"))</f>
        <v>None</v>
      </c>
      <c r="N69" s="5" t="n">
        <f aca="false">IF(M69="OAK→HP",MIN(I69,L69),IF(M69="HP→OAK",MIN(J69,K69),0))</f>
        <v>0</v>
      </c>
      <c r="O69" s="5" t="n">
        <f aca="false">MAX(K69-IF(M69="HP→OAK",N69,0),0)</f>
        <v>0</v>
      </c>
      <c r="P69" s="5" t="n">
        <f aca="false">MAX(L69-IF(M69="OAK→HP",N69,0),0)</f>
        <v>0</v>
      </c>
      <c r="Q69" s="5" t="n">
        <f aca="false">IF(O69&gt;0,CEILING(O69,ITEM_MASTER_CLEAN!G69),0)</f>
        <v>0</v>
      </c>
      <c r="R69" s="5" t="n">
        <f aca="false">IF(P69&gt;0,CEILING(P69,ITEM_MASTER_CLEAN!G69),0)</f>
        <v>0</v>
      </c>
      <c r="S69" s="5" t="n">
        <f aca="false">IF(G69=0,0,(1-MIN(E69/MAX(G69,1),1))*50+(1-MIN(F69/MAX(H69,1),1))*50)</f>
        <v>0</v>
      </c>
    </row>
    <row r="70" customFormat="false" ht="15" hidden="false" customHeight="false" outlineLevel="0" collapsed="false">
      <c r="A70" s="5" t="n">
        <f aca="false">ITEM_MASTER_CLEAN!A70</f>
        <v>69</v>
      </c>
      <c r="B70" s="5" t="n">
        <f aca="false">ITEM_MASTER_CLEAN!B70</f>
        <v>31226</v>
      </c>
      <c r="C70" s="5" t="str">
        <f aca="false">ITEM_MASTER_CLEAN!C70</f>
        <v>PRVT MILK STRAWBERRY 473ML</v>
      </c>
      <c r="D70" s="12" t="n">
        <f aca="false">ITEM_MASTER_CLEAN!F70</f>
        <v>4.31</v>
      </c>
      <c r="E70" s="5" t="n">
        <f aca="false">ITEM_MASTER_CLEAN!H70</f>
        <v>6</v>
      </c>
      <c r="F70" s="5" t="n">
        <f aca="false">ITEM_MASTER_CLEAN!I70</f>
        <v>1</v>
      </c>
      <c r="G70" s="5" t="n">
        <f aca="false">PAR_LEVELS!J70</f>
        <v>18.5714285714286</v>
      </c>
      <c r="H70" s="5" t="n">
        <f aca="false">PAR_LEVELS!K70</f>
        <v>9.28571428571429</v>
      </c>
      <c r="I70" s="5" t="n">
        <f aca="false">MAX(E70-G70,0)</f>
        <v>0</v>
      </c>
      <c r="J70" s="5" t="n">
        <f aca="false">MAX(F70-H70,0)</f>
        <v>0</v>
      </c>
      <c r="K70" s="5" t="n">
        <f aca="false">MAX(G70-E70,0)</f>
        <v>12.5714285714286</v>
      </c>
      <c r="L70" s="5" t="n">
        <f aca="false">MAX(H70-F70,0)</f>
        <v>8.28571428571429</v>
      </c>
      <c r="M70" s="5" t="str">
        <f aca="false">IF(AND(I70&gt;TransferMin,L70&gt;0),"OAK→HP",IF(AND(J70&gt;TransferMin,K70&gt;0),"HP→OAK","None"))</f>
        <v>None</v>
      </c>
      <c r="N70" s="5" t="n">
        <f aca="false">IF(M70="OAK→HP",MIN(I70,L70),IF(M70="HP→OAK",MIN(J70,K70),0))</f>
        <v>0</v>
      </c>
      <c r="O70" s="5" t="n">
        <f aca="false">MAX(K70-IF(M70="HP→OAK",N70,0),0)</f>
        <v>12.5714285714286</v>
      </c>
      <c r="P70" s="5" t="n">
        <f aca="false">MAX(L70-IF(M70="OAK→HP",N70,0),0)</f>
        <v>8.28571428571429</v>
      </c>
      <c r="Q70" s="5" t="n">
        <f aca="false">IF(O70&gt;0,CEILING(O70,ITEM_MASTER_CLEAN!G70),0)</f>
        <v>13</v>
      </c>
      <c r="R70" s="5" t="n">
        <f aca="false">IF(P70&gt;0,CEILING(P70,ITEM_MASTER_CLEAN!G70),0)</f>
        <v>9</v>
      </c>
      <c r="S70" s="5" t="n">
        <f aca="false">IF(G70=0,0,(1-MIN(E70/MAX(G70,1),1))*50+(1-MIN(F70/MAX(H70,1),1))*50)</f>
        <v>78.4615384615385</v>
      </c>
    </row>
    <row r="71" customFormat="false" ht="15" hidden="false" customHeight="false" outlineLevel="0" collapsed="false">
      <c r="A71" s="5" t="n">
        <f aca="false">ITEM_MASTER_CLEAN!A71</f>
        <v>70</v>
      </c>
      <c r="B71" s="5" t="n">
        <f aca="false">ITEM_MASTER_CLEAN!B71</f>
        <v>31221</v>
      </c>
      <c r="C71" s="5" t="str">
        <f aca="false">ITEM_MASTER_CLEAN!C71</f>
        <v>WHIP CREAM AEROSOL 19% 12X225G</v>
      </c>
      <c r="D71" s="12" t="n">
        <f aca="false">ITEM_MASTER_CLEAN!F71</f>
        <v>48.22</v>
      </c>
      <c r="E71" s="5" t="n">
        <f aca="false">ITEM_MASTER_CLEAN!H71</f>
        <v>26</v>
      </c>
      <c r="F71" s="5" t="n">
        <f aca="false">ITEM_MASTER_CLEAN!I71</f>
        <v>18</v>
      </c>
      <c r="G71" s="5" t="n">
        <f aca="false">PAR_LEVELS!J71</f>
        <v>11.1428571428571</v>
      </c>
      <c r="H71" s="5" t="n">
        <f aca="false">PAR_LEVELS!K71</f>
        <v>9.28571428571429</v>
      </c>
      <c r="I71" s="5" t="n">
        <f aca="false">MAX(E71-G71,0)</f>
        <v>14.8571428571429</v>
      </c>
      <c r="J71" s="5" t="n">
        <f aca="false">MAX(F71-H71,0)</f>
        <v>8.71428571428571</v>
      </c>
      <c r="K71" s="5" t="n">
        <f aca="false">MAX(G71-E71,0)</f>
        <v>0</v>
      </c>
      <c r="L71" s="5" t="n">
        <f aca="false">MAX(H71-F71,0)</f>
        <v>0</v>
      </c>
      <c r="M71" s="5" t="str">
        <f aca="false">IF(AND(I71&gt;TransferMin,L71&gt;0),"OAK→HP",IF(AND(J71&gt;TransferMin,K71&gt;0),"HP→OAK","None"))</f>
        <v>None</v>
      </c>
      <c r="N71" s="5" t="n">
        <f aca="false">IF(M71="OAK→HP",MIN(I71,L71),IF(M71="HP→OAK",MIN(J71,K71),0))</f>
        <v>0</v>
      </c>
      <c r="O71" s="5" t="n">
        <f aca="false">MAX(K71-IF(M71="HP→OAK",N71,0),0)</f>
        <v>0</v>
      </c>
      <c r="P71" s="5" t="n">
        <f aca="false">MAX(L71-IF(M71="OAK→HP",N71,0),0)</f>
        <v>0</v>
      </c>
      <c r="Q71" s="5" t="n">
        <f aca="false">IF(O71&gt;0,CEILING(O71,ITEM_MASTER_CLEAN!G71),0)</f>
        <v>0</v>
      </c>
      <c r="R71" s="5" t="n">
        <f aca="false">IF(P71&gt;0,CEILING(P71,ITEM_MASTER_CLEAN!G71),0)</f>
        <v>0</v>
      </c>
      <c r="S71" s="5" t="n">
        <f aca="false">IF(G71=0,0,(1-MIN(E71/MAX(G71,1),1))*50+(1-MIN(F71/MAX(H71,1),1))*50)</f>
        <v>0</v>
      </c>
    </row>
    <row r="72" customFormat="false" ht="15" hidden="false" customHeight="false" outlineLevel="0" collapsed="false">
      <c r="A72" s="5" t="n">
        <f aca="false">ITEM_MASTER_CLEAN!A72</f>
        <v>71</v>
      </c>
      <c r="B72" s="5" t="n">
        <f aca="false">ITEM_MASTER_CLEAN!B72</f>
        <v>64878</v>
      </c>
      <c r="C72" s="5" t="str">
        <f aca="false">ITEM_MASTER_CLEAN!C72</f>
        <v>DIPP CUP 16OZ PL 31016MTYL PP* 1M</v>
      </c>
      <c r="D72" s="12" t="n">
        <f aca="false">ITEM_MASTER_CLEAN!F72</f>
        <v>19.1</v>
      </c>
      <c r="E72" s="5" t="n">
        <f aca="false">ITEM_MASTER_CLEAN!H72</f>
        <v>12</v>
      </c>
      <c r="F72" s="5" t="n">
        <f aca="false">ITEM_MASTER_CLEAN!I72</f>
        <v>7</v>
      </c>
      <c r="G72" s="5" t="n">
        <f aca="false">PAR_LEVELS!J72</f>
        <v>13</v>
      </c>
      <c r="H72" s="5" t="n">
        <f aca="false">PAR_LEVELS!K72</f>
        <v>7.42857142857143</v>
      </c>
      <c r="I72" s="5" t="n">
        <f aca="false">MAX(E72-G72,0)</f>
        <v>0</v>
      </c>
      <c r="J72" s="5" t="n">
        <f aca="false">MAX(F72-H72,0)</f>
        <v>0</v>
      </c>
      <c r="K72" s="5" t="n">
        <f aca="false">MAX(G72-E72,0)</f>
        <v>1</v>
      </c>
      <c r="L72" s="5" t="n">
        <f aca="false">MAX(H72-F72,0)</f>
        <v>0.428571428571428</v>
      </c>
      <c r="M72" s="5" t="str">
        <f aca="false">IF(AND(I72&gt;TransferMin,L72&gt;0),"OAK→HP",IF(AND(J72&gt;TransferMin,K72&gt;0),"HP→OAK","None"))</f>
        <v>None</v>
      </c>
      <c r="N72" s="5" t="n">
        <f aca="false">IF(M72="OAK→HP",MIN(I72,L72),IF(M72="HP→OAK",MIN(J72,K72),0))</f>
        <v>0</v>
      </c>
      <c r="O72" s="5" t="n">
        <f aca="false">MAX(K72-IF(M72="HP→OAK",N72,0),0)</f>
        <v>1</v>
      </c>
      <c r="P72" s="5" t="n">
        <f aca="false">MAX(L72-IF(M72="OAK→HP",N72,0),0)</f>
        <v>0.428571428571428</v>
      </c>
      <c r="Q72" s="5" t="n">
        <f aca="false">IF(O72&gt;0,CEILING(O72,ITEM_MASTER_CLEAN!G72),0)</f>
        <v>20</v>
      </c>
      <c r="R72" s="5" t="n">
        <f aca="false">IF(P72&gt;0,CEILING(P72,ITEM_MASTER_CLEAN!G72),0)</f>
        <v>20</v>
      </c>
      <c r="S72" s="5" t="n">
        <f aca="false">IF(G72=0,0,(1-MIN(E72/MAX(G72,1),1))*50+(1-MIN(F72/MAX(H72,1),1))*50)</f>
        <v>6.73076923076922</v>
      </c>
    </row>
    <row r="73" customFormat="false" ht="15" hidden="false" customHeight="false" outlineLevel="0" collapsed="false">
      <c r="A73" s="5" t="n">
        <f aca="false">ITEM_MASTER_CLEAN!A73</f>
        <v>72</v>
      </c>
      <c r="B73" s="5" t="n">
        <f aca="false">ITEM_MASTER_CLEAN!B73</f>
        <v>61594</v>
      </c>
      <c r="C73" s="5" t="str">
        <f aca="false">ITEM_MASTER_CLEAN!C73</f>
        <v>Couv. Plat 16oz 10x100 units</v>
      </c>
      <c r="D73" s="12" t="n">
        <f aca="false">ITEM_MASTER_CLEAN!F73</f>
        <v>16.83</v>
      </c>
      <c r="E73" s="5" t="n">
        <f aca="false">ITEM_MASTER_CLEAN!H73</f>
        <v>31</v>
      </c>
      <c r="F73" s="5" t="n">
        <f aca="false">ITEM_MASTER_CLEAN!I73</f>
        <v>19</v>
      </c>
      <c r="G73" s="5" t="n">
        <f aca="false">PAR_LEVELS!J73</f>
        <v>16.7142857142857</v>
      </c>
      <c r="H73" s="5" t="n">
        <f aca="false">PAR_LEVELS!K73</f>
        <v>9.28571428571429</v>
      </c>
      <c r="I73" s="5" t="n">
        <f aca="false">MAX(E73-G73,0)</f>
        <v>14.2857142857143</v>
      </c>
      <c r="J73" s="5" t="n">
        <f aca="false">MAX(F73-H73,0)</f>
        <v>9.71428571428571</v>
      </c>
      <c r="K73" s="5" t="n">
        <f aca="false">MAX(G73-E73,0)</f>
        <v>0</v>
      </c>
      <c r="L73" s="5" t="n">
        <f aca="false">MAX(H73-F73,0)</f>
        <v>0</v>
      </c>
      <c r="M73" s="5" t="str">
        <f aca="false">IF(AND(I73&gt;TransferMin,L73&gt;0),"OAK→HP",IF(AND(J73&gt;TransferMin,K73&gt;0),"HP→OAK","None"))</f>
        <v>None</v>
      </c>
      <c r="N73" s="5" t="n">
        <f aca="false">IF(M73="OAK→HP",MIN(I73,L73),IF(M73="HP→OAK",MIN(J73,K73),0))</f>
        <v>0</v>
      </c>
      <c r="O73" s="5" t="n">
        <f aca="false">MAX(K73-IF(M73="HP→OAK",N73,0),0)</f>
        <v>0</v>
      </c>
      <c r="P73" s="5" t="n">
        <f aca="false">MAX(L73-IF(M73="OAK→HP",N73,0),0)</f>
        <v>0</v>
      </c>
      <c r="Q73" s="5" t="n">
        <f aca="false">IF(O73&gt;0,CEILING(O73,ITEM_MASTER_CLEAN!G73),0)</f>
        <v>0</v>
      </c>
      <c r="R73" s="5" t="n">
        <f aca="false">IF(P73&gt;0,CEILING(P73,ITEM_MASTER_CLEAN!G73),0)</f>
        <v>0</v>
      </c>
      <c r="S73" s="5" t="n">
        <f aca="false">IF(G73=0,0,(1-MIN(E73/MAX(G73,1),1))*50+(1-MIN(F73/MAX(H73,1),1))*50)</f>
        <v>0</v>
      </c>
    </row>
    <row r="74" customFormat="false" ht="15" hidden="false" customHeight="false" outlineLevel="0" collapsed="false">
      <c r="A74" s="5" t="n">
        <f aca="false">ITEM_MASTER_CLEAN!A74</f>
        <v>73</v>
      </c>
      <c r="B74" s="5" t="n">
        <f aca="false">ITEM_MASTER_CLEAN!B74</f>
        <v>61593</v>
      </c>
      <c r="C74" s="5" t="str">
        <f aca="false">ITEM_MASTER_CLEAN!C74</f>
        <v>LID 16 OZ DOME W/SPOON HOLE PP X100</v>
      </c>
      <c r="D74" s="12" t="n">
        <f aca="false">ITEM_MASTER_CLEAN!F74</f>
        <v>17.88</v>
      </c>
      <c r="E74" s="5" t="n">
        <f aca="false">ITEM_MASTER_CLEAN!H74</f>
        <v>16</v>
      </c>
      <c r="F74" s="5" t="n">
        <f aca="false">ITEM_MASTER_CLEAN!I74</f>
        <v>11</v>
      </c>
      <c r="G74" s="5" t="n">
        <f aca="false">PAR_LEVELS!J74</f>
        <v>16.7142857142857</v>
      </c>
      <c r="H74" s="5" t="n">
        <f aca="false">PAR_LEVELS!K74</f>
        <v>13</v>
      </c>
      <c r="I74" s="5" t="n">
        <f aca="false">MAX(E74-G74,0)</f>
        <v>0</v>
      </c>
      <c r="J74" s="5" t="n">
        <f aca="false">MAX(F74-H74,0)</f>
        <v>0</v>
      </c>
      <c r="K74" s="5" t="n">
        <f aca="false">MAX(G74-E74,0)</f>
        <v>0.714285714285715</v>
      </c>
      <c r="L74" s="5" t="n">
        <f aca="false">MAX(H74-F74,0)</f>
        <v>2</v>
      </c>
      <c r="M74" s="5" t="str">
        <f aca="false">IF(AND(I74&gt;TransferMin,L74&gt;0),"OAK→HP",IF(AND(J74&gt;TransferMin,K74&gt;0),"HP→OAK","None"))</f>
        <v>None</v>
      </c>
      <c r="N74" s="5" t="n">
        <f aca="false">IF(M74="OAK→HP",MIN(I74,L74),IF(M74="HP→OAK",MIN(J74,K74),0))</f>
        <v>0</v>
      </c>
      <c r="O74" s="5" t="n">
        <f aca="false">MAX(K74-IF(M74="HP→OAK",N74,0),0)</f>
        <v>0.714285714285715</v>
      </c>
      <c r="P74" s="5" t="n">
        <f aca="false">MAX(L74-IF(M74="OAK→HP",N74,0),0)</f>
        <v>2</v>
      </c>
      <c r="Q74" s="5" t="n">
        <f aca="false">IF(O74&gt;0,CEILING(O74,ITEM_MASTER_CLEAN!G74),0)</f>
        <v>1</v>
      </c>
      <c r="R74" s="5" t="n">
        <f aca="false">IF(P74&gt;0,CEILING(P74,ITEM_MASTER_CLEAN!G74),0)</f>
        <v>2</v>
      </c>
      <c r="S74" s="5" t="n">
        <f aca="false">IF(G74=0,0,(1-MIN(E74/MAX(G74,1),1))*50+(1-MIN(F74/MAX(H74,1),1))*50)</f>
        <v>9.82905982905983</v>
      </c>
    </row>
    <row r="75" customFormat="false" ht="15" hidden="false" customHeight="false" outlineLevel="0" collapsed="false">
      <c r="A75" s="5" t="n">
        <f aca="false">ITEM_MASTER_CLEAN!A75</f>
        <v>74</v>
      </c>
      <c r="B75" s="5" t="n">
        <f aca="false">ITEM_MASTER_CLEAN!B75</f>
        <v>32911</v>
      </c>
      <c r="C75" s="5" t="str">
        <f aca="false">ITEM_MASTER_CLEAN!C75</f>
        <v>Montreal paper cup 16oz</v>
      </c>
      <c r="D75" s="12" t="n">
        <f aca="false">ITEM_MASTER_CLEAN!F75</f>
        <v>54.83</v>
      </c>
      <c r="E75" s="5" t="n">
        <f aca="false">ITEM_MASTER_CLEAN!H75</f>
        <v>1</v>
      </c>
      <c r="F75" s="5" t="n">
        <f aca="false">ITEM_MASTER_CLEAN!I75</f>
        <v>11</v>
      </c>
      <c r="G75" s="5" t="n">
        <f aca="false">PAR_LEVELS!J75</f>
        <v>14.8571428571429</v>
      </c>
      <c r="H75" s="5" t="n">
        <f aca="false">PAR_LEVELS!K75</f>
        <v>7.42857142857143</v>
      </c>
      <c r="I75" s="5" t="n">
        <f aca="false">MAX(E75-G75,0)</f>
        <v>0</v>
      </c>
      <c r="J75" s="5" t="n">
        <f aca="false">MAX(F75-H75,0)</f>
        <v>3.57142857142857</v>
      </c>
      <c r="K75" s="5" t="n">
        <f aca="false">MAX(G75-E75,0)</f>
        <v>13.8571428571429</v>
      </c>
      <c r="L75" s="5" t="n">
        <f aca="false">MAX(H75-F75,0)</f>
        <v>0</v>
      </c>
      <c r="M75" s="5" t="str">
        <f aca="false">IF(AND(I75&gt;TransferMin,L75&gt;0),"OAK→HP",IF(AND(J75&gt;TransferMin,K75&gt;0),"HP→OAK","None"))</f>
        <v>None</v>
      </c>
      <c r="N75" s="5" t="n">
        <f aca="false">IF(M75="OAK→HP",MIN(I75,L75),IF(M75="HP→OAK",MIN(J75,K75),0))</f>
        <v>0</v>
      </c>
      <c r="O75" s="5" t="n">
        <f aca="false">MAX(K75-IF(M75="HP→OAK",N75,0),0)</f>
        <v>13.8571428571429</v>
      </c>
      <c r="P75" s="5" t="n">
        <f aca="false">MAX(L75-IF(M75="OAK→HP",N75,0),0)</f>
        <v>0</v>
      </c>
      <c r="Q75" s="5" t="n">
        <f aca="false">IF(O75&gt;0,CEILING(O75,ITEM_MASTER_CLEAN!G75),0)</f>
        <v>14</v>
      </c>
      <c r="R75" s="5" t="n">
        <f aca="false">IF(P75&gt;0,CEILING(P75,ITEM_MASTER_CLEAN!G75),0)</f>
        <v>0</v>
      </c>
      <c r="S75" s="5" t="n">
        <f aca="false">IF(G75=0,0,(1-MIN(E75/MAX(G75,1),1))*50+(1-MIN(F75/MAX(H75,1),1))*50)</f>
        <v>46.6346153846154</v>
      </c>
    </row>
    <row r="76" customFormat="false" ht="15" hidden="false" customHeight="false" outlineLevel="0" collapsed="false">
      <c r="A76" s="5" t="n">
        <f aca="false">ITEM_MASTER_CLEAN!A76</f>
        <v>75</v>
      </c>
      <c r="B76" s="5" t="n">
        <f aca="false">ITEM_MASTER_CLEAN!B76</f>
        <v>32912</v>
      </c>
      <c r="C76" s="5" t="str">
        <f aca="false">ITEM_MASTER_CLEAN!C76</f>
        <v>Montreal 16oz flat lid</v>
      </c>
      <c r="D76" s="12" t="n">
        <f aca="false">ITEM_MASTER_CLEAN!F76</f>
        <v>31.79</v>
      </c>
      <c r="E76" s="5" t="n">
        <f aca="false">ITEM_MASTER_CLEAN!H76</f>
        <v>8</v>
      </c>
      <c r="F76" s="5" t="n">
        <f aca="false">ITEM_MASTER_CLEAN!I76</f>
        <v>5</v>
      </c>
      <c r="G76" s="5" t="n">
        <f aca="false">PAR_LEVELS!J76</f>
        <v>9.28571428571429</v>
      </c>
      <c r="H76" s="5" t="n">
        <f aca="false">PAR_LEVELS!K76</f>
        <v>5.57142857142857</v>
      </c>
      <c r="I76" s="5" t="n">
        <f aca="false">MAX(E76-G76,0)</f>
        <v>0</v>
      </c>
      <c r="J76" s="5" t="n">
        <f aca="false">MAX(F76-H76,0)</f>
        <v>0</v>
      </c>
      <c r="K76" s="5" t="n">
        <f aca="false">MAX(G76-E76,0)</f>
        <v>1.28571428571429</v>
      </c>
      <c r="L76" s="5" t="n">
        <f aca="false">MAX(H76-F76,0)</f>
        <v>0.571428571428571</v>
      </c>
      <c r="M76" s="5" t="str">
        <f aca="false">IF(AND(I76&gt;TransferMin,L76&gt;0),"OAK→HP",IF(AND(J76&gt;TransferMin,K76&gt;0),"HP→OAK","None"))</f>
        <v>None</v>
      </c>
      <c r="N76" s="5" t="n">
        <f aca="false">IF(M76="OAK→HP",MIN(I76,L76),IF(M76="HP→OAK",MIN(J76,K76),0))</f>
        <v>0</v>
      </c>
      <c r="O76" s="5" t="n">
        <f aca="false">MAX(K76-IF(M76="HP→OAK",N76,0),0)</f>
        <v>1.28571428571429</v>
      </c>
      <c r="P76" s="5" t="n">
        <f aca="false">MAX(L76-IF(M76="OAK→HP",N76,0),0)</f>
        <v>0.571428571428571</v>
      </c>
      <c r="Q76" s="5" t="n">
        <f aca="false">IF(O76&gt;0,CEILING(O76,ITEM_MASTER_CLEAN!G76),0)</f>
        <v>2</v>
      </c>
      <c r="R76" s="5" t="n">
        <f aca="false">IF(P76&gt;0,CEILING(P76,ITEM_MASTER_CLEAN!G76),0)</f>
        <v>1</v>
      </c>
      <c r="S76" s="5" t="n">
        <f aca="false">IF(G76=0,0,(1-MIN(E76/MAX(G76,1),1))*50+(1-MIN(F76/MAX(H76,1),1))*50)</f>
        <v>12.0512820512821</v>
      </c>
    </row>
    <row r="77" customFormat="false" ht="15" hidden="false" customHeight="false" outlineLevel="0" collapsed="false">
      <c r="A77" s="5" t="n">
        <f aca="false">ITEM_MASTER_CLEAN!A77</f>
        <v>76</v>
      </c>
      <c r="B77" s="5" t="n">
        <f aca="false">ITEM_MASTER_CLEAN!B77</f>
        <v>34434</v>
      </c>
      <c r="C77" s="5" t="str">
        <f aca="false">ITEM_MASTER_CLEAN!C77</f>
        <v>Montreal 16oz dome lids</v>
      </c>
      <c r="D77" s="12" t="n">
        <f aca="false">ITEM_MASTER_CLEAN!F77</f>
        <v>19.15</v>
      </c>
      <c r="E77" s="5" t="n">
        <f aca="false">ITEM_MASTER_CLEAN!H77</f>
        <v>0</v>
      </c>
      <c r="F77" s="5" t="n">
        <f aca="false">ITEM_MASTER_CLEAN!I77</f>
        <v>7</v>
      </c>
      <c r="G77" s="5" t="n">
        <f aca="false">PAR_LEVELS!J77</f>
        <v>7.42857142857143</v>
      </c>
      <c r="H77" s="5" t="n">
        <f aca="false">PAR_LEVELS!K77</f>
        <v>5.57142857142857</v>
      </c>
      <c r="I77" s="5" t="n">
        <f aca="false">MAX(E77-G77,0)</f>
        <v>0</v>
      </c>
      <c r="J77" s="5" t="n">
        <f aca="false">MAX(F77-H77,0)</f>
        <v>1.42857142857143</v>
      </c>
      <c r="K77" s="5" t="n">
        <f aca="false">MAX(G77-E77,0)</f>
        <v>7.42857142857143</v>
      </c>
      <c r="L77" s="5" t="n">
        <f aca="false">MAX(H77-F77,0)</f>
        <v>0</v>
      </c>
      <c r="M77" s="5" t="str">
        <f aca="false">IF(AND(I77&gt;TransferMin,L77&gt;0),"OAK→HP",IF(AND(J77&gt;TransferMin,K77&gt;0),"HP→OAK","None"))</f>
        <v>None</v>
      </c>
      <c r="N77" s="5" t="n">
        <f aca="false">IF(M77="OAK→HP",MIN(I77,L77),IF(M77="HP→OAK",MIN(J77,K77),0))</f>
        <v>0</v>
      </c>
      <c r="O77" s="5" t="n">
        <f aca="false">MAX(K77-IF(M77="HP→OAK",N77,0),0)</f>
        <v>7.42857142857143</v>
      </c>
      <c r="P77" s="5" t="n">
        <f aca="false">MAX(L77-IF(M77="OAK→HP",N77,0),0)</f>
        <v>0</v>
      </c>
      <c r="Q77" s="5" t="n">
        <f aca="false">IF(O77&gt;0,CEILING(O77,ITEM_MASTER_CLEAN!G77),0)</f>
        <v>8</v>
      </c>
      <c r="R77" s="5" t="n">
        <f aca="false">IF(P77&gt;0,CEILING(P77,ITEM_MASTER_CLEAN!G77),0)</f>
        <v>0</v>
      </c>
      <c r="S77" s="5" t="n">
        <f aca="false">IF(G77=0,0,(1-MIN(E77/MAX(G77,1),1))*50+(1-MIN(F77/MAX(H77,1),1))*50)</f>
        <v>50</v>
      </c>
    </row>
    <row r="78" customFormat="false" ht="15" hidden="false" customHeight="false" outlineLevel="0" collapsed="false">
      <c r="A78" s="5" t="n">
        <f aca="false">ITEM_MASTER_CLEAN!A78</f>
        <v>77</v>
      </c>
      <c r="B78" s="5" t="n">
        <f aca="false">ITEM_MASTER_CLEAN!B78</f>
        <v>63815</v>
      </c>
      <c r="C78" s="5" t="str">
        <f aca="false">ITEM_MASTER_CLEAN!C78</f>
        <v>STRAW 10" PAP  BLK JUMBO 8MM WRP 2M</v>
      </c>
      <c r="D78" s="12" t="n">
        <f aca="false">ITEM_MASTER_CLEAN!F78</f>
        <v>27.44</v>
      </c>
      <c r="E78" s="5" t="n">
        <f aca="false">ITEM_MASTER_CLEAN!H78</f>
        <v>4</v>
      </c>
      <c r="F78" s="5" t="n">
        <f aca="false">ITEM_MASTER_CLEAN!I78</f>
        <v>5</v>
      </c>
      <c r="G78" s="5" t="n">
        <f aca="false">PAR_LEVELS!J78</f>
        <v>18.5714285714286</v>
      </c>
      <c r="H78" s="5" t="n">
        <f aca="false">PAR_LEVELS!K78</f>
        <v>3.71428571428571</v>
      </c>
      <c r="I78" s="5" t="n">
        <f aca="false">MAX(E78-G78,0)</f>
        <v>0</v>
      </c>
      <c r="J78" s="5" t="n">
        <f aca="false">MAX(F78-H78,0)</f>
        <v>1.28571428571429</v>
      </c>
      <c r="K78" s="5" t="n">
        <f aca="false">MAX(G78-E78,0)</f>
        <v>14.5714285714286</v>
      </c>
      <c r="L78" s="5" t="n">
        <f aca="false">MAX(H78-F78,0)</f>
        <v>0</v>
      </c>
      <c r="M78" s="5" t="str">
        <f aca="false">IF(AND(I78&gt;TransferMin,L78&gt;0),"OAK→HP",IF(AND(J78&gt;TransferMin,K78&gt;0),"HP→OAK","None"))</f>
        <v>None</v>
      </c>
      <c r="N78" s="5" t="n">
        <f aca="false">IF(M78="OAK→HP",MIN(I78,L78),IF(M78="HP→OAK",MIN(J78,K78),0))</f>
        <v>0</v>
      </c>
      <c r="O78" s="5" t="n">
        <f aca="false">MAX(K78-IF(M78="HP→OAK",N78,0),0)</f>
        <v>14.5714285714286</v>
      </c>
      <c r="P78" s="5" t="n">
        <f aca="false">MAX(L78-IF(M78="OAK→HP",N78,0),0)</f>
        <v>0</v>
      </c>
      <c r="Q78" s="5" t="n">
        <f aca="false">IF(O78&gt;0,CEILING(O78,ITEM_MASTER_CLEAN!G78),0)</f>
        <v>15</v>
      </c>
      <c r="R78" s="5" t="n">
        <f aca="false">IF(P78&gt;0,CEILING(P78,ITEM_MASTER_CLEAN!G78),0)</f>
        <v>0</v>
      </c>
      <c r="S78" s="5" t="n">
        <f aca="false">IF(G78=0,0,(1-MIN(E78/MAX(G78,1),1))*50+(1-MIN(F78/MAX(H78,1),1))*50)</f>
        <v>39.2307692307692</v>
      </c>
    </row>
    <row r="79" customFormat="false" ht="15" hidden="false" customHeight="false" outlineLevel="0" collapsed="false">
      <c r="A79" s="5" t="n">
        <f aca="false">ITEM_MASTER_CLEAN!A79</f>
        <v>78</v>
      </c>
      <c r="B79" s="5" t="n">
        <f aca="false">ITEM_MASTER_CLEAN!B79</f>
        <v>63816</v>
      </c>
      <c r="C79" s="5" t="str">
        <f aca="false">ITEM_MASTER_CLEAN!C79</f>
        <v>STRAW 7.75"PAPER S/J 8MM BLK WRP 2M</v>
      </c>
      <c r="D79" s="12" t="n">
        <f aca="false">ITEM_MASTER_CLEAN!F79</f>
        <v>26.22</v>
      </c>
      <c r="E79" s="5" t="n">
        <f aca="false">ITEM_MASTER_CLEAN!H79</f>
        <v>30</v>
      </c>
      <c r="F79" s="5" t="n">
        <f aca="false">ITEM_MASTER_CLEAN!I79</f>
        <v>1</v>
      </c>
      <c r="G79" s="5" t="n">
        <f aca="false">PAR_LEVELS!J79</f>
        <v>16.7142857142857</v>
      </c>
      <c r="H79" s="5" t="n">
        <f aca="false">PAR_LEVELS!K79</f>
        <v>9.28571428571429</v>
      </c>
      <c r="I79" s="5" t="n">
        <f aca="false">MAX(E79-G79,0)</f>
        <v>13.2857142857143</v>
      </c>
      <c r="J79" s="5" t="n">
        <f aca="false">MAX(F79-H79,0)</f>
        <v>0</v>
      </c>
      <c r="K79" s="5" t="n">
        <f aca="false">MAX(G79-E79,0)</f>
        <v>0</v>
      </c>
      <c r="L79" s="5" t="n">
        <f aca="false">MAX(H79-F79,0)</f>
        <v>8.28571428571429</v>
      </c>
      <c r="M79" s="5" t="str">
        <f aca="false">IF(AND(I79&gt;TransferMin,L79&gt;0),"OAK→HP",IF(AND(J79&gt;TransferMin,K79&gt;0),"HP→OAK","None"))</f>
        <v>OAK→HP</v>
      </c>
      <c r="N79" s="5" t="n">
        <f aca="false">IF(M79="OAK→HP",MIN(I79,L79),IF(M79="HP→OAK",MIN(J79,K79),0))</f>
        <v>8.28571428571429</v>
      </c>
      <c r="O79" s="5" t="n">
        <f aca="false">MAX(K79-IF(M79="HP→OAK",N79,0),0)</f>
        <v>0</v>
      </c>
      <c r="P79" s="5" t="n">
        <f aca="false">MAX(L79-IF(M79="OAK→HP",N79,0),0)</f>
        <v>0</v>
      </c>
      <c r="Q79" s="5" t="n">
        <f aca="false">IF(O79&gt;0,CEILING(O79,ITEM_MASTER_CLEAN!G79),0)</f>
        <v>0</v>
      </c>
      <c r="R79" s="5" t="n">
        <f aca="false">IF(P79&gt;0,CEILING(P79,ITEM_MASTER_CLEAN!G79),0)</f>
        <v>0</v>
      </c>
      <c r="S79" s="5" t="n">
        <f aca="false">IF(G79=0,0,(1-MIN(E79/MAX(G79,1),1))*50+(1-MIN(F79/MAX(H79,1),1))*50)</f>
        <v>44.6153846153846</v>
      </c>
    </row>
    <row r="80" customFormat="false" ht="15" hidden="false" customHeight="false" outlineLevel="0" collapsed="false">
      <c r="A80" s="5" t="n">
        <f aca="false">ITEM_MASTER_CLEAN!A80</f>
        <v>79</v>
      </c>
      <c r="B80" s="5" t="n">
        <f aca="false">ITEM_MASTER_CLEAN!B80</f>
        <v>61558</v>
      </c>
      <c r="C80" s="5" t="str">
        <f aca="false">ITEM_MASTER_CLEAN!C80</f>
        <v>STRAW 8.5" BBL/TEA 12MM WH/PAP 2M</v>
      </c>
      <c r="D80" s="12" t="n">
        <f aca="false">ITEM_MASTER_CLEAN!F80</f>
        <v>19.18</v>
      </c>
      <c r="E80" s="5" t="n">
        <f aca="false">ITEM_MASTER_CLEAN!H80</f>
        <v>38</v>
      </c>
      <c r="F80" s="5" t="n">
        <f aca="false">ITEM_MASTER_CLEAN!I80</f>
        <v>27</v>
      </c>
      <c r="G80" s="5" t="n">
        <f aca="false">PAR_LEVELS!J80</f>
        <v>16.7142857142857</v>
      </c>
      <c r="H80" s="5" t="n">
        <f aca="false">PAR_LEVELS!K80</f>
        <v>11.1428571428571</v>
      </c>
      <c r="I80" s="5" t="n">
        <f aca="false">MAX(E80-G80,0)</f>
        <v>21.2857142857143</v>
      </c>
      <c r="J80" s="5" t="n">
        <f aca="false">MAX(F80-H80,0)</f>
        <v>15.8571428571429</v>
      </c>
      <c r="K80" s="5" t="n">
        <f aca="false">MAX(G80-E80,0)</f>
        <v>0</v>
      </c>
      <c r="L80" s="5" t="n">
        <f aca="false">MAX(H80-F80,0)</f>
        <v>0</v>
      </c>
      <c r="M80" s="5" t="str">
        <f aca="false">IF(AND(I80&gt;TransferMin,L80&gt;0),"OAK→HP",IF(AND(J80&gt;TransferMin,K80&gt;0),"HP→OAK","None"))</f>
        <v>None</v>
      </c>
      <c r="N80" s="5" t="n">
        <f aca="false">IF(M80="OAK→HP",MIN(I80,L80),IF(M80="HP→OAK",MIN(J80,K80),0))</f>
        <v>0</v>
      </c>
      <c r="O80" s="5" t="n">
        <f aca="false">MAX(K80-IF(M80="HP→OAK",N80,0),0)</f>
        <v>0</v>
      </c>
      <c r="P80" s="5" t="n">
        <f aca="false">MAX(L80-IF(M80="OAK→HP",N80,0),0)</f>
        <v>0</v>
      </c>
      <c r="Q80" s="5" t="n">
        <f aca="false">IF(O80&gt;0,CEILING(O80,ITEM_MASTER_CLEAN!G80),0)</f>
        <v>0</v>
      </c>
      <c r="R80" s="5" t="n">
        <f aca="false">IF(P80&gt;0,CEILING(P80,ITEM_MASTER_CLEAN!G80),0)</f>
        <v>0</v>
      </c>
      <c r="S80" s="5" t="n">
        <f aca="false">IF(G80=0,0,(1-MIN(E80/MAX(G80,1),1))*50+(1-MIN(F80/MAX(H80,1),1))*50)</f>
        <v>0</v>
      </c>
    </row>
    <row r="81" customFormat="false" ht="15" hidden="false" customHeight="false" outlineLevel="0" collapsed="false">
      <c r="A81" s="5" t="n">
        <f aca="false">ITEM_MASTER_CLEAN!A81</f>
        <v>80</v>
      </c>
      <c r="B81" s="5" t="n">
        <f aca="false">ITEM_MASTER_CLEAN!B81</f>
        <v>23511</v>
      </c>
      <c r="C81" s="5" t="str">
        <f aca="false">ITEM_MASTER_CLEAN!C81</f>
        <v>Nouv CRM GLC BISC MONSTRE 11.4L</v>
      </c>
      <c r="D81" s="12" t="n">
        <f aca="false">ITEM_MASTER_CLEAN!F81</f>
        <v>36.97</v>
      </c>
      <c r="E81" s="5" t="n">
        <f aca="false">ITEM_MASTER_CLEAN!H81</f>
        <v>3</v>
      </c>
      <c r="F81" s="5" t="n">
        <f aca="false">ITEM_MASTER_CLEAN!I81</f>
        <v>2</v>
      </c>
      <c r="G81" s="5" t="n">
        <f aca="false">PAR_LEVELS!J81</f>
        <v>11.1428571428571</v>
      </c>
      <c r="H81" s="5" t="n">
        <f aca="false">PAR_LEVELS!K81</f>
        <v>7.42857142857143</v>
      </c>
      <c r="I81" s="5" t="n">
        <f aca="false">MAX(E81-G81,0)</f>
        <v>0</v>
      </c>
      <c r="J81" s="5" t="n">
        <f aca="false">MAX(F81-H81,0)</f>
        <v>0</v>
      </c>
      <c r="K81" s="5" t="n">
        <f aca="false">MAX(G81-E81,0)</f>
        <v>8.14285714285714</v>
      </c>
      <c r="L81" s="5" t="n">
        <f aca="false">MAX(H81-F81,0)</f>
        <v>5.42857142857143</v>
      </c>
      <c r="M81" s="5" t="str">
        <f aca="false">IF(AND(I81&gt;TransferMin,L81&gt;0),"OAK→HP",IF(AND(J81&gt;TransferMin,K81&gt;0),"HP→OAK","None"))</f>
        <v>None</v>
      </c>
      <c r="N81" s="5" t="n">
        <f aca="false">IF(M81="OAK→HP",MIN(I81,L81),IF(M81="HP→OAK",MIN(J81,K81),0))</f>
        <v>0</v>
      </c>
      <c r="O81" s="5" t="n">
        <f aca="false">MAX(K81-IF(M81="HP→OAK",N81,0),0)</f>
        <v>8.14285714285714</v>
      </c>
      <c r="P81" s="5" t="n">
        <f aca="false">MAX(L81-IF(M81="OAK→HP",N81,0),0)</f>
        <v>5.42857142857143</v>
      </c>
      <c r="Q81" s="5" t="n">
        <f aca="false">IF(O81&gt;0,CEILING(O81,ITEM_MASTER_CLEAN!G81),0)</f>
        <v>9</v>
      </c>
      <c r="R81" s="5" t="n">
        <f aca="false">IF(P81&gt;0,CEILING(P81,ITEM_MASTER_CLEAN!G81),0)</f>
        <v>6</v>
      </c>
      <c r="S81" s="5" t="n">
        <f aca="false">IF(G81=0,0,(1-MIN(E81/MAX(G81,1),1))*50+(1-MIN(F81/MAX(H81,1),1))*50)</f>
        <v>73.0769230769231</v>
      </c>
    </row>
    <row r="82" customFormat="false" ht="15" hidden="false" customHeight="false" outlineLevel="0" collapsed="false">
      <c r="A82" s="5" t="n">
        <f aca="false">ITEM_MASTER_CLEAN!A82</f>
        <v>81</v>
      </c>
      <c r="B82" s="5" t="n">
        <f aca="false">ITEM_MASTER_CLEAN!B82</f>
        <v>15422</v>
      </c>
      <c r="C82" s="5" t="str">
        <f aca="false">ITEM_MASTER_CLEAN!C82</f>
        <v>ICE CREAM CHOCOLATE 11.4L</v>
      </c>
      <c r="D82" s="12" t="n">
        <f aca="false">ITEM_MASTER_CLEAN!F82</f>
        <v>34.08</v>
      </c>
      <c r="E82" s="5" t="n">
        <f aca="false">ITEM_MASTER_CLEAN!H82</f>
        <v>6</v>
      </c>
      <c r="F82" s="5" t="n">
        <f aca="false">ITEM_MASTER_CLEAN!I82</f>
        <v>4</v>
      </c>
      <c r="G82" s="5" t="n">
        <f aca="false">PAR_LEVELS!J82</f>
        <v>7.42857142857143</v>
      </c>
      <c r="H82" s="5" t="n">
        <f aca="false">PAR_LEVELS!K82</f>
        <v>5.57142857142857</v>
      </c>
      <c r="I82" s="5" t="n">
        <f aca="false">MAX(E82-G82,0)</f>
        <v>0</v>
      </c>
      <c r="J82" s="5" t="n">
        <f aca="false">MAX(F82-H82,0)</f>
        <v>0</v>
      </c>
      <c r="K82" s="5" t="n">
        <f aca="false">MAX(G82-E82,0)</f>
        <v>1.42857142857143</v>
      </c>
      <c r="L82" s="5" t="n">
        <f aca="false">MAX(H82-F82,0)</f>
        <v>1.57142857142857</v>
      </c>
      <c r="M82" s="5" t="str">
        <f aca="false">IF(AND(I82&gt;TransferMin,L82&gt;0),"OAK→HP",IF(AND(J82&gt;TransferMin,K82&gt;0),"HP→OAK","None"))</f>
        <v>None</v>
      </c>
      <c r="N82" s="5" t="n">
        <f aca="false">IF(M82="OAK→HP",MIN(I82,L82),IF(M82="HP→OAK",MIN(J82,K82),0))</f>
        <v>0</v>
      </c>
      <c r="O82" s="5" t="n">
        <f aca="false">MAX(K82-IF(M82="HP→OAK",N82,0),0)</f>
        <v>1.42857142857143</v>
      </c>
      <c r="P82" s="5" t="n">
        <f aca="false">MAX(L82-IF(M82="OAK→HP",N82,0),0)</f>
        <v>1.57142857142857</v>
      </c>
      <c r="Q82" s="5" t="n">
        <f aca="false">IF(O82&gt;0,CEILING(O82,ITEM_MASTER_CLEAN!G82),0)</f>
        <v>2</v>
      </c>
      <c r="R82" s="5" t="n">
        <f aca="false">IF(P82&gt;0,CEILING(P82,ITEM_MASTER_CLEAN!G82),0)</f>
        <v>2</v>
      </c>
      <c r="S82" s="5" t="n">
        <f aca="false">IF(G82=0,0,(1-MIN(E82/MAX(G82,1),1))*50+(1-MIN(F82/MAX(H82,1),1))*50)</f>
        <v>23.7179487179487</v>
      </c>
    </row>
    <row r="83" customFormat="false" ht="15" hidden="false" customHeight="false" outlineLevel="0" collapsed="false">
      <c r="A83" s="5" t="n">
        <f aca="false">ITEM_MASTER_CLEAN!A83</f>
        <v>82</v>
      </c>
      <c r="B83" s="5" t="n">
        <f aca="false">ITEM_MASTER_CLEAN!B83</f>
        <v>36840</v>
      </c>
      <c r="C83" s="5" t="str">
        <f aca="false">ITEM_MASTER_CLEAN!C83</f>
        <v>ICE CREAM COTTON CANDY 11449 11.4L</v>
      </c>
      <c r="D83" s="12" t="n">
        <f aca="false">ITEM_MASTER_CLEAN!F83</f>
        <v>36.7</v>
      </c>
      <c r="E83" s="5" t="n">
        <f aca="false">ITEM_MASTER_CLEAN!H83</f>
        <v>5</v>
      </c>
      <c r="F83" s="5" t="n">
        <f aca="false">ITEM_MASTER_CLEAN!I83</f>
        <v>0</v>
      </c>
      <c r="G83" s="5" t="n">
        <f aca="false">PAR_LEVELS!J83</f>
        <v>3.71428571428571</v>
      </c>
      <c r="H83" s="5" t="n">
        <f aca="false">PAR_LEVELS!K83</f>
        <v>3.71428571428571</v>
      </c>
      <c r="I83" s="5" t="n">
        <f aca="false">MAX(E83-G83,0)</f>
        <v>1.28571428571429</v>
      </c>
      <c r="J83" s="5" t="n">
        <f aca="false">MAX(F83-H83,0)</f>
        <v>0</v>
      </c>
      <c r="K83" s="5" t="n">
        <f aca="false">MAX(G83-E83,0)</f>
        <v>0</v>
      </c>
      <c r="L83" s="5" t="n">
        <f aca="false">MAX(H83-F83,0)</f>
        <v>3.71428571428571</v>
      </c>
      <c r="M83" s="5" t="str">
        <f aca="false">IF(AND(I83&gt;TransferMin,L83&gt;0),"OAK→HP",IF(AND(J83&gt;TransferMin,K83&gt;0),"HP→OAK","None"))</f>
        <v>None</v>
      </c>
      <c r="N83" s="5" t="n">
        <f aca="false">IF(M83="OAK→HP",MIN(I83,L83),IF(M83="HP→OAK",MIN(J83,K83),0))</f>
        <v>0</v>
      </c>
      <c r="O83" s="5" t="n">
        <f aca="false">MAX(K83-IF(M83="HP→OAK",N83,0),0)</f>
        <v>0</v>
      </c>
      <c r="P83" s="5" t="n">
        <f aca="false">MAX(L83-IF(M83="OAK→HP",N83,0),0)</f>
        <v>3.71428571428571</v>
      </c>
      <c r="Q83" s="5" t="n">
        <f aca="false">IF(O83&gt;0,CEILING(O83,ITEM_MASTER_CLEAN!G83),0)</f>
        <v>0</v>
      </c>
      <c r="R83" s="5" t="n">
        <f aca="false">IF(P83&gt;0,CEILING(P83,ITEM_MASTER_CLEAN!G83),0)</f>
        <v>4</v>
      </c>
      <c r="S83" s="5" t="n">
        <f aca="false">IF(G83=0,0,(1-MIN(E83/MAX(G83,1),1))*50+(1-MIN(F83/MAX(H83,1),1))*50)</f>
        <v>50</v>
      </c>
    </row>
    <row r="84" customFormat="false" ht="15" hidden="false" customHeight="false" outlineLevel="0" collapsed="false">
      <c r="A84" s="5" t="n">
        <f aca="false">ITEM_MASTER_CLEAN!A84</f>
        <v>83</v>
      </c>
      <c r="B84" s="5" t="n">
        <f aca="false">ITEM_MASTER_CLEAN!B84</f>
        <v>36827</v>
      </c>
      <c r="C84" s="5" t="str">
        <f aca="false">ITEM_MASTER_CLEAN!C84</f>
        <v>ICE CREAM COOKIE/CRM 11438 11.4L</v>
      </c>
      <c r="D84" s="12" t="n">
        <f aca="false">ITEM_MASTER_CLEAN!F84</f>
        <v>39.91</v>
      </c>
      <c r="E84" s="5" t="n">
        <f aca="false">ITEM_MASTER_CLEAN!H84</f>
        <v>3</v>
      </c>
      <c r="F84" s="5" t="n">
        <f aca="false">ITEM_MASTER_CLEAN!I84</f>
        <v>1</v>
      </c>
      <c r="G84" s="5" t="n">
        <f aca="false">PAR_LEVELS!J84</f>
        <v>11.1428571428571</v>
      </c>
      <c r="H84" s="5" t="n">
        <f aca="false">PAR_LEVELS!K84</f>
        <v>3.71428571428571</v>
      </c>
      <c r="I84" s="5" t="n">
        <f aca="false">MAX(E84-G84,0)</f>
        <v>0</v>
      </c>
      <c r="J84" s="5" t="n">
        <f aca="false">MAX(F84-H84,0)</f>
        <v>0</v>
      </c>
      <c r="K84" s="5" t="n">
        <f aca="false">MAX(G84-E84,0)</f>
        <v>8.14285714285714</v>
      </c>
      <c r="L84" s="5" t="n">
        <f aca="false">MAX(H84-F84,0)</f>
        <v>2.71428571428571</v>
      </c>
      <c r="M84" s="5" t="str">
        <f aca="false">IF(AND(I84&gt;TransferMin,L84&gt;0),"OAK→HP",IF(AND(J84&gt;TransferMin,K84&gt;0),"HP→OAK","None"))</f>
        <v>None</v>
      </c>
      <c r="N84" s="5" t="n">
        <f aca="false">IF(M84="OAK→HP",MIN(I84,L84),IF(M84="HP→OAK",MIN(J84,K84),0))</f>
        <v>0</v>
      </c>
      <c r="O84" s="5" t="n">
        <f aca="false">MAX(K84-IF(M84="HP→OAK",N84,0),0)</f>
        <v>8.14285714285714</v>
      </c>
      <c r="P84" s="5" t="n">
        <f aca="false">MAX(L84-IF(M84="OAK→HP",N84,0),0)</f>
        <v>2.71428571428571</v>
      </c>
      <c r="Q84" s="5" t="n">
        <f aca="false">IF(O84&gt;0,CEILING(O84,ITEM_MASTER_CLEAN!G84),0)</f>
        <v>9</v>
      </c>
      <c r="R84" s="5" t="n">
        <f aca="false">IF(P84&gt;0,CEILING(P84,ITEM_MASTER_CLEAN!G84),0)</f>
        <v>3</v>
      </c>
      <c r="S84" s="5" t="n">
        <f aca="false">IF(G84=0,0,(1-MIN(E84/MAX(G84,1),1))*50+(1-MIN(F84/MAX(H84,1),1))*50)</f>
        <v>73.0769230769231</v>
      </c>
    </row>
    <row r="85" customFormat="false" ht="15" hidden="false" customHeight="false" outlineLevel="0" collapsed="false">
      <c r="A85" s="5" t="n">
        <f aca="false">ITEM_MASTER_CLEAN!A85</f>
        <v>84</v>
      </c>
      <c r="B85" s="5" t="n">
        <f aca="false">ITEM_MASTER_CLEAN!B85</f>
        <v>36830</v>
      </c>
      <c r="C85" s="5" t="str">
        <f aca="false">ITEM_MASTER_CLEAN!C85</f>
        <v>ICE CREAM CHOC BROWNIE 11446 11.4L</v>
      </c>
      <c r="D85" s="12" t="n">
        <f aca="false">ITEM_MASTER_CLEAN!F85</f>
        <v>32.71</v>
      </c>
      <c r="E85" s="5" t="n">
        <f aca="false">ITEM_MASTER_CLEAN!H85</f>
        <v>13</v>
      </c>
      <c r="F85" s="5" t="n">
        <f aca="false">ITEM_MASTER_CLEAN!I85</f>
        <v>14</v>
      </c>
      <c r="G85" s="5" t="n">
        <f aca="false">PAR_LEVELS!J85</f>
        <v>5.57142857142857</v>
      </c>
      <c r="H85" s="5" t="n">
        <f aca="false">PAR_LEVELS!K85</f>
        <v>5.57142857142857</v>
      </c>
      <c r="I85" s="5" t="n">
        <f aca="false">MAX(E85-G85,0)</f>
        <v>7.42857142857143</v>
      </c>
      <c r="J85" s="5" t="n">
        <f aca="false">MAX(F85-H85,0)</f>
        <v>8.42857142857143</v>
      </c>
      <c r="K85" s="5" t="n">
        <f aca="false">MAX(G85-E85,0)</f>
        <v>0</v>
      </c>
      <c r="L85" s="5" t="n">
        <f aca="false">MAX(H85-F85,0)</f>
        <v>0</v>
      </c>
      <c r="M85" s="5" t="str">
        <f aca="false">IF(AND(I85&gt;TransferMin,L85&gt;0),"OAK→HP",IF(AND(J85&gt;TransferMin,K85&gt;0),"HP→OAK","None"))</f>
        <v>None</v>
      </c>
      <c r="N85" s="5" t="n">
        <f aca="false">IF(M85="OAK→HP",MIN(I85,L85),IF(M85="HP→OAK",MIN(J85,K85),0))</f>
        <v>0</v>
      </c>
      <c r="O85" s="5" t="n">
        <f aca="false">MAX(K85-IF(M85="HP→OAK",N85,0),0)</f>
        <v>0</v>
      </c>
      <c r="P85" s="5" t="n">
        <f aca="false">MAX(L85-IF(M85="OAK→HP",N85,0),0)</f>
        <v>0</v>
      </c>
      <c r="Q85" s="5" t="n">
        <f aca="false">IF(O85&gt;0,CEILING(O85,ITEM_MASTER_CLEAN!G85),0)</f>
        <v>0</v>
      </c>
      <c r="R85" s="5" t="n">
        <f aca="false">IF(P85&gt;0,CEILING(P85,ITEM_MASTER_CLEAN!G85),0)</f>
        <v>0</v>
      </c>
      <c r="S85" s="5" t="n">
        <f aca="false">IF(G85=0,0,(1-MIN(E85/MAX(G85,1),1))*50+(1-MIN(F85/MAX(H85,1),1))*50)</f>
        <v>0</v>
      </c>
    </row>
    <row r="86" customFormat="false" ht="15" hidden="false" customHeight="false" outlineLevel="0" collapsed="false">
      <c r="A86" s="5" t="n">
        <f aca="false">ITEM_MASTER_CLEAN!A86</f>
        <v>85</v>
      </c>
      <c r="B86" s="5" t="n">
        <f aca="false">ITEM_MASTER_CLEAN!B86</f>
        <v>36828</v>
      </c>
      <c r="C86" s="5" t="str">
        <f aca="false">ITEM_MASTER_CLEAN!C86</f>
        <v>ICE CREAM PRALN/CRM 11440 11.4L</v>
      </c>
      <c r="D86" s="12" t="n">
        <f aca="false">ITEM_MASTER_CLEAN!F86</f>
        <v>35.04</v>
      </c>
      <c r="E86" s="5" t="n">
        <f aca="false">ITEM_MASTER_CLEAN!H86</f>
        <v>16</v>
      </c>
      <c r="F86" s="5" t="n">
        <f aca="false">ITEM_MASTER_CLEAN!I86</f>
        <v>0</v>
      </c>
      <c r="G86" s="5" t="n">
        <f aca="false">PAR_LEVELS!J86</f>
        <v>9.28571428571429</v>
      </c>
      <c r="H86" s="5" t="n">
        <f aca="false">PAR_LEVELS!K86</f>
        <v>5.57142857142857</v>
      </c>
      <c r="I86" s="5" t="n">
        <f aca="false">MAX(E86-G86,0)</f>
        <v>6.71428571428571</v>
      </c>
      <c r="J86" s="5" t="n">
        <f aca="false">MAX(F86-H86,0)</f>
        <v>0</v>
      </c>
      <c r="K86" s="5" t="n">
        <f aca="false">MAX(G86-E86,0)</f>
        <v>0</v>
      </c>
      <c r="L86" s="5" t="n">
        <f aca="false">MAX(H86-F86,0)</f>
        <v>5.57142857142857</v>
      </c>
      <c r="M86" s="5" t="str">
        <f aca="false">IF(AND(I86&gt;TransferMin,L86&gt;0),"OAK→HP",IF(AND(J86&gt;TransferMin,K86&gt;0),"HP→OAK","None"))</f>
        <v>OAK→HP</v>
      </c>
      <c r="N86" s="5" t="n">
        <f aca="false">IF(M86="OAK→HP",MIN(I86,L86),IF(M86="HP→OAK",MIN(J86,K86),0))</f>
        <v>5.57142857142857</v>
      </c>
      <c r="O86" s="5" t="n">
        <f aca="false">MAX(K86-IF(M86="HP→OAK",N86,0),0)</f>
        <v>0</v>
      </c>
      <c r="P86" s="5" t="n">
        <f aca="false">MAX(L86-IF(M86="OAK→HP",N86,0),0)</f>
        <v>0</v>
      </c>
      <c r="Q86" s="5" t="n">
        <f aca="false">IF(O86&gt;0,CEILING(O86,ITEM_MASTER_CLEAN!G86),0)</f>
        <v>0</v>
      </c>
      <c r="R86" s="5" t="n">
        <f aca="false">IF(P86&gt;0,CEILING(P86,ITEM_MASTER_CLEAN!G86),0)</f>
        <v>0</v>
      </c>
      <c r="S86" s="5" t="n">
        <f aca="false">IF(G86=0,0,(1-MIN(E86/MAX(G86,1),1))*50+(1-MIN(F86/MAX(H86,1),1))*50)</f>
        <v>50</v>
      </c>
    </row>
    <row r="87" customFormat="false" ht="15" hidden="false" customHeight="false" outlineLevel="0" collapsed="false">
      <c r="A87" s="5" t="n">
        <f aca="false">ITEM_MASTER_CLEAN!A87</f>
        <v>86</v>
      </c>
      <c r="B87" s="5" t="n">
        <f aca="false">ITEM_MASTER_CLEAN!B87</f>
        <v>36837</v>
      </c>
      <c r="C87" s="5" t="str">
        <f aca="false">ITEM_MASTER_CLEAN!C87</f>
        <v>ICE CREAM RIBAMBL 3-COL 11429 11.4L</v>
      </c>
      <c r="D87" s="12" t="n">
        <f aca="false">ITEM_MASTER_CLEAN!F87</f>
        <v>34.5</v>
      </c>
      <c r="E87" s="5" t="n">
        <f aca="false">ITEM_MASTER_CLEAN!H87</f>
        <v>3</v>
      </c>
      <c r="F87" s="5" t="n">
        <f aca="false">ITEM_MASTER_CLEAN!I87</f>
        <v>2</v>
      </c>
      <c r="G87" s="5" t="n">
        <f aca="false">PAR_LEVELS!J87</f>
        <v>3.71428571428571</v>
      </c>
      <c r="H87" s="5" t="n">
        <f aca="false">PAR_LEVELS!K87</f>
        <v>3.71428571428571</v>
      </c>
      <c r="I87" s="5" t="n">
        <f aca="false">MAX(E87-G87,0)</f>
        <v>0</v>
      </c>
      <c r="J87" s="5" t="n">
        <f aca="false">MAX(F87-H87,0)</f>
        <v>0</v>
      </c>
      <c r="K87" s="5" t="n">
        <f aca="false">MAX(G87-E87,0)</f>
        <v>0.714285714285714</v>
      </c>
      <c r="L87" s="5" t="n">
        <f aca="false">MAX(H87-F87,0)</f>
        <v>1.71428571428571</v>
      </c>
      <c r="M87" s="5" t="str">
        <f aca="false">IF(AND(I87&gt;TransferMin,L87&gt;0),"OAK→HP",IF(AND(J87&gt;TransferMin,K87&gt;0),"HP→OAK","None"))</f>
        <v>None</v>
      </c>
      <c r="N87" s="5" t="n">
        <f aca="false">IF(M87="OAK→HP",MIN(I87,L87),IF(M87="HP→OAK",MIN(J87,K87),0))</f>
        <v>0</v>
      </c>
      <c r="O87" s="5" t="n">
        <f aca="false">MAX(K87-IF(M87="HP→OAK",N87,0),0)</f>
        <v>0.714285714285714</v>
      </c>
      <c r="P87" s="5" t="n">
        <f aca="false">MAX(L87-IF(M87="OAK→HP",N87,0),0)</f>
        <v>1.71428571428571</v>
      </c>
      <c r="Q87" s="5" t="n">
        <f aca="false">IF(O87&gt;0,CEILING(O87,ITEM_MASTER_CLEAN!G87),0)</f>
        <v>1</v>
      </c>
      <c r="R87" s="5" t="n">
        <f aca="false">IF(P87&gt;0,CEILING(P87,ITEM_MASTER_CLEAN!G87),0)</f>
        <v>2</v>
      </c>
      <c r="S87" s="5" t="n">
        <f aca="false">IF(G87=0,0,(1-MIN(E87/MAX(G87,1),1))*50+(1-MIN(F87/MAX(H87,1),1))*50)</f>
        <v>32.6923076923077</v>
      </c>
    </row>
    <row r="88" customFormat="false" ht="15" hidden="false" customHeight="false" outlineLevel="0" collapsed="false">
      <c r="A88" s="5" t="n">
        <f aca="false">ITEM_MASTER_CLEAN!A88</f>
        <v>87</v>
      </c>
      <c r="B88" s="5" t="n">
        <f aca="false">ITEM_MASTER_CLEAN!B88</f>
        <v>36835</v>
      </c>
      <c r="C88" s="5" t="str">
        <f aca="false">ITEM_MASTER_CLEAN!C88</f>
        <v>ICE CREAM MAPLE TAFFY 11426 11.4L</v>
      </c>
      <c r="D88" s="12" t="n">
        <f aca="false">ITEM_MASTER_CLEAN!F88</f>
        <v>38.72</v>
      </c>
      <c r="E88" s="5" t="n">
        <f aca="false">ITEM_MASTER_CLEAN!H88</f>
        <v>0</v>
      </c>
      <c r="F88" s="5" t="n">
        <f aca="false">ITEM_MASTER_CLEAN!I88</f>
        <v>1</v>
      </c>
      <c r="G88" s="5" t="n">
        <f aca="false">PAR_LEVELS!J88</f>
        <v>7.42857142857143</v>
      </c>
      <c r="H88" s="5" t="n">
        <f aca="false">PAR_LEVELS!K88</f>
        <v>1.85714285714286</v>
      </c>
      <c r="I88" s="5" t="n">
        <f aca="false">MAX(E88-G88,0)</f>
        <v>0</v>
      </c>
      <c r="J88" s="5" t="n">
        <f aca="false">MAX(F88-H88,0)</f>
        <v>0</v>
      </c>
      <c r="K88" s="5" t="n">
        <f aca="false">MAX(G88-E88,0)</f>
        <v>7.42857142857143</v>
      </c>
      <c r="L88" s="5" t="n">
        <f aca="false">MAX(H88-F88,0)</f>
        <v>0.857142857142857</v>
      </c>
      <c r="M88" s="5" t="str">
        <f aca="false">IF(AND(I88&gt;TransferMin,L88&gt;0),"OAK→HP",IF(AND(J88&gt;TransferMin,K88&gt;0),"HP→OAK","None"))</f>
        <v>None</v>
      </c>
      <c r="N88" s="5" t="n">
        <f aca="false">IF(M88="OAK→HP",MIN(I88,L88),IF(M88="HP→OAK",MIN(J88,K88),0))</f>
        <v>0</v>
      </c>
      <c r="O88" s="5" t="n">
        <f aca="false">MAX(K88-IF(M88="HP→OAK",N88,0),0)</f>
        <v>7.42857142857143</v>
      </c>
      <c r="P88" s="5" t="n">
        <f aca="false">MAX(L88-IF(M88="OAK→HP",N88,0),0)</f>
        <v>0.857142857142857</v>
      </c>
      <c r="Q88" s="5" t="n">
        <f aca="false">IF(O88&gt;0,CEILING(O88,ITEM_MASTER_CLEAN!G88),0)</f>
        <v>8</v>
      </c>
      <c r="R88" s="5" t="n">
        <f aca="false">IF(P88&gt;0,CEILING(P88,ITEM_MASTER_CLEAN!G88),0)</f>
        <v>1</v>
      </c>
      <c r="S88" s="5" t="n">
        <f aca="false">IF(G88=0,0,(1-MIN(E88/MAX(G88,1),1))*50+(1-MIN(F88/MAX(H88,1),1))*50)</f>
        <v>73.0769230769231</v>
      </c>
    </row>
    <row r="89" customFormat="false" ht="15" hidden="false" customHeight="false" outlineLevel="0" collapsed="false">
      <c r="A89" s="5" t="n">
        <f aca="false">ITEM_MASTER_CLEAN!A89</f>
        <v>88</v>
      </c>
      <c r="B89" s="5" t="n">
        <f aca="false">ITEM_MASTER_CLEAN!B89</f>
        <v>36831</v>
      </c>
      <c r="C89" s="5" t="str">
        <f aca="false">ITEM_MASTER_CLEAN!C89</f>
        <v>ICE CREAM VANILLA 11401 11.4L</v>
      </c>
      <c r="D89" s="12" t="n">
        <f aca="false">ITEM_MASTER_CLEAN!F89</f>
        <v>33.56</v>
      </c>
      <c r="E89" s="5" t="n">
        <f aca="false">ITEM_MASTER_CLEAN!H89</f>
        <v>22</v>
      </c>
      <c r="F89" s="5" t="n">
        <f aca="false">ITEM_MASTER_CLEAN!I89</f>
        <v>1</v>
      </c>
      <c r="G89" s="5" t="n">
        <f aca="false">PAR_LEVELS!J89</f>
        <v>14.8571428571429</v>
      </c>
      <c r="H89" s="5" t="n">
        <f aca="false">PAR_LEVELS!K89</f>
        <v>7.42857142857143</v>
      </c>
      <c r="I89" s="5" t="n">
        <f aca="false">MAX(E89-G89,0)</f>
        <v>7.14285714285714</v>
      </c>
      <c r="J89" s="5" t="n">
        <f aca="false">MAX(F89-H89,0)</f>
        <v>0</v>
      </c>
      <c r="K89" s="5" t="n">
        <f aca="false">MAX(G89-E89,0)</f>
        <v>0</v>
      </c>
      <c r="L89" s="5" t="n">
        <f aca="false">MAX(H89-F89,0)</f>
        <v>6.42857142857143</v>
      </c>
      <c r="M89" s="5" t="str">
        <f aca="false">IF(AND(I89&gt;TransferMin,L89&gt;0),"OAK→HP",IF(AND(J89&gt;TransferMin,K89&gt;0),"HP→OAK","None"))</f>
        <v>OAK→HP</v>
      </c>
      <c r="N89" s="5" t="n">
        <f aca="false">IF(M89="OAK→HP",MIN(I89,L89),IF(M89="HP→OAK",MIN(J89,K89),0))</f>
        <v>6.42857142857143</v>
      </c>
      <c r="O89" s="5" t="n">
        <f aca="false">MAX(K89-IF(M89="HP→OAK",N89,0),0)</f>
        <v>0</v>
      </c>
      <c r="P89" s="5" t="n">
        <f aca="false">MAX(L89-IF(M89="OAK→HP",N89,0),0)</f>
        <v>0</v>
      </c>
      <c r="Q89" s="5" t="n">
        <f aca="false">IF(O89&gt;0,CEILING(O89,ITEM_MASTER_CLEAN!G89),0)</f>
        <v>0</v>
      </c>
      <c r="R89" s="5" t="n">
        <f aca="false">IF(P89&gt;0,CEILING(P89,ITEM_MASTER_CLEAN!G89),0)</f>
        <v>0</v>
      </c>
      <c r="S89" s="5" t="n">
        <f aca="false">IF(G89=0,0,(1-MIN(E89/MAX(G89,1),1))*50+(1-MIN(F89/MAX(H89,1),1))*50)</f>
        <v>43.2692307692308</v>
      </c>
    </row>
    <row r="90" customFormat="false" ht="15" hidden="false" customHeight="false" outlineLevel="0" collapsed="false">
      <c r="A90" s="5" t="n">
        <f aca="false">ITEM_MASTER_CLEAN!A90</f>
        <v>89</v>
      </c>
      <c r="B90" s="5" t="n">
        <f aca="false">ITEM_MASTER_CLEAN!B90</f>
        <v>15425</v>
      </c>
      <c r="C90" s="5" t="str">
        <f aca="false">ITEM_MASTER_CLEAN!C90</f>
        <v>ICE CRM COOKIE DGH/CHOC FUDGE 11.4L</v>
      </c>
      <c r="D90" s="12" t="n">
        <f aca="false">ITEM_MASTER_CLEAN!F90</f>
        <v>36.95</v>
      </c>
      <c r="E90" s="5" t="n">
        <f aca="false">ITEM_MASTER_CLEAN!H90</f>
        <v>1</v>
      </c>
      <c r="F90" s="5" t="n">
        <f aca="false">ITEM_MASTER_CLEAN!I90</f>
        <v>0</v>
      </c>
      <c r="G90" s="5" t="n">
        <f aca="false">PAR_LEVELS!J90</f>
        <v>9.28571428571429</v>
      </c>
      <c r="H90" s="5" t="n">
        <f aca="false">PAR_LEVELS!K90</f>
        <v>1.85714285714286</v>
      </c>
      <c r="I90" s="5" t="n">
        <f aca="false">MAX(E90-G90,0)</f>
        <v>0</v>
      </c>
      <c r="J90" s="5" t="n">
        <f aca="false">MAX(F90-H90,0)</f>
        <v>0</v>
      </c>
      <c r="K90" s="5" t="n">
        <f aca="false">MAX(G90-E90,0)</f>
        <v>8.28571428571429</v>
      </c>
      <c r="L90" s="5" t="n">
        <f aca="false">MAX(H90-F90,0)</f>
        <v>1.85714285714286</v>
      </c>
      <c r="M90" s="5" t="str">
        <f aca="false">IF(AND(I90&gt;TransferMin,L90&gt;0),"OAK→HP",IF(AND(J90&gt;TransferMin,K90&gt;0),"HP→OAK","None"))</f>
        <v>None</v>
      </c>
      <c r="N90" s="5" t="n">
        <f aca="false">IF(M90="OAK→HP",MIN(I90,L90),IF(M90="HP→OAK",MIN(J90,K90),0))</f>
        <v>0</v>
      </c>
      <c r="O90" s="5" t="n">
        <f aca="false">MAX(K90-IF(M90="HP→OAK",N90,0),0)</f>
        <v>8.28571428571429</v>
      </c>
      <c r="P90" s="5" t="n">
        <f aca="false">MAX(L90-IF(M90="OAK→HP",N90,0),0)</f>
        <v>1.85714285714286</v>
      </c>
      <c r="Q90" s="5" t="n">
        <f aca="false">IF(O90&gt;0,CEILING(O90,ITEM_MASTER_CLEAN!G90),0)</f>
        <v>9</v>
      </c>
      <c r="R90" s="5" t="n">
        <f aca="false">IF(P90&gt;0,CEILING(P90,ITEM_MASTER_CLEAN!G90),0)</f>
        <v>2</v>
      </c>
      <c r="S90" s="5" t="n">
        <f aca="false">IF(G90=0,0,(1-MIN(E90/MAX(G90,1),1))*50+(1-MIN(F90/MAX(H90,1),1))*50)</f>
        <v>94.6153846153846</v>
      </c>
    </row>
    <row r="91" customFormat="false" ht="15" hidden="false" customHeight="false" outlineLevel="0" collapsed="false">
      <c r="A91" s="5" t="n">
        <f aca="false">ITEM_MASTER_CLEAN!A91</f>
        <v>90</v>
      </c>
      <c r="B91" s="5" t="n">
        <f aca="false">ITEM_MASTER_CLEAN!B91</f>
        <v>15424</v>
      </c>
      <c r="C91" s="5" t="str">
        <f aca="false">ITEM_MASTER_CLEAN!C91</f>
        <v>ICE CREAM MINT CHOC CHIP  11.4L</v>
      </c>
      <c r="D91" s="12" t="n">
        <f aca="false">ITEM_MASTER_CLEAN!F91</f>
        <v>37.15</v>
      </c>
      <c r="E91" s="5" t="n">
        <f aca="false">ITEM_MASTER_CLEAN!H91</f>
        <v>0</v>
      </c>
      <c r="F91" s="5" t="n">
        <f aca="false">ITEM_MASTER_CLEAN!I91</f>
        <v>1</v>
      </c>
      <c r="G91" s="5" t="n">
        <f aca="false">PAR_LEVELS!J91</f>
        <v>3.71428571428571</v>
      </c>
      <c r="H91" s="5" t="n">
        <f aca="false">PAR_LEVELS!K91</f>
        <v>7.42857142857143</v>
      </c>
      <c r="I91" s="5" t="n">
        <f aca="false">MAX(E91-G91,0)</f>
        <v>0</v>
      </c>
      <c r="J91" s="5" t="n">
        <f aca="false">MAX(F91-H91,0)</f>
        <v>0</v>
      </c>
      <c r="K91" s="5" t="n">
        <f aca="false">MAX(G91-E91,0)</f>
        <v>3.71428571428571</v>
      </c>
      <c r="L91" s="5" t="n">
        <f aca="false">MAX(H91-F91,0)</f>
        <v>6.42857142857143</v>
      </c>
      <c r="M91" s="5" t="str">
        <f aca="false">IF(AND(I91&gt;TransferMin,L91&gt;0),"OAK→HP",IF(AND(J91&gt;TransferMin,K91&gt;0),"HP→OAK","None"))</f>
        <v>None</v>
      </c>
      <c r="N91" s="5" t="n">
        <f aca="false">IF(M91="OAK→HP",MIN(I91,L91),IF(M91="HP→OAK",MIN(J91,K91),0))</f>
        <v>0</v>
      </c>
      <c r="O91" s="5" t="n">
        <f aca="false">MAX(K91-IF(M91="HP→OAK",N91,0),0)</f>
        <v>3.71428571428571</v>
      </c>
      <c r="P91" s="5" t="n">
        <f aca="false">MAX(L91-IF(M91="OAK→HP",N91,0),0)</f>
        <v>6.42857142857143</v>
      </c>
      <c r="Q91" s="5" t="n">
        <f aca="false">IF(O91&gt;0,CEILING(O91,ITEM_MASTER_CLEAN!G91),0)</f>
        <v>4</v>
      </c>
      <c r="R91" s="5" t="n">
        <f aca="false">IF(P91&gt;0,CEILING(P91,ITEM_MASTER_CLEAN!G91),0)</f>
        <v>7</v>
      </c>
      <c r="S91" s="5" t="n">
        <f aca="false">IF(G91=0,0,(1-MIN(E91/MAX(G91,1),1))*50+(1-MIN(F91/MAX(H91,1),1))*50)</f>
        <v>93.2692307692308</v>
      </c>
    </row>
    <row r="92" customFormat="false" ht="15" hidden="false" customHeight="false" outlineLevel="0" collapsed="false">
      <c r="A92" s="5" t="n">
        <f aca="false">ITEM_MASTER_CLEAN!A92</f>
        <v>91</v>
      </c>
      <c r="B92" s="5" t="n">
        <f aca="false">ITEM_MASTER_CLEAN!B92</f>
        <v>36884</v>
      </c>
      <c r="C92" s="5" t="str">
        <f aca="false">ITEM_MASTER_CLEAN!C92</f>
        <v>ICE CRM CHOC/CHERRY/AMARETTO 11.4L</v>
      </c>
      <c r="D92" s="12" t="n">
        <f aca="false">ITEM_MASTER_CLEAN!F92</f>
        <v>39.6</v>
      </c>
      <c r="E92" s="5" t="n">
        <f aca="false">ITEM_MASTER_CLEAN!H92</f>
        <v>1</v>
      </c>
      <c r="F92" s="5" t="n">
        <f aca="false">ITEM_MASTER_CLEAN!I92</f>
        <v>11</v>
      </c>
      <c r="G92" s="5" t="n">
        <f aca="false">PAR_LEVELS!J92</f>
        <v>5.57142857142857</v>
      </c>
      <c r="H92" s="5" t="n">
        <f aca="false">PAR_LEVELS!K92</f>
        <v>5.57142857142857</v>
      </c>
      <c r="I92" s="5" t="n">
        <f aca="false">MAX(E92-G92,0)</f>
        <v>0</v>
      </c>
      <c r="J92" s="5" t="n">
        <f aca="false">MAX(F92-H92,0)</f>
        <v>5.42857142857143</v>
      </c>
      <c r="K92" s="5" t="n">
        <f aca="false">MAX(G92-E92,0)</f>
        <v>4.57142857142857</v>
      </c>
      <c r="L92" s="5" t="n">
        <f aca="false">MAX(H92-F92,0)</f>
        <v>0</v>
      </c>
      <c r="M92" s="5" t="str">
        <f aca="false">IF(AND(I92&gt;TransferMin,L92&gt;0),"OAK→HP",IF(AND(J92&gt;TransferMin,K92&gt;0),"HP→OAK","None"))</f>
        <v>HP→OAK</v>
      </c>
      <c r="N92" s="5" t="n">
        <f aca="false">IF(M92="OAK→HP",MIN(I92,L92),IF(M92="HP→OAK",MIN(J92,K92),0))</f>
        <v>4.57142857142857</v>
      </c>
      <c r="O92" s="5" t="n">
        <f aca="false">MAX(K92-IF(M92="HP→OAK",N92,0),0)</f>
        <v>0</v>
      </c>
      <c r="P92" s="5" t="n">
        <f aca="false">MAX(L92-IF(M92="OAK→HP",N92,0),0)</f>
        <v>0</v>
      </c>
      <c r="Q92" s="5" t="n">
        <f aca="false">IF(O92&gt;0,CEILING(O92,ITEM_MASTER_CLEAN!G92),0)</f>
        <v>0</v>
      </c>
      <c r="R92" s="5" t="n">
        <f aca="false">IF(P92&gt;0,CEILING(P92,ITEM_MASTER_CLEAN!G92),0)</f>
        <v>0</v>
      </c>
      <c r="S92" s="5" t="n">
        <f aca="false">IF(G92=0,0,(1-MIN(E92/MAX(G92,1),1))*50+(1-MIN(F92/MAX(H92,1),1))*50)</f>
        <v>41.025641025641</v>
      </c>
    </row>
    <row r="93" customFormat="false" ht="15" hidden="false" customHeight="false" outlineLevel="0" collapsed="false">
      <c r="A93" s="5" t="n">
        <f aca="false">ITEM_MASTER_CLEAN!A93</f>
        <v>92</v>
      </c>
      <c r="B93" s="5" t="n">
        <f aca="false">ITEM_MASTER_CLEAN!B93</f>
        <v>15426</v>
      </c>
      <c r="C93" s="5" t="str">
        <f aca="false">ITEM_MASTER_CLEAN!C93</f>
        <v>ICE CRM DBL STRAWBERRY 11407 11.4L</v>
      </c>
      <c r="D93" s="12" t="n">
        <f aca="false">ITEM_MASTER_CLEAN!F93</f>
        <v>19.58</v>
      </c>
      <c r="E93" s="5" t="n">
        <f aca="false">ITEM_MASTER_CLEAN!H93</f>
        <v>19</v>
      </c>
      <c r="F93" s="5" t="n">
        <f aca="false">ITEM_MASTER_CLEAN!I93</f>
        <v>4</v>
      </c>
      <c r="G93" s="5" t="n">
        <f aca="false">PAR_LEVELS!J93</f>
        <v>11.1428571428571</v>
      </c>
      <c r="H93" s="5" t="n">
        <f aca="false">PAR_LEVELS!K93</f>
        <v>1.85714285714286</v>
      </c>
      <c r="I93" s="5" t="n">
        <f aca="false">MAX(E93-G93,0)</f>
        <v>7.85714285714286</v>
      </c>
      <c r="J93" s="5" t="n">
        <f aca="false">MAX(F93-H93,0)</f>
        <v>2.14285714285714</v>
      </c>
      <c r="K93" s="5" t="n">
        <f aca="false">MAX(G93-E93,0)</f>
        <v>0</v>
      </c>
      <c r="L93" s="5" t="n">
        <f aca="false">MAX(H93-F93,0)</f>
        <v>0</v>
      </c>
      <c r="M93" s="5" t="str">
        <f aca="false">IF(AND(I93&gt;TransferMin,L93&gt;0),"OAK→HP",IF(AND(J93&gt;TransferMin,K93&gt;0),"HP→OAK","None"))</f>
        <v>None</v>
      </c>
      <c r="N93" s="5" t="n">
        <f aca="false">IF(M93="OAK→HP",MIN(I93,L93),IF(M93="HP→OAK",MIN(J93,K93),0))</f>
        <v>0</v>
      </c>
      <c r="O93" s="5" t="n">
        <f aca="false">MAX(K93-IF(M93="HP→OAK",N93,0),0)</f>
        <v>0</v>
      </c>
      <c r="P93" s="5" t="n">
        <f aca="false">MAX(L93-IF(M93="OAK→HP",N93,0),0)</f>
        <v>0</v>
      </c>
      <c r="Q93" s="5" t="n">
        <f aca="false">IF(O93&gt;0,CEILING(O93,ITEM_MASTER_CLEAN!G93),0)</f>
        <v>0</v>
      </c>
      <c r="R93" s="5" t="n">
        <f aca="false">IF(P93&gt;0,CEILING(P93,ITEM_MASTER_CLEAN!G93),0)</f>
        <v>0</v>
      </c>
      <c r="S93" s="5" t="n">
        <f aca="false">IF(G93=0,0,(1-MIN(E93/MAX(G93,1),1))*50+(1-MIN(F93/MAX(H93,1),1))*50)</f>
        <v>0</v>
      </c>
    </row>
    <row r="94" customFormat="false" ht="15" hidden="false" customHeight="false" outlineLevel="0" collapsed="false">
      <c r="A94" s="5" t="n">
        <f aca="false">ITEM_MASTER_CLEAN!A94</f>
        <v>93</v>
      </c>
      <c r="B94" s="5" t="n">
        <f aca="false">ITEM_MASTER_CLEAN!B94</f>
        <v>36846</v>
      </c>
      <c r="C94" s="5" t="str">
        <f aca="false">ITEM_MASTER_CLEAN!C94</f>
        <v>ICE CRM SALTED CARAMEL 11445 11.4L</v>
      </c>
      <c r="D94" s="12" t="n">
        <f aca="false">ITEM_MASTER_CLEAN!F94</f>
        <v>33.17</v>
      </c>
      <c r="E94" s="5" t="n">
        <f aca="false">ITEM_MASTER_CLEAN!H94</f>
        <v>3</v>
      </c>
      <c r="F94" s="5" t="n">
        <f aca="false">ITEM_MASTER_CLEAN!I94</f>
        <v>5</v>
      </c>
      <c r="G94" s="5" t="n">
        <f aca="false">PAR_LEVELS!J94</f>
        <v>5.57142857142857</v>
      </c>
      <c r="H94" s="5" t="n">
        <f aca="false">PAR_LEVELS!K94</f>
        <v>7.42857142857143</v>
      </c>
      <c r="I94" s="5" t="n">
        <f aca="false">MAX(E94-G94,0)</f>
        <v>0</v>
      </c>
      <c r="J94" s="5" t="n">
        <f aca="false">MAX(F94-H94,0)</f>
        <v>0</v>
      </c>
      <c r="K94" s="5" t="n">
        <f aca="false">MAX(G94-E94,0)</f>
        <v>2.57142857142857</v>
      </c>
      <c r="L94" s="5" t="n">
        <f aca="false">MAX(H94-F94,0)</f>
        <v>2.42857142857143</v>
      </c>
      <c r="M94" s="5" t="str">
        <f aca="false">IF(AND(I94&gt;TransferMin,L94&gt;0),"OAK→HP",IF(AND(J94&gt;TransferMin,K94&gt;0),"HP→OAK","None"))</f>
        <v>None</v>
      </c>
      <c r="N94" s="5" t="n">
        <f aca="false">IF(M94="OAK→HP",MIN(I94,L94),IF(M94="HP→OAK",MIN(J94,K94),0))</f>
        <v>0</v>
      </c>
      <c r="O94" s="5" t="n">
        <f aca="false">MAX(K94-IF(M94="HP→OAK",N94,0),0)</f>
        <v>2.57142857142857</v>
      </c>
      <c r="P94" s="5" t="n">
        <f aca="false">MAX(L94-IF(M94="OAK→HP",N94,0),0)</f>
        <v>2.42857142857143</v>
      </c>
      <c r="Q94" s="5" t="n">
        <f aca="false">IF(O94&gt;0,CEILING(O94,ITEM_MASTER_CLEAN!G94),0)</f>
        <v>3</v>
      </c>
      <c r="R94" s="5" t="n">
        <f aca="false">IF(P94&gt;0,CEILING(P94,ITEM_MASTER_CLEAN!G94),0)</f>
        <v>3</v>
      </c>
      <c r="S94" s="5" t="n">
        <f aca="false">IF(G94=0,0,(1-MIN(E94/MAX(G94,1),1))*50+(1-MIN(F94/MAX(H94,1),1))*50)</f>
        <v>39.4230769230769</v>
      </c>
    </row>
    <row r="95" customFormat="false" ht="15" hidden="false" customHeight="false" outlineLevel="0" collapsed="false">
      <c r="A95" s="5" t="n">
        <f aca="false">ITEM_MASTER_CLEAN!A95</f>
        <v>94</v>
      </c>
      <c r="B95" s="5" t="n">
        <f aca="false">ITEM_MASTER_CLEAN!B95</f>
        <v>15423</v>
      </c>
      <c r="C95" s="5" t="str">
        <f aca="false">ITEM_MASTER_CLEAN!C95</f>
        <v>ICE CREAM PISTACHIO 11416 11.4L</v>
      </c>
      <c r="D95" s="12" t="n">
        <f aca="false">ITEM_MASTER_CLEAN!F95</f>
        <v>36.72</v>
      </c>
      <c r="E95" s="5" t="n">
        <f aca="false">ITEM_MASTER_CLEAN!H95</f>
        <v>3</v>
      </c>
      <c r="F95" s="5" t="n">
        <f aca="false">ITEM_MASTER_CLEAN!I95</f>
        <v>1</v>
      </c>
      <c r="G95" s="5" t="n">
        <f aca="false">PAR_LEVELS!J95</f>
        <v>9.28571428571429</v>
      </c>
      <c r="H95" s="5" t="n">
        <f aca="false">PAR_LEVELS!K95</f>
        <v>3.71428571428571</v>
      </c>
      <c r="I95" s="5" t="n">
        <f aca="false">MAX(E95-G95,0)</f>
        <v>0</v>
      </c>
      <c r="J95" s="5" t="n">
        <f aca="false">MAX(F95-H95,0)</f>
        <v>0</v>
      </c>
      <c r="K95" s="5" t="n">
        <f aca="false">MAX(G95-E95,0)</f>
        <v>6.28571428571429</v>
      </c>
      <c r="L95" s="5" t="n">
        <f aca="false">MAX(H95-F95,0)</f>
        <v>2.71428571428571</v>
      </c>
      <c r="M95" s="5" t="str">
        <f aca="false">IF(AND(I95&gt;TransferMin,L95&gt;0),"OAK→HP",IF(AND(J95&gt;TransferMin,K95&gt;0),"HP→OAK","None"))</f>
        <v>None</v>
      </c>
      <c r="N95" s="5" t="n">
        <f aca="false">IF(M95="OAK→HP",MIN(I95,L95),IF(M95="HP→OAK",MIN(J95,K95),0))</f>
        <v>0</v>
      </c>
      <c r="O95" s="5" t="n">
        <f aca="false">MAX(K95-IF(M95="HP→OAK",N95,0),0)</f>
        <v>6.28571428571429</v>
      </c>
      <c r="P95" s="5" t="n">
        <f aca="false">MAX(L95-IF(M95="OAK→HP",N95,0),0)</f>
        <v>2.71428571428571</v>
      </c>
      <c r="Q95" s="5" t="n">
        <f aca="false">IF(O95&gt;0,CEILING(O95,ITEM_MASTER_CLEAN!G95),0)</f>
        <v>7</v>
      </c>
      <c r="R95" s="5" t="n">
        <f aca="false">IF(P95&gt;0,CEILING(P95,ITEM_MASTER_CLEAN!G95),0)</f>
        <v>3</v>
      </c>
      <c r="S95" s="5" t="n">
        <f aca="false">IF(G95=0,0,(1-MIN(E95/MAX(G95,1),1))*50+(1-MIN(F95/MAX(H95,1),1))*50)</f>
        <v>70.3846153846154</v>
      </c>
    </row>
    <row r="96" customFormat="false" ht="15" hidden="false" customHeight="false" outlineLevel="0" collapsed="false">
      <c r="A96" s="5" t="n">
        <f aca="false">ITEM_MASTER_CLEAN!A96</f>
        <v>95</v>
      </c>
      <c r="B96" s="5" t="n">
        <f aca="false">ITEM_MASTER_CLEAN!B96</f>
        <v>36824</v>
      </c>
      <c r="C96" s="5" t="str">
        <f aca="false">ITEM_MASTER_CLEAN!C96</f>
        <v>LC ICE CRM PCN/CARAM/FDG11435 11.4L</v>
      </c>
      <c r="D96" s="12" t="n">
        <f aca="false">ITEM_MASTER_CLEAN!F96</f>
        <v>34.76</v>
      </c>
      <c r="E96" s="5" t="n">
        <f aca="false">ITEM_MASTER_CLEAN!H96</f>
        <v>6</v>
      </c>
      <c r="F96" s="5" t="n">
        <f aca="false">ITEM_MASTER_CLEAN!I96</f>
        <v>4</v>
      </c>
      <c r="G96" s="5" t="n">
        <f aca="false">PAR_LEVELS!J96</f>
        <v>9.28571428571429</v>
      </c>
      <c r="H96" s="5" t="n">
        <f aca="false">PAR_LEVELS!K96</f>
        <v>5.57142857142857</v>
      </c>
      <c r="I96" s="5" t="n">
        <f aca="false">MAX(E96-G96,0)</f>
        <v>0</v>
      </c>
      <c r="J96" s="5" t="n">
        <f aca="false">MAX(F96-H96,0)</f>
        <v>0</v>
      </c>
      <c r="K96" s="5" t="n">
        <f aca="false">MAX(G96-E96,0)</f>
        <v>3.28571428571429</v>
      </c>
      <c r="L96" s="5" t="n">
        <f aca="false">MAX(H96-F96,0)</f>
        <v>1.57142857142857</v>
      </c>
      <c r="M96" s="5" t="str">
        <f aca="false">IF(AND(I96&gt;TransferMin,L96&gt;0),"OAK→HP",IF(AND(J96&gt;TransferMin,K96&gt;0),"HP→OAK","None"))</f>
        <v>None</v>
      </c>
      <c r="N96" s="5" t="n">
        <f aca="false">IF(M96="OAK→HP",MIN(I96,L96),IF(M96="HP→OAK",MIN(J96,K96),0))</f>
        <v>0</v>
      </c>
      <c r="O96" s="5" t="n">
        <f aca="false">MAX(K96-IF(M96="HP→OAK",N96,0),0)</f>
        <v>3.28571428571429</v>
      </c>
      <c r="P96" s="5" t="n">
        <f aca="false">MAX(L96-IF(M96="OAK→HP",N96,0),0)</f>
        <v>1.57142857142857</v>
      </c>
      <c r="Q96" s="5" t="n">
        <f aca="false">IF(O96&gt;0,CEILING(O96,ITEM_MASTER_CLEAN!G96),0)</f>
        <v>4</v>
      </c>
      <c r="R96" s="5" t="n">
        <f aca="false">IF(P96&gt;0,CEILING(P96,ITEM_MASTER_CLEAN!G96),0)</f>
        <v>2</v>
      </c>
      <c r="S96" s="5" t="n">
        <f aca="false">IF(G96=0,0,(1-MIN(E96/MAX(G96,1),1))*50+(1-MIN(F96/MAX(H96,1),1))*50)</f>
        <v>31.7948717948718</v>
      </c>
    </row>
    <row r="97" customFormat="false" ht="15" hidden="false" customHeight="false" outlineLevel="0" collapsed="false">
      <c r="A97" s="5" t="n">
        <f aca="false">ITEM_MASTER_CLEAN!A97</f>
        <v>96</v>
      </c>
      <c r="B97" s="5" t="n">
        <f aca="false">ITEM_MASTER_CLEAN!B97</f>
        <v>36833</v>
      </c>
      <c r="C97" s="5" t="str">
        <f aca="false">ITEM_MASTER_CLEAN!C97</f>
        <v>ICE CREAM BUBBLE GUM 11413 11.4L</v>
      </c>
      <c r="D97" s="12" t="n">
        <f aca="false">ITEM_MASTER_CLEAN!F97</f>
        <v>37.87</v>
      </c>
      <c r="E97" s="5" t="n">
        <f aca="false">ITEM_MASTER_CLEAN!H97</f>
        <v>2</v>
      </c>
      <c r="F97" s="5" t="n">
        <f aca="false">ITEM_MASTER_CLEAN!I97</f>
        <v>0</v>
      </c>
      <c r="G97" s="5" t="n">
        <f aca="false">PAR_LEVELS!J97</f>
        <v>9.28571428571429</v>
      </c>
      <c r="H97" s="5" t="n">
        <f aca="false">PAR_LEVELS!K97</f>
        <v>3.71428571428571</v>
      </c>
      <c r="I97" s="5" t="n">
        <f aca="false">MAX(E97-G97,0)</f>
        <v>0</v>
      </c>
      <c r="J97" s="5" t="n">
        <f aca="false">MAX(F97-H97,0)</f>
        <v>0</v>
      </c>
      <c r="K97" s="5" t="n">
        <f aca="false">MAX(G97-E97,0)</f>
        <v>7.28571428571429</v>
      </c>
      <c r="L97" s="5" t="n">
        <f aca="false">MAX(H97-F97,0)</f>
        <v>3.71428571428571</v>
      </c>
      <c r="M97" s="5" t="str">
        <f aca="false">IF(AND(I97&gt;TransferMin,L97&gt;0),"OAK→HP",IF(AND(J97&gt;TransferMin,K97&gt;0),"HP→OAK","None"))</f>
        <v>None</v>
      </c>
      <c r="N97" s="5" t="n">
        <f aca="false">IF(M97="OAK→HP",MIN(I97,L97),IF(M97="HP→OAK",MIN(J97,K97),0))</f>
        <v>0</v>
      </c>
      <c r="O97" s="5" t="n">
        <f aca="false">MAX(K97-IF(M97="HP→OAK",N97,0),0)</f>
        <v>7.28571428571429</v>
      </c>
      <c r="P97" s="5" t="n">
        <f aca="false">MAX(L97-IF(M97="OAK→HP",N97,0),0)</f>
        <v>3.71428571428571</v>
      </c>
      <c r="Q97" s="5" t="n">
        <f aca="false">IF(O97&gt;0,CEILING(O97,ITEM_MASTER_CLEAN!G97),0)</f>
        <v>8</v>
      </c>
      <c r="R97" s="5" t="n">
        <f aca="false">IF(P97&gt;0,CEILING(P97,ITEM_MASTER_CLEAN!G97),0)</f>
        <v>4</v>
      </c>
      <c r="S97" s="5" t="n">
        <f aca="false">IF(G97=0,0,(1-MIN(E97/MAX(G97,1),1))*50+(1-MIN(F97/MAX(H97,1),1))*50)</f>
        <v>89.2307692307692</v>
      </c>
    </row>
    <row r="98" customFormat="false" ht="15" hidden="false" customHeight="false" outlineLevel="0" collapsed="false">
      <c r="A98" s="5" t="n">
        <f aca="false">ITEM_MASTER_CLEAN!A98</f>
        <v>97</v>
      </c>
      <c r="B98" s="5" t="n">
        <f aca="false">ITEM_MASTER_CLEAN!B98</f>
        <v>32183</v>
      </c>
      <c r="C98" s="5" t="str">
        <f aca="false">ITEM_MASTER_CLEAN!C98</f>
        <v>ICE CREAM MANGO 851 11.4L</v>
      </c>
      <c r="D98" s="12" t="n">
        <f aca="false">ITEM_MASTER_CLEAN!F98</f>
        <v>43.33</v>
      </c>
      <c r="E98" s="5" t="n">
        <f aca="false">ITEM_MASTER_CLEAN!H98</f>
        <v>10</v>
      </c>
      <c r="F98" s="5" t="n">
        <f aca="false">ITEM_MASTER_CLEAN!I98</f>
        <v>0</v>
      </c>
      <c r="G98" s="5" t="n">
        <f aca="false">PAR_LEVELS!J98</f>
        <v>5.57142857142857</v>
      </c>
      <c r="H98" s="5" t="n">
        <f aca="false">PAR_LEVELS!K98</f>
        <v>3.71428571428571</v>
      </c>
      <c r="I98" s="5" t="n">
        <f aca="false">MAX(E98-G98,0)</f>
        <v>4.42857142857143</v>
      </c>
      <c r="J98" s="5" t="n">
        <f aca="false">MAX(F98-H98,0)</f>
        <v>0</v>
      </c>
      <c r="K98" s="5" t="n">
        <f aca="false">MAX(G98-E98,0)</f>
        <v>0</v>
      </c>
      <c r="L98" s="5" t="n">
        <f aca="false">MAX(H98-F98,0)</f>
        <v>3.71428571428571</v>
      </c>
      <c r="M98" s="5" t="str">
        <f aca="false">IF(AND(I98&gt;TransferMin,L98&gt;0),"OAK→HP",IF(AND(J98&gt;TransferMin,K98&gt;0),"HP→OAK","None"))</f>
        <v>None</v>
      </c>
      <c r="N98" s="5" t="n">
        <f aca="false">IF(M98="OAK→HP",MIN(I98,L98),IF(M98="HP→OAK",MIN(J98,K98),0))</f>
        <v>0</v>
      </c>
      <c r="O98" s="5" t="n">
        <f aca="false">MAX(K98-IF(M98="HP→OAK",N98,0),0)</f>
        <v>0</v>
      </c>
      <c r="P98" s="5" t="n">
        <f aca="false">MAX(L98-IF(M98="OAK→HP",N98,0),0)</f>
        <v>3.71428571428571</v>
      </c>
      <c r="Q98" s="5" t="n">
        <f aca="false">IF(O98&gt;0,CEILING(O98,ITEM_MASTER_CLEAN!G98),0)</f>
        <v>0</v>
      </c>
      <c r="R98" s="5" t="n">
        <f aca="false">IF(P98&gt;0,CEILING(P98,ITEM_MASTER_CLEAN!G98),0)</f>
        <v>4</v>
      </c>
      <c r="S98" s="5" t="n">
        <f aca="false">IF(G98=0,0,(1-MIN(E98/MAX(G98,1),1))*50+(1-MIN(F98/MAX(H98,1),1))*50)</f>
        <v>50</v>
      </c>
    </row>
    <row r="99" customFormat="false" ht="15" hidden="false" customHeight="false" outlineLevel="0" collapsed="false">
      <c r="A99" s="5" t="n">
        <f aca="false">ITEM_MASTER_CLEAN!A99</f>
        <v>98</v>
      </c>
      <c r="B99" s="5" t="n">
        <f aca="false">ITEM_MASTER_CLEAN!B99</f>
        <v>15427</v>
      </c>
      <c r="C99" s="5" t="str">
        <f aca="false">ITEM_MASTER_CLEAN!C99</f>
        <v>ICE CREAM RHUM&amp;RAISIN 11.4L</v>
      </c>
      <c r="D99" s="12" t="n">
        <f aca="false">ITEM_MASTER_CLEAN!F99</f>
        <v>40.11</v>
      </c>
      <c r="E99" s="5" t="n">
        <f aca="false">ITEM_MASTER_CLEAN!H99</f>
        <v>1</v>
      </c>
      <c r="F99" s="5" t="n">
        <f aca="false">ITEM_MASTER_CLEAN!I99</f>
        <v>1</v>
      </c>
      <c r="G99" s="5" t="n">
        <f aca="false">PAR_LEVELS!J99</f>
        <v>9.28571428571429</v>
      </c>
      <c r="H99" s="5" t="n">
        <f aca="false">PAR_LEVELS!K99</f>
        <v>3.71428571428571</v>
      </c>
      <c r="I99" s="5" t="n">
        <f aca="false">MAX(E99-G99,0)</f>
        <v>0</v>
      </c>
      <c r="J99" s="5" t="n">
        <f aca="false">MAX(F99-H99,0)</f>
        <v>0</v>
      </c>
      <c r="K99" s="5" t="n">
        <f aca="false">MAX(G99-E99,0)</f>
        <v>8.28571428571429</v>
      </c>
      <c r="L99" s="5" t="n">
        <f aca="false">MAX(H99-F99,0)</f>
        <v>2.71428571428571</v>
      </c>
      <c r="M99" s="5" t="str">
        <f aca="false">IF(AND(I99&gt;TransferMin,L99&gt;0),"OAK→HP",IF(AND(J99&gt;TransferMin,K99&gt;0),"HP→OAK","None"))</f>
        <v>None</v>
      </c>
      <c r="N99" s="5" t="n">
        <f aca="false">IF(M99="OAK→HP",MIN(I99,L99),IF(M99="HP→OAK",MIN(J99,K99),0))</f>
        <v>0</v>
      </c>
      <c r="O99" s="5" t="n">
        <f aca="false">MAX(K99-IF(M99="HP→OAK",N99,0),0)</f>
        <v>8.28571428571429</v>
      </c>
      <c r="P99" s="5" t="n">
        <f aca="false">MAX(L99-IF(M99="OAK→HP",N99,0),0)</f>
        <v>2.71428571428571</v>
      </c>
      <c r="Q99" s="5" t="n">
        <f aca="false">IF(O99&gt;0,CEILING(O99,ITEM_MASTER_CLEAN!G99),0)</f>
        <v>9</v>
      </c>
      <c r="R99" s="5" t="n">
        <f aca="false">IF(P99&gt;0,CEILING(P99,ITEM_MASTER_CLEAN!G99),0)</f>
        <v>3</v>
      </c>
      <c r="S99" s="5" t="n">
        <f aca="false">IF(G99=0,0,(1-MIN(E99/MAX(G99,1),1))*50+(1-MIN(F99/MAX(H99,1),1))*50)</f>
        <v>81.1538461538462</v>
      </c>
    </row>
    <row r="100" customFormat="false" ht="15" hidden="false" customHeight="false" outlineLevel="0" collapsed="false">
      <c r="A100" s="5" t="n">
        <f aca="false">ITEM_MASTER_CLEAN!A100</f>
        <v>99</v>
      </c>
      <c r="B100" s="5" t="n">
        <f aca="false">ITEM_MASTER_CLEAN!B100</f>
        <v>15429</v>
      </c>
      <c r="C100" s="5" t="str">
        <f aca="false">ITEM_MASTER_CLEAN!C100</f>
        <v>ICE CREAM CHERRY CHEESECAKE 11.4L</v>
      </c>
      <c r="D100" s="12" t="n">
        <f aca="false">ITEM_MASTER_CLEAN!F100</f>
        <v>40.74</v>
      </c>
      <c r="E100" s="5" t="n">
        <f aca="false">ITEM_MASTER_CLEAN!H100</f>
        <v>2</v>
      </c>
      <c r="F100" s="5" t="n">
        <f aca="false">ITEM_MASTER_CLEAN!I100</f>
        <v>0</v>
      </c>
      <c r="G100" s="5" t="n">
        <f aca="false">PAR_LEVELS!J100</f>
        <v>9.28571428571429</v>
      </c>
      <c r="H100" s="5" t="n">
        <f aca="false">PAR_LEVELS!K100</f>
        <v>1.85714285714286</v>
      </c>
      <c r="I100" s="5" t="n">
        <f aca="false">MAX(E100-G100,0)</f>
        <v>0</v>
      </c>
      <c r="J100" s="5" t="n">
        <f aca="false">MAX(F100-H100,0)</f>
        <v>0</v>
      </c>
      <c r="K100" s="5" t="n">
        <f aca="false">MAX(G100-E100,0)</f>
        <v>7.28571428571429</v>
      </c>
      <c r="L100" s="5" t="n">
        <f aca="false">MAX(H100-F100,0)</f>
        <v>1.85714285714286</v>
      </c>
      <c r="M100" s="5" t="str">
        <f aca="false">IF(AND(I100&gt;TransferMin,L100&gt;0),"OAK→HP",IF(AND(J100&gt;TransferMin,K100&gt;0),"HP→OAK","None"))</f>
        <v>None</v>
      </c>
      <c r="N100" s="5" t="n">
        <f aca="false">IF(M100="OAK→HP",MIN(I100,L100),IF(M100="HP→OAK",MIN(J100,K100),0))</f>
        <v>0</v>
      </c>
      <c r="O100" s="5" t="n">
        <f aca="false">MAX(K100-IF(M100="HP→OAK",N100,0),0)</f>
        <v>7.28571428571429</v>
      </c>
      <c r="P100" s="5" t="n">
        <f aca="false">MAX(L100-IF(M100="OAK→HP",N100,0),0)</f>
        <v>1.85714285714286</v>
      </c>
      <c r="Q100" s="5" t="n">
        <f aca="false">IF(O100&gt;0,CEILING(O100,ITEM_MASTER_CLEAN!G100),0)</f>
        <v>8</v>
      </c>
      <c r="R100" s="5" t="n">
        <f aca="false">IF(P100&gt;0,CEILING(P100,ITEM_MASTER_CLEAN!G100),0)</f>
        <v>2</v>
      </c>
      <c r="S100" s="5" t="n">
        <f aca="false">IF(G100=0,0,(1-MIN(E100/MAX(G100,1),1))*50+(1-MIN(F100/MAX(H100,1),1))*50)</f>
        <v>89.2307692307692</v>
      </c>
    </row>
    <row r="101" customFormat="false" ht="15" hidden="false" customHeight="false" outlineLevel="0" collapsed="false">
      <c r="A101" s="5" t="n">
        <f aca="false">ITEM_MASTER_CLEAN!A101</f>
        <v>100</v>
      </c>
      <c r="B101" s="5" t="n">
        <f aca="false">ITEM_MASTER_CLEAN!B101</f>
        <v>32180</v>
      </c>
      <c r="C101" s="5" t="str">
        <f aca="false">ITEM_MASTER_CLEAN!C101</f>
        <v>SORBET LEMON LIME 152 11.4L</v>
      </c>
      <c r="D101" s="12" t="n">
        <f aca="false">ITEM_MASTER_CLEAN!F101</f>
        <v>35.54</v>
      </c>
      <c r="E101" s="5" t="n">
        <f aca="false">ITEM_MASTER_CLEAN!H101</f>
        <v>9</v>
      </c>
      <c r="F101" s="5" t="n">
        <f aca="false">ITEM_MASTER_CLEAN!I101</f>
        <v>9</v>
      </c>
      <c r="G101" s="5" t="n">
        <f aca="false">PAR_LEVELS!J101</f>
        <v>3.71428571428571</v>
      </c>
      <c r="H101" s="5" t="n">
        <f aca="false">PAR_LEVELS!K101</f>
        <v>3.71428571428571</v>
      </c>
      <c r="I101" s="5" t="n">
        <f aca="false">MAX(E101-G101,0)</f>
        <v>5.28571428571429</v>
      </c>
      <c r="J101" s="5" t="n">
        <f aca="false">MAX(F101-H101,0)</f>
        <v>5.28571428571429</v>
      </c>
      <c r="K101" s="5" t="n">
        <f aca="false">MAX(G101-E101,0)</f>
        <v>0</v>
      </c>
      <c r="L101" s="5" t="n">
        <f aca="false">MAX(H101-F101,0)</f>
        <v>0</v>
      </c>
      <c r="M101" s="5" t="str">
        <f aca="false">IF(AND(I101&gt;TransferMin,L101&gt;0),"OAK→HP",IF(AND(J101&gt;TransferMin,K101&gt;0),"HP→OAK","None"))</f>
        <v>None</v>
      </c>
      <c r="N101" s="5" t="n">
        <f aca="false">IF(M101="OAK→HP",MIN(I101,L101),IF(M101="HP→OAK",MIN(J101,K101),0))</f>
        <v>0</v>
      </c>
      <c r="O101" s="5" t="n">
        <f aca="false">MAX(K101-IF(M101="HP→OAK",N101,0),0)</f>
        <v>0</v>
      </c>
      <c r="P101" s="5" t="n">
        <f aca="false">MAX(L101-IF(M101="OAK→HP",N101,0),0)</f>
        <v>0</v>
      </c>
      <c r="Q101" s="5" t="n">
        <f aca="false">IF(O101&gt;0,CEILING(O101,ITEM_MASTER_CLEAN!G101),0)</f>
        <v>0</v>
      </c>
      <c r="R101" s="5" t="n">
        <f aca="false">IF(P101&gt;0,CEILING(P101,ITEM_MASTER_CLEAN!G101),0)</f>
        <v>0</v>
      </c>
      <c r="S101" s="5" t="n">
        <f aca="false">IF(G101=0,0,(1-MIN(E101/MAX(G101,1),1))*50+(1-MIN(F101/MAX(H101,1),1))*50)</f>
        <v>0</v>
      </c>
    </row>
    <row r="102" customFormat="false" ht="15" hidden="false" customHeight="false" outlineLevel="0" collapsed="false">
      <c r="A102" s="5" t="n">
        <f aca="false">ITEM_MASTER_CLEAN!A102</f>
        <v>101</v>
      </c>
      <c r="B102" s="5" t="n">
        <f aca="false">ITEM_MASTER_CLEAN!B102</f>
        <v>32181</v>
      </c>
      <c r="C102" s="5" t="str">
        <f aca="false">ITEM_MASTER_CLEAN!C102</f>
        <v>SORBET STRAWBERRY 162 11.4L</v>
      </c>
      <c r="D102" s="12" t="n">
        <f aca="false">ITEM_MASTER_CLEAN!F102</f>
        <v>25.19</v>
      </c>
      <c r="E102" s="5" t="n">
        <f aca="false">ITEM_MASTER_CLEAN!H102</f>
        <v>1</v>
      </c>
      <c r="F102" s="5" t="n">
        <f aca="false">ITEM_MASTER_CLEAN!I102</f>
        <v>3</v>
      </c>
      <c r="G102" s="5" t="n">
        <f aca="false">PAR_LEVELS!J102</f>
        <v>5.57142857142857</v>
      </c>
      <c r="H102" s="5" t="n">
        <f aca="false">PAR_LEVELS!K102</f>
        <v>1.85714285714286</v>
      </c>
      <c r="I102" s="5" t="n">
        <f aca="false">MAX(E102-G102,0)</f>
        <v>0</v>
      </c>
      <c r="J102" s="5" t="n">
        <f aca="false">MAX(F102-H102,0)</f>
        <v>1.14285714285714</v>
      </c>
      <c r="K102" s="5" t="n">
        <f aca="false">MAX(G102-E102,0)</f>
        <v>4.57142857142857</v>
      </c>
      <c r="L102" s="5" t="n">
        <f aca="false">MAX(H102-F102,0)</f>
        <v>0</v>
      </c>
      <c r="M102" s="5" t="str">
        <f aca="false">IF(AND(I102&gt;TransferMin,L102&gt;0),"OAK→HP",IF(AND(J102&gt;TransferMin,K102&gt;0),"HP→OAK","None"))</f>
        <v>None</v>
      </c>
      <c r="N102" s="5" t="n">
        <f aca="false">IF(M102="OAK→HP",MIN(I102,L102),IF(M102="HP→OAK",MIN(J102,K102),0))</f>
        <v>0</v>
      </c>
      <c r="O102" s="5" t="n">
        <f aca="false">MAX(K102-IF(M102="HP→OAK",N102,0),0)</f>
        <v>4.57142857142857</v>
      </c>
      <c r="P102" s="5" t="n">
        <f aca="false">MAX(L102-IF(M102="OAK→HP",N102,0),0)</f>
        <v>0</v>
      </c>
      <c r="Q102" s="5" t="n">
        <f aca="false">IF(O102&gt;0,CEILING(O102,ITEM_MASTER_CLEAN!G102),0)</f>
        <v>5</v>
      </c>
      <c r="R102" s="5" t="n">
        <f aca="false">IF(P102&gt;0,CEILING(P102,ITEM_MASTER_CLEAN!G102),0)</f>
        <v>0</v>
      </c>
      <c r="S102" s="5" t="n">
        <f aca="false">IF(G102=0,0,(1-MIN(E102/MAX(G102,1),1))*50+(1-MIN(F102/MAX(H102,1),1))*50)</f>
        <v>41.025641025641</v>
      </c>
    </row>
    <row r="103" customFormat="false" ht="15" hidden="false" customHeight="false" outlineLevel="0" collapsed="false">
      <c r="A103" s="5" t="n">
        <f aca="false">ITEM_MASTER_CLEAN!A103</f>
        <v>102</v>
      </c>
      <c r="B103" s="5" t="n">
        <f aca="false">ITEM_MASTER_CLEAN!B103</f>
        <v>32182</v>
      </c>
      <c r="C103" s="5" t="str">
        <f aca="false">ITEM_MASTER_CLEAN!C103</f>
        <v>SHERBERT WATERMELON 860 11.4L</v>
      </c>
      <c r="D103" s="12" t="n">
        <f aca="false">ITEM_MASTER_CLEAN!F103</f>
        <v>41.04</v>
      </c>
      <c r="E103" s="5" t="n">
        <f aca="false">ITEM_MASTER_CLEAN!H103</f>
        <v>1</v>
      </c>
      <c r="F103" s="5" t="n">
        <f aca="false">ITEM_MASTER_CLEAN!I103</f>
        <v>2</v>
      </c>
      <c r="G103" s="5" t="n">
        <f aca="false">PAR_LEVELS!J103</f>
        <v>1.85714285714286</v>
      </c>
      <c r="H103" s="5" t="n">
        <f aca="false">PAR_LEVELS!K103</f>
        <v>3.71428571428571</v>
      </c>
      <c r="I103" s="5" t="n">
        <f aca="false">MAX(E103-G103,0)</f>
        <v>0</v>
      </c>
      <c r="J103" s="5" t="n">
        <f aca="false">MAX(F103-H103,0)</f>
        <v>0</v>
      </c>
      <c r="K103" s="5" t="n">
        <f aca="false">MAX(G103-E103,0)</f>
        <v>0.857142857142857</v>
      </c>
      <c r="L103" s="5" t="n">
        <f aca="false">MAX(H103-F103,0)</f>
        <v>1.71428571428571</v>
      </c>
      <c r="M103" s="5" t="str">
        <f aca="false">IF(AND(I103&gt;TransferMin,L103&gt;0),"OAK→HP",IF(AND(J103&gt;TransferMin,K103&gt;0),"HP→OAK","None"))</f>
        <v>None</v>
      </c>
      <c r="N103" s="5" t="n">
        <f aca="false">IF(M103="OAK→HP",MIN(I103,L103),IF(M103="HP→OAK",MIN(J103,K103),0))</f>
        <v>0</v>
      </c>
      <c r="O103" s="5" t="n">
        <f aca="false">MAX(K103-IF(M103="HP→OAK",N103,0),0)</f>
        <v>0.857142857142857</v>
      </c>
      <c r="P103" s="5" t="n">
        <f aca="false">MAX(L103-IF(M103="OAK→HP",N103,0),0)</f>
        <v>1.71428571428571</v>
      </c>
      <c r="Q103" s="5" t="n">
        <f aca="false">IF(O103&gt;0,CEILING(O103,ITEM_MASTER_CLEAN!G103),0)</f>
        <v>1</v>
      </c>
      <c r="R103" s="5" t="n">
        <f aca="false">IF(P103&gt;0,CEILING(P103,ITEM_MASTER_CLEAN!G103),0)</f>
        <v>2</v>
      </c>
      <c r="S103" s="5" t="n">
        <f aca="false">IF(G103=0,0,(1-MIN(E103/MAX(G103,1),1))*50+(1-MIN(F103/MAX(H103,1),1))*50)</f>
        <v>46.1538461538461</v>
      </c>
    </row>
    <row r="104" customFormat="false" ht="15" hidden="false" customHeight="false" outlineLevel="0" collapsed="false">
      <c r="A104" s="5" t="n">
        <f aca="false">ITEM_MASTER_CLEAN!A104</f>
        <v>103</v>
      </c>
      <c r="B104" s="5" t="n">
        <f aca="false">ITEM_MASTER_CLEAN!B104</f>
        <v>32184</v>
      </c>
      <c r="C104" s="5" t="str">
        <f aca="false">ITEM_MASTER_CLEAN!C104</f>
        <v>SORBET PEACH 11.4L</v>
      </c>
      <c r="D104" s="12" t="n">
        <f aca="false">ITEM_MASTER_CLEAN!F104</f>
        <v>35.46</v>
      </c>
      <c r="E104" s="5" t="n">
        <f aca="false">ITEM_MASTER_CLEAN!H104</f>
        <v>4</v>
      </c>
      <c r="F104" s="5" t="n">
        <f aca="false">ITEM_MASTER_CLEAN!I104</f>
        <v>1</v>
      </c>
      <c r="G104" s="5" t="n">
        <f aca="false">PAR_LEVELS!J104</f>
        <v>5.57142857142857</v>
      </c>
      <c r="H104" s="5" t="n">
        <f aca="false">PAR_LEVELS!K104</f>
        <v>1.85714285714286</v>
      </c>
      <c r="I104" s="5" t="n">
        <f aca="false">MAX(E104-G104,0)</f>
        <v>0</v>
      </c>
      <c r="J104" s="5" t="n">
        <f aca="false">MAX(F104-H104,0)</f>
        <v>0</v>
      </c>
      <c r="K104" s="5" t="n">
        <f aca="false">MAX(G104-E104,0)</f>
        <v>1.57142857142857</v>
      </c>
      <c r="L104" s="5" t="n">
        <f aca="false">MAX(H104-F104,0)</f>
        <v>0.857142857142857</v>
      </c>
      <c r="M104" s="5" t="str">
        <f aca="false">IF(AND(I104&gt;TransferMin,L104&gt;0),"OAK→HP",IF(AND(J104&gt;TransferMin,K104&gt;0),"HP→OAK","None"))</f>
        <v>None</v>
      </c>
      <c r="N104" s="5" t="n">
        <f aca="false">IF(M104="OAK→HP",MIN(I104,L104),IF(M104="HP→OAK",MIN(J104,K104),0))</f>
        <v>0</v>
      </c>
      <c r="O104" s="5" t="n">
        <f aca="false">MAX(K104-IF(M104="HP→OAK",N104,0),0)</f>
        <v>1.57142857142857</v>
      </c>
      <c r="P104" s="5" t="n">
        <f aca="false">MAX(L104-IF(M104="OAK→HP",N104,0),0)</f>
        <v>0.857142857142857</v>
      </c>
      <c r="Q104" s="5" t="n">
        <f aca="false">IF(O104&gt;0,CEILING(O104,ITEM_MASTER_CLEAN!G104),0)</f>
        <v>2</v>
      </c>
      <c r="R104" s="5" t="n">
        <f aca="false">IF(P104&gt;0,CEILING(P104,ITEM_MASTER_CLEAN!G104),0)</f>
        <v>1</v>
      </c>
      <c r="S104" s="5" t="n">
        <f aca="false">IF(G104=0,0,(1-MIN(E104/MAX(G104,1),1))*50+(1-MIN(F104/MAX(H104,1),1))*50)</f>
        <v>37.1794871794872</v>
      </c>
    </row>
    <row r="105" customFormat="false" ht="15" hidden="false" customHeight="false" outlineLevel="0" collapsed="false">
      <c r="A105" s="5" t="n">
        <f aca="false">ITEM_MASTER_CLEAN!A105</f>
        <v>104</v>
      </c>
      <c r="B105" s="5" t="n">
        <f aca="false">ITEM_MASTER_CLEAN!B105</f>
        <v>32185</v>
      </c>
      <c r="C105" s="5" t="str">
        <f aca="false">ITEM_MASTER_CLEAN!C105</f>
        <v>MONSTER COOKIE ICE CRM BAR 8X4UN</v>
      </c>
      <c r="D105" s="12" t="n">
        <f aca="false">ITEM_MASTER_CLEAN!F105</f>
        <v>53.26</v>
      </c>
      <c r="E105" s="5" t="n">
        <f aca="false">ITEM_MASTER_CLEAN!H105</f>
        <v>3</v>
      </c>
      <c r="F105" s="5" t="n">
        <f aca="false">ITEM_MASTER_CLEAN!I105</f>
        <v>0</v>
      </c>
      <c r="G105" s="5" t="n">
        <f aca="false">PAR_LEVELS!J105</f>
        <v>1.85714285714286</v>
      </c>
      <c r="H105" s="5" t="n">
        <f aca="false">PAR_LEVELS!K105</f>
        <v>5.57142857142857</v>
      </c>
      <c r="I105" s="5" t="n">
        <f aca="false">MAX(E105-G105,0)</f>
        <v>1.14285714285714</v>
      </c>
      <c r="J105" s="5" t="n">
        <f aca="false">MAX(F105-H105,0)</f>
        <v>0</v>
      </c>
      <c r="K105" s="5" t="n">
        <f aca="false">MAX(G105-E105,0)</f>
        <v>0</v>
      </c>
      <c r="L105" s="5" t="n">
        <f aca="false">MAX(H105-F105,0)</f>
        <v>5.57142857142857</v>
      </c>
      <c r="M105" s="5" t="str">
        <f aca="false">IF(AND(I105&gt;TransferMin,L105&gt;0),"OAK→HP",IF(AND(J105&gt;TransferMin,K105&gt;0),"HP→OAK","None"))</f>
        <v>None</v>
      </c>
      <c r="N105" s="5" t="n">
        <f aca="false">IF(M105="OAK→HP",MIN(I105,L105),IF(M105="HP→OAK",MIN(J105,K105),0))</f>
        <v>0</v>
      </c>
      <c r="O105" s="5" t="n">
        <f aca="false">MAX(K105-IF(M105="HP→OAK",N105,0),0)</f>
        <v>0</v>
      </c>
      <c r="P105" s="5" t="n">
        <f aca="false">MAX(L105-IF(M105="OAK→HP",N105,0),0)</f>
        <v>5.57142857142857</v>
      </c>
      <c r="Q105" s="5" t="n">
        <f aca="false">IF(O105&gt;0,CEILING(O105,ITEM_MASTER_CLEAN!G105),0)</f>
        <v>0</v>
      </c>
      <c r="R105" s="5" t="n">
        <f aca="false">IF(P105&gt;0,CEILING(P105,ITEM_MASTER_CLEAN!G105),0)</f>
        <v>8</v>
      </c>
      <c r="S105" s="5" t="n">
        <f aca="false">IF(G105=0,0,(1-MIN(E105/MAX(G105,1),1))*50+(1-MIN(F105/MAX(H105,1),1))*50)</f>
        <v>50</v>
      </c>
    </row>
    <row r="106" customFormat="false" ht="15" hidden="false" customHeight="false" outlineLevel="0" collapsed="false">
      <c r="A106" s="5" t="n">
        <f aca="false">ITEM_MASTER_CLEAN!A106</f>
        <v>105</v>
      </c>
      <c r="B106" s="5" t="n">
        <f aca="false">ITEM_MASTER_CLEAN!B106</f>
        <v>37191</v>
      </c>
      <c r="C106" s="5" t="str">
        <f aca="false">ITEM_MASTER_CLEAN!C106</f>
        <v>BAR VEGAN CHOC SV20214 24UN</v>
      </c>
      <c r="D106" s="12" t="n">
        <f aca="false">ITEM_MASTER_CLEAN!F106</f>
        <v>48.55</v>
      </c>
      <c r="E106" s="5" t="n">
        <f aca="false">ITEM_MASTER_CLEAN!H106</f>
        <v>0</v>
      </c>
      <c r="F106" s="5" t="n">
        <f aca="false">ITEM_MASTER_CLEAN!I106</f>
        <v>0</v>
      </c>
      <c r="G106" s="5" t="n">
        <f aca="false">PAR_LEVELS!J106</f>
        <v>1.85714285714286</v>
      </c>
      <c r="H106" s="5" t="n">
        <f aca="false">PAR_LEVELS!K106</f>
        <v>5.57142857142857</v>
      </c>
      <c r="I106" s="5" t="n">
        <f aca="false">MAX(E106-G106,0)</f>
        <v>0</v>
      </c>
      <c r="J106" s="5" t="n">
        <f aca="false">MAX(F106-H106,0)</f>
        <v>0</v>
      </c>
      <c r="K106" s="5" t="n">
        <f aca="false">MAX(G106-E106,0)</f>
        <v>1.85714285714286</v>
      </c>
      <c r="L106" s="5" t="n">
        <f aca="false">MAX(H106-F106,0)</f>
        <v>5.57142857142857</v>
      </c>
      <c r="M106" s="5" t="str">
        <f aca="false">IF(AND(I106&gt;TransferMin,L106&gt;0),"OAK→HP",IF(AND(J106&gt;TransferMin,K106&gt;0),"HP→OAK","None"))</f>
        <v>None</v>
      </c>
      <c r="N106" s="5" t="n">
        <f aca="false">IF(M106="OAK→HP",MIN(I106,L106),IF(M106="HP→OAK",MIN(J106,K106),0))</f>
        <v>0</v>
      </c>
      <c r="O106" s="5" t="n">
        <f aca="false">MAX(K106-IF(M106="HP→OAK",N106,0),0)</f>
        <v>1.85714285714286</v>
      </c>
      <c r="P106" s="5" t="n">
        <f aca="false">MAX(L106-IF(M106="OAK→HP",N106,0),0)</f>
        <v>5.57142857142857</v>
      </c>
      <c r="Q106" s="5" t="n">
        <f aca="false">IF(O106&gt;0,CEILING(O106,ITEM_MASTER_CLEAN!G106),0)</f>
        <v>24</v>
      </c>
      <c r="R106" s="5" t="n">
        <f aca="false">IF(P106&gt;0,CEILING(P106,ITEM_MASTER_CLEAN!G106),0)</f>
        <v>24</v>
      </c>
      <c r="S106" s="5" t="n">
        <f aca="false">IF(G106=0,0,(1-MIN(E106/MAX(G106,1),1))*50+(1-MIN(F106/MAX(H106,1),1))*50)</f>
        <v>100</v>
      </c>
    </row>
    <row r="107" customFormat="false" ht="15" hidden="false" customHeight="false" outlineLevel="0" collapsed="false">
      <c r="A107" s="5" t="n">
        <f aca="false">ITEM_MASTER_CLEAN!A107</f>
        <v>106</v>
      </c>
      <c r="B107" s="5" t="n">
        <f aca="false">ITEM_MASTER_CLEAN!B107</f>
        <v>37190</v>
      </c>
      <c r="C107" s="5" t="str">
        <f aca="false">ITEM_MASTER_CLEAN!C107</f>
        <v>BAR VEGAN VANIL SV20114 24UN</v>
      </c>
      <c r="D107" s="12" t="n">
        <f aca="false">ITEM_MASTER_CLEAN!F107</f>
        <v>40</v>
      </c>
      <c r="E107" s="5" t="n">
        <f aca="false">ITEM_MASTER_CLEAN!H107</f>
        <v>3</v>
      </c>
      <c r="F107" s="5" t="n">
        <f aca="false">ITEM_MASTER_CLEAN!I107</f>
        <v>1</v>
      </c>
      <c r="G107" s="5" t="n">
        <f aca="false">PAR_LEVELS!J107</f>
        <v>3.71428571428571</v>
      </c>
      <c r="H107" s="5" t="n">
        <f aca="false">PAR_LEVELS!K107</f>
        <v>5.57142857142857</v>
      </c>
      <c r="I107" s="5" t="n">
        <f aca="false">MAX(E107-G107,0)</f>
        <v>0</v>
      </c>
      <c r="J107" s="5" t="n">
        <f aca="false">MAX(F107-H107,0)</f>
        <v>0</v>
      </c>
      <c r="K107" s="5" t="n">
        <f aca="false">MAX(G107-E107,0)</f>
        <v>0.714285714285714</v>
      </c>
      <c r="L107" s="5" t="n">
        <f aca="false">MAX(H107-F107,0)</f>
        <v>4.57142857142857</v>
      </c>
      <c r="M107" s="5" t="str">
        <f aca="false">IF(AND(I107&gt;TransferMin,L107&gt;0),"OAK→HP",IF(AND(J107&gt;TransferMin,K107&gt;0),"HP→OAK","None"))</f>
        <v>None</v>
      </c>
      <c r="N107" s="5" t="n">
        <f aca="false">IF(M107="OAK→HP",MIN(I107,L107),IF(M107="HP→OAK",MIN(J107,K107),0))</f>
        <v>0</v>
      </c>
      <c r="O107" s="5" t="n">
        <f aca="false">MAX(K107-IF(M107="HP→OAK",N107,0),0)</f>
        <v>0.714285714285714</v>
      </c>
      <c r="P107" s="5" t="n">
        <f aca="false">MAX(L107-IF(M107="OAK→HP",N107,0),0)</f>
        <v>4.57142857142857</v>
      </c>
      <c r="Q107" s="5" t="n">
        <f aca="false">IF(O107&gt;0,CEILING(O107,ITEM_MASTER_CLEAN!G107),0)</f>
        <v>24</v>
      </c>
      <c r="R107" s="5" t="n">
        <f aca="false">IF(P107&gt;0,CEILING(P107,ITEM_MASTER_CLEAN!G107),0)</f>
        <v>24</v>
      </c>
      <c r="S107" s="5" t="n">
        <f aca="false">IF(G107=0,0,(1-MIN(E107/MAX(G107,1),1))*50+(1-MIN(F107/MAX(H107,1),1))*50)</f>
        <v>50.6410256410256</v>
      </c>
    </row>
    <row r="108" customFormat="false" ht="15" hidden="false" customHeight="false" outlineLevel="0" collapsed="false">
      <c r="A108" s="5" t="n">
        <f aca="false">ITEM_MASTER_CLEAN!A108</f>
        <v>107</v>
      </c>
      <c r="B108" s="5" t="n">
        <f aca="false">ITEM_MASTER_CLEAN!B108</f>
        <v>12586</v>
      </c>
      <c r="C108" s="5" t="str">
        <f aca="false">ITEM_MASTER_CLEAN!C108</f>
        <v>MTY DIP 56% CHOCOLATE 6X1K</v>
      </c>
      <c r="D108" s="12" t="n">
        <f aca="false">ITEM_MASTER_CLEAN!F108</f>
        <v>40.96</v>
      </c>
      <c r="E108" s="5" t="n">
        <f aca="false">ITEM_MASTER_CLEAN!H108</f>
        <v>1</v>
      </c>
      <c r="F108" s="5" t="n">
        <f aca="false">ITEM_MASTER_CLEAN!I108</f>
        <v>24</v>
      </c>
      <c r="G108" s="5" t="n">
        <f aca="false">PAR_LEVELS!J108</f>
        <v>11.1428571428571</v>
      </c>
      <c r="H108" s="5" t="n">
        <f aca="false">PAR_LEVELS!K108</f>
        <v>13</v>
      </c>
      <c r="I108" s="5" t="n">
        <f aca="false">MAX(E108-G108,0)</f>
        <v>0</v>
      </c>
      <c r="J108" s="5" t="n">
        <f aca="false">MAX(F108-H108,0)</f>
        <v>11</v>
      </c>
      <c r="K108" s="5" t="n">
        <f aca="false">MAX(G108-E108,0)</f>
        <v>10.1428571428571</v>
      </c>
      <c r="L108" s="5" t="n">
        <f aca="false">MAX(H108-F108,0)</f>
        <v>0</v>
      </c>
      <c r="M108" s="5" t="str">
        <f aca="false">IF(AND(I108&gt;TransferMin,L108&gt;0),"OAK→HP",IF(AND(J108&gt;TransferMin,K108&gt;0),"HP→OAK","None"))</f>
        <v>HP→OAK</v>
      </c>
      <c r="N108" s="5" t="n">
        <f aca="false">IF(M108="OAK→HP",MIN(I108,L108),IF(M108="HP→OAK",MIN(J108,K108),0))</f>
        <v>10.1428571428571</v>
      </c>
      <c r="O108" s="5" t="n">
        <f aca="false">MAX(K108-IF(M108="HP→OAK",N108,0),0)</f>
        <v>0</v>
      </c>
      <c r="P108" s="5" t="n">
        <f aca="false">MAX(L108-IF(M108="OAK→HP",N108,0),0)</f>
        <v>0</v>
      </c>
      <c r="Q108" s="5" t="n">
        <f aca="false">IF(O108&gt;0,CEILING(O108,ITEM_MASTER_CLEAN!G108),0)</f>
        <v>0</v>
      </c>
      <c r="R108" s="5" t="n">
        <f aca="false">IF(P108&gt;0,CEILING(P108,ITEM_MASTER_CLEAN!G108),0)</f>
        <v>0</v>
      </c>
      <c r="S108" s="5" t="n">
        <f aca="false">IF(G108=0,0,(1-MIN(E108/MAX(G108,1),1))*50+(1-MIN(F108/MAX(H108,1),1))*50)</f>
        <v>45.5128205128205</v>
      </c>
    </row>
    <row r="109" customFormat="false" ht="15" hidden="false" customHeight="false" outlineLevel="0" collapsed="false">
      <c r="A109" s="5" t="n">
        <f aca="false">ITEM_MASTER_CLEAN!A109</f>
        <v>108</v>
      </c>
      <c r="B109" s="5" t="n">
        <f aca="false">ITEM_MASTER_CLEAN!B109</f>
        <v>12597</v>
      </c>
      <c r="C109" s="5" t="str">
        <f aca="false">ITEM_MASTER_CLEAN!C109</f>
        <v>MTY DIP 70% DARK CHOC 6X1K</v>
      </c>
      <c r="D109" s="12" t="n">
        <f aca="false">ITEM_MASTER_CLEAN!F109</f>
        <v>47.04</v>
      </c>
      <c r="E109" s="5" t="n">
        <f aca="false">ITEM_MASTER_CLEAN!H109</f>
        <v>25</v>
      </c>
      <c r="F109" s="5" t="n">
        <f aca="false">ITEM_MASTER_CLEAN!I109</f>
        <v>13</v>
      </c>
      <c r="G109" s="5" t="n">
        <f aca="false">PAR_LEVELS!J109</f>
        <v>11.1428571428571</v>
      </c>
      <c r="H109" s="5" t="n">
        <f aca="false">PAR_LEVELS!K109</f>
        <v>5.57142857142857</v>
      </c>
      <c r="I109" s="5" t="n">
        <f aca="false">MAX(E109-G109,0)</f>
        <v>13.8571428571429</v>
      </c>
      <c r="J109" s="5" t="n">
        <f aca="false">MAX(F109-H109,0)</f>
        <v>7.42857142857143</v>
      </c>
      <c r="K109" s="5" t="n">
        <f aca="false">MAX(G109-E109,0)</f>
        <v>0</v>
      </c>
      <c r="L109" s="5" t="n">
        <f aca="false">MAX(H109-F109,0)</f>
        <v>0</v>
      </c>
      <c r="M109" s="5" t="str">
        <f aca="false">IF(AND(I109&gt;TransferMin,L109&gt;0),"OAK→HP",IF(AND(J109&gt;TransferMin,K109&gt;0),"HP→OAK","None"))</f>
        <v>None</v>
      </c>
      <c r="N109" s="5" t="n">
        <f aca="false">IF(M109="OAK→HP",MIN(I109,L109),IF(M109="HP→OAK",MIN(J109,K109),0))</f>
        <v>0</v>
      </c>
      <c r="O109" s="5" t="n">
        <f aca="false">MAX(K109-IF(M109="HP→OAK",N109,0),0)</f>
        <v>0</v>
      </c>
      <c r="P109" s="5" t="n">
        <f aca="false">MAX(L109-IF(M109="OAK→HP",N109,0),0)</f>
        <v>0</v>
      </c>
      <c r="Q109" s="5" t="n">
        <f aca="false">IF(O109&gt;0,CEILING(O109,ITEM_MASTER_CLEAN!G109),0)</f>
        <v>0</v>
      </c>
      <c r="R109" s="5" t="n">
        <f aca="false">IF(P109&gt;0,CEILING(P109,ITEM_MASTER_CLEAN!G109),0)</f>
        <v>0</v>
      </c>
      <c r="S109" s="5" t="n">
        <f aca="false">IF(G109=0,0,(1-MIN(E109/MAX(G109,1),1))*50+(1-MIN(F109/MAX(H109,1),1))*50)</f>
        <v>0</v>
      </c>
    </row>
    <row r="110" customFormat="false" ht="15" hidden="false" customHeight="false" outlineLevel="0" collapsed="false">
      <c r="A110" s="5" t="n">
        <f aca="false">ITEM_MASTER_CLEAN!A110</f>
        <v>109</v>
      </c>
      <c r="B110" s="5" t="n">
        <f aca="false">ITEM_MASTER_CLEAN!B110</f>
        <v>19646</v>
      </c>
      <c r="C110" s="5" t="str">
        <f aca="false">ITEM_MASTER_CLEAN!C110</f>
        <v>MTY DIP BANANA 6X1K</v>
      </c>
      <c r="D110" s="12" t="n">
        <f aca="false">ITEM_MASTER_CLEAN!F110</f>
        <v>46.38</v>
      </c>
      <c r="E110" s="5" t="n">
        <f aca="false">ITEM_MASTER_CLEAN!H110</f>
        <v>11</v>
      </c>
      <c r="F110" s="5" t="n">
        <f aca="false">ITEM_MASTER_CLEAN!I110</f>
        <v>2</v>
      </c>
      <c r="G110" s="5" t="n">
        <f aca="false">PAR_LEVELS!J110</f>
        <v>14.8571428571429</v>
      </c>
      <c r="H110" s="5" t="n">
        <f aca="false">PAR_LEVELS!K110</f>
        <v>3.71428571428571</v>
      </c>
      <c r="I110" s="5" t="n">
        <f aca="false">MAX(E110-G110,0)</f>
        <v>0</v>
      </c>
      <c r="J110" s="5" t="n">
        <f aca="false">MAX(F110-H110,0)</f>
        <v>0</v>
      </c>
      <c r="K110" s="5" t="n">
        <f aca="false">MAX(G110-E110,0)</f>
        <v>3.85714285714286</v>
      </c>
      <c r="L110" s="5" t="n">
        <f aca="false">MAX(H110-F110,0)</f>
        <v>1.71428571428571</v>
      </c>
      <c r="M110" s="5" t="str">
        <f aca="false">IF(AND(I110&gt;TransferMin,L110&gt;0),"OAK→HP",IF(AND(J110&gt;TransferMin,K110&gt;0),"HP→OAK","None"))</f>
        <v>None</v>
      </c>
      <c r="N110" s="5" t="n">
        <f aca="false">IF(M110="OAK→HP",MIN(I110,L110),IF(M110="HP→OAK",MIN(J110,K110),0))</f>
        <v>0</v>
      </c>
      <c r="O110" s="5" t="n">
        <f aca="false">MAX(K110-IF(M110="HP→OAK",N110,0),0)</f>
        <v>3.85714285714286</v>
      </c>
      <c r="P110" s="5" t="n">
        <f aca="false">MAX(L110-IF(M110="OAK→HP",N110,0),0)</f>
        <v>1.71428571428571</v>
      </c>
      <c r="Q110" s="5" t="n">
        <f aca="false">IF(O110&gt;0,CEILING(O110,ITEM_MASTER_CLEAN!G110),0)</f>
        <v>6</v>
      </c>
      <c r="R110" s="5" t="n">
        <f aca="false">IF(P110&gt;0,CEILING(P110,ITEM_MASTER_CLEAN!G110),0)</f>
        <v>6</v>
      </c>
      <c r="S110" s="5" t="n">
        <f aca="false">IF(G110=0,0,(1-MIN(E110/MAX(G110,1),1))*50+(1-MIN(F110/MAX(H110,1),1))*50)</f>
        <v>36.0576923076923</v>
      </c>
    </row>
    <row r="111" customFormat="false" ht="15" hidden="false" customHeight="false" outlineLevel="0" collapsed="false">
      <c r="A111" s="5" t="n">
        <f aca="false">ITEM_MASTER_CLEAN!A111</f>
        <v>110</v>
      </c>
      <c r="B111" s="5" t="n">
        <f aca="false">ITEM_MASTER_CLEAN!B111</f>
        <v>19647</v>
      </c>
      <c r="C111" s="5" t="str">
        <f aca="false">ITEM_MASTER_CLEAN!C111</f>
        <v>MTY DIP PEANUT BUTTER 6X1K</v>
      </c>
      <c r="D111" s="12" t="n">
        <f aca="false">ITEM_MASTER_CLEAN!F111</f>
        <v>45.32</v>
      </c>
      <c r="E111" s="5" t="n">
        <f aca="false">ITEM_MASTER_CLEAN!H111</f>
        <v>1</v>
      </c>
      <c r="F111" s="5" t="n">
        <f aca="false">ITEM_MASTER_CLEAN!I111</f>
        <v>1</v>
      </c>
      <c r="G111" s="5" t="n">
        <f aca="false">PAR_LEVELS!J111</f>
        <v>5.57142857142857</v>
      </c>
      <c r="H111" s="5" t="n">
        <f aca="false">PAR_LEVELS!K111</f>
        <v>7.42857142857143</v>
      </c>
      <c r="I111" s="5" t="n">
        <f aca="false">MAX(E111-G111,0)</f>
        <v>0</v>
      </c>
      <c r="J111" s="5" t="n">
        <f aca="false">MAX(F111-H111,0)</f>
        <v>0</v>
      </c>
      <c r="K111" s="5" t="n">
        <f aca="false">MAX(G111-E111,0)</f>
        <v>4.57142857142857</v>
      </c>
      <c r="L111" s="5" t="n">
        <f aca="false">MAX(H111-F111,0)</f>
        <v>6.42857142857143</v>
      </c>
      <c r="M111" s="5" t="str">
        <f aca="false">IF(AND(I111&gt;TransferMin,L111&gt;0),"OAK→HP",IF(AND(J111&gt;TransferMin,K111&gt;0),"HP→OAK","None"))</f>
        <v>None</v>
      </c>
      <c r="N111" s="5" t="n">
        <f aca="false">IF(M111="OAK→HP",MIN(I111,L111),IF(M111="HP→OAK",MIN(J111,K111),0))</f>
        <v>0</v>
      </c>
      <c r="O111" s="5" t="n">
        <f aca="false">MAX(K111-IF(M111="HP→OAK",N111,0),0)</f>
        <v>4.57142857142857</v>
      </c>
      <c r="P111" s="5" t="n">
        <f aca="false">MAX(L111-IF(M111="OAK→HP",N111,0),0)</f>
        <v>6.42857142857143</v>
      </c>
      <c r="Q111" s="5" t="n">
        <f aca="false">IF(O111&gt;0,CEILING(O111,ITEM_MASTER_CLEAN!G111),0)</f>
        <v>6</v>
      </c>
      <c r="R111" s="5" t="n">
        <f aca="false">IF(P111&gt;0,CEILING(P111,ITEM_MASTER_CLEAN!G111),0)</f>
        <v>12</v>
      </c>
      <c r="S111" s="5" t="n">
        <f aca="false">IF(G111=0,0,(1-MIN(E111/MAX(G111,1),1))*50+(1-MIN(F111/MAX(H111,1),1))*50)</f>
        <v>84.2948717948718</v>
      </c>
    </row>
    <row r="112" customFormat="false" ht="15" hidden="false" customHeight="false" outlineLevel="0" collapsed="false">
      <c r="A112" s="5" t="n">
        <f aca="false">ITEM_MASTER_CLEAN!A112</f>
        <v>111</v>
      </c>
      <c r="B112" s="5" t="n">
        <f aca="false">ITEM_MASTER_CLEAN!B112</f>
        <v>24809</v>
      </c>
      <c r="C112" s="5" t="str">
        <f aca="false">ITEM_MASTER_CLEAN!C112</f>
        <v>MTY DIP MAPLE 6X1K</v>
      </c>
      <c r="D112" s="12" t="n">
        <f aca="false">ITEM_MASTER_CLEAN!F112</f>
        <v>39.32</v>
      </c>
      <c r="E112" s="5" t="n">
        <f aca="false">ITEM_MASTER_CLEAN!H112</f>
        <v>8</v>
      </c>
      <c r="F112" s="5" t="n">
        <f aca="false">ITEM_MASTER_CLEAN!I112</f>
        <v>5</v>
      </c>
      <c r="G112" s="5" t="n">
        <f aca="false">PAR_LEVELS!J112</f>
        <v>13</v>
      </c>
      <c r="H112" s="5" t="n">
        <f aca="false">PAR_LEVELS!K112</f>
        <v>7.42857142857143</v>
      </c>
      <c r="I112" s="5" t="n">
        <f aca="false">MAX(E112-G112,0)</f>
        <v>0</v>
      </c>
      <c r="J112" s="5" t="n">
        <f aca="false">MAX(F112-H112,0)</f>
        <v>0</v>
      </c>
      <c r="K112" s="5" t="n">
        <f aca="false">MAX(G112-E112,0)</f>
        <v>5</v>
      </c>
      <c r="L112" s="5" t="n">
        <f aca="false">MAX(H112-F112,0)</f>
        <v>2.42857142857143</v>
      </c>
      <c r="M112" s="5" t="str">
        <f aca="false">IF(AND(I112&gt;TransferMin,L112&gt;0),"OAK→HP",IF(AND(J112&gt;TransferMin,K112&gt;0),"HP→OAK","None"))</f>
        <v>None</v>
      </c>
      <c r="N112" s="5" t="n">
        <f aca="false">IF(M112="OAK→HP",MIN(I112,L112),IF(M112="HP→OAK",MIN(J112,K112),0))</f>
        <v>0</v>
      </c>
      <c r="O112" s="5" t="n">
        <f aca="false">MAX(K112-IF(M112="HP→OAK",N112,0),0)</f>
        <v>5</v>
      </c>
      <c r="P112" s="5" t="n">
        <f aca="false">MAX(L112-IF(M112="OAK→HP",N112,0),0)</f>
        <v>2.42857142857143</v>
      </c>
      <c r="Q112" s="5" t="n">
        <f aca="false">IF(O112&gt;0,CEILING(O112,ITEM_MASTER_CLEAN!G112),0)</f>
        <v>6</v>
      </c>
      <c r="R112" s="5" t="n">
        <f aca="false">IF(P112&gt;0,CEILING(P112,ITEM_MASTER_CLEAN!G112),0)</f>
        <v>6</v>
      </c>
      <c r="S112" s="5" t="n">
        <f aca="false">IF(G112=0,0,(1-MIN(E112/MAX(G112,1),1))*50+(1-MIN(F112/MAX(H112,1),1))*50)</f>
        <v>35.5769230769231</v>
      </c>
    </row>
    <row r="113" customFormat="false" ht="15" hidden="false" customHeight="false" outlineLevel="0" collapsed="false">
      <c r="A113" s="5" t="n">
        <f aca="false">ITEM_MASTER_CLEAN!A113</f>
        <v>112</v>
      </c>
      <c r="B113" s="5" t="n">
        <f aca="false">ITEM_MASTER_CLEAN!B113</f>
        <v>24805</v>
      </c>
      <c r="C113" s="5" t="str">
        <f aca="false">ITEM_MASTER_CLEAN!C113</f>
        <v>MTY DIP WHITE 6X1K</v>
      </c>
      <c r="D113" s="12" t="n">
        <f aca="false">ITEM_MASTER_CLEAN!F113</f>
        <v>46.93</v>
      </c>
      <c r="E113" s="5" t="n">
        <f aca="false">ITEM_MASTER_CLEAN!H113</f>
        <v>1</v>
      </c>
      <c r="F113" s="5" t="n">
        <f aca="false">ITEM_MASTER_CLEAN!I113</f>
        <v>1</v>
      </c>
      <c r="G113" s="5" t="n">
        <f aca="false">PAR_LEVELS!J113</f>
        <v>9.28571428571429</v>
      </c>
      <c r="H113" s="5" t="n">
        <f aca="false">PAR_LEVELS!K113</f>
        <v>3.71428571428571</v>
      </c>
      <c r="I113" s="5" t="n">
        <f aca="false">MAX(E113-G113,0)</f>
        <v>0</v>
      </c>
      <c r="J113" s="5" t="n">
        <f aca="false">MAX(F113-H113,0)</f>
        <v>0</v>
      </c>
      <c r="K113" s="5" t="n">
        <f aca="false">MAX(G113-E113,0)</f>
        <v>8.28571428571429</v>
      </c>
      <c r="L113" s="5" t="n">
        <f aca="false">MAX(H113-F113,0)</f>
        <v>2.71428571428571</v>
      </c>
      <c r="M113" s="5" t="str">
        <f aca="false">IF(AND(I113&gt;TransferMin,L113&gt;0),"OAK→HP",IF(AND(J113&gt;TransferMin,K113&gt;0),"HP→OAK","None"))</f>
        <v>None</v>
      </c>
      <c r="N113" s="5" t="n">
        <f aca="false">IF(M113="OAK→HP",MIN(I113,L113),IF(M113="HP→OAK",MIN(J113,K113),0))</f>
        <v>0</v>
      </c>
      <c r="O113" s="5" t="n">
        <f aca="false">MAX(K113-IF(M113="HP→OAK",N113,0),0)</f>
        <v>8.28571428571429</v>
      </c>
      <c r="P113" s="5" t="n">
        <f aca="false">MAX(L113-IF(M113="OAK→HP",N113,0),0)</f>
        <v>2.71428571428571</v>
      </c>
      <c r="Q113" s="5" t="n">
        <f aca="false">IF(O113&gt;0,CEILING(O113,ITEM_MASTER_CLEAN!G113),0)</f>
        <v>12</v>
      </c>
      <c r="R113" s="5" t="n">
        <f aca="false">IF(P113&gt;0,CEILING(P113,ITEM_MASTER_CLEAN!G113),0)</f>
        <v>6</v>
      </c>
      <c r="S113" s="5" t="n">
        <f aca="false">IF(G113=0,0,(1-MIN(E113/MAX(G113,1),1))*50+(1-MIN(F113/MAX(H113,1),1))*50)</f>
        <v>81.1538461538462</v>
      </c>
    </row>
    <row r="114" customFormat="false" ht="15" hidden="false" customHeight="false" outlineLevel="0" collapsed="false">
      <c r="A114" s="5" t="n">
        <f aca="false">ITEM_MASTER_CLEAN!A114</f>
        <v>113</v>
      </c>
      <c r="B114" s="5" t="n">
        <f aca="false">ITEM_MASTER_CLEAN!B114</f>
        <v>19600</v>
      </c>
      <c r="C114" s="5" t="str">
        <f aca="false">ITEM_MASTER_CLEAN!C114</f>
        <v>MTY DIP CARAMEL ET SEL 6X1K</v>
      </c>
      <c r="D114" s="12" t="n">
        <f aca="false">ITEM_MASTER_CLEAN!F114</f>
        <v>44.74</v>
      </c>
      <c r="E114" s="5" t="n">
        <f aca="false">ITEM_MASTER_CLEAN!H114</f>
        <v>4</v>
      </c>
      <c r="F114" s="5" t="n">
        <f aca="false">ITEM_MASTER_CLEAN!I114</f>
        <v>1</v>
      </c>
      <c r="G114" s="5" t="n">
        <f aca="false">PAR_LEVELS!J114</f>
        <v>11.1428571428571</v>
      </c>
      <c r="H114" s="5" t="n">
        <f aca="false">PAR_LEVELS!K114</f>
        <v>11.1428571428571</v>
      </c>
      <c r="I114" s="5" t="n">
        <f aca="false">MAX(E114-G114,0)</f>
        <v>0</v>
      </c>
      <c r="J114" s="5" t="n">
        <f aca="false">MAX(F114-H114,0)</f>
        <v>0</v>
      </c>
      <c r="K114" s="5" t="n">
        <f aca="false">MAX(G114-E114,0)</f>
        <v>7.14285714285714</v>
      </c>
      <c r="L114" s="5" t="n">
        <f aca="false">MAX(H114-F114,0)</f>
        <v>10.1428571428571</v>
      </c>
      <c r="M114" s="5" t="str">
        <f aca="false">IF(AND(I114&gt;TransferMin,L114&gt;0),"OAK→HP",IF(AND(J114&gt;TransferMin,K114&gt;0),"HP→OAK","None"))</f>
        <v>None</v>
      </c>
      <c r="N114" s="5" t="n">
        <f aca="false">IF(M114="OAK→HP",MIN(I114,L114),IF(M114="HP→OAK",MIN(J114,K114),0))</f>
        <v>0</v>
      </c>
      <c r="O114" s="5" t="n">
        <f aca="false">MAX(K114-IF(M114="HP→OAK",N114,0),0)</f>
        <v>7.14285714285714</v>
      </c>
      <c r="P114" s="5" t="n">
        <f aca="false">MAX(L114-IF(M114="OAK→HP",N114,0),0)</f>
        <v>10.1428571428571</v>
      </c>
      <c r="Q114" s="5" t="n">
        <f aca="false">IF(O114&gt;0,CEILING(O114,ITEM_MASTER_CLEAN!G114),0)</f>
        <v>12</v>
      </c>
      <c r="R114" s="5" t="n">
        <f aca="false">IF(P114&gt;0,CEILING(P114,ITEM_MASTER_CLEAN!G114),0)</f>
        <v>12</v>
      </c>
      <c r="S114" s="5" t="n">
        <f aca="false">IF(G114=0,0,(1-MIN(E114/MAX(G114,1),1))*50+(1-MIN(F114/MAX(H114,1),1))*50)</f>
        <v>77.5641025641026</v>
      </c>
    </row>
    <row r="115" customFormat="false" ht="15" hidden="false" customHeight="false" outlineLevel="0" collapsed="false">
      <c r="A115" s="5" t="n">
        <f aca="false">ITEM_MASTER_CLEAN!A115</f>
        <v>114</v>
      </c>
      <c r="B115" s="5" t="n">
        <f aca="false">ITEM_MASTER_CLEAN!B115</f>
        <v>24759</v>
      </c>
      <c r="C115" s="5" t="str">
        <f aca="false">ITEM_MASTER_CLEAN!C115</f>
        <v>MTY DIP CHOC CARAMEL PECAN 6X1K</v>
      </c>
      <c r="D115" s="12" t="n">
        <f aca="false">ITEM_MASTER_CLEAN!F115</f>
        <v>44.73</v>
      </c>
      <c r="E115" s="5" t="n">
        <f aca="false">ITEM_MASTER_CLEAN!H115</f>
        <v>23</v>
      </c>
      <c r="F115" s="5" t="n">
        <f aca="false">ITEM_MASTER_CLEAN!I115</f>
        <v>0</v>
      </c>
      <c r="G115" s="5" t="n">
        <f aca="false">PAR_LEVELS!J115</f>
        <v>14.8571428571429</v>
      </c>
      <c r="H115" s="5" t="n">
        <f aca="false">PAR_LEVELS!K115</f>
        <v>7.42857142857143</v>
      </c>
      <c r="I115" s="5" t="n">
        <f aca="false">MAX(E115-G115,0)</f>
        <v>8.14285714285714</v>
      </c>
      <c r="J115" s="5" t="n">
        <f aca="false">MAX(F115-H115,0)</f>
        <v>0</v>
      </c>
      <c r="K115" s="5" t="n">
        <f aca="false">MAX(G115-E115,0)</f>
        <v>0</v>
      </c>
      <c r="L115" s="5" t="n">
        <f aca="false">MAX(H115-F115,0)</f>
        <v>7.42857142857143</v>
      </c>
      <c r="M115" s="5" t="str">
        <f aca="false">IF(AND(I115&gt;TransferMin,L115&gt;0),"OAK→HP",IF(AND(J115&gt;TransferMin,K115&gt;0),"HP→OAK","None"))</f>
        <v>OAK→HP</v>
      </c>
      <c r="N115" s="5" t="n">
        <f aca="false">IF(M115="OAK→HP",MIN(I115,L115),IF(M115="HP→OAK",MIN(J115,K115),0))</f>
        <v>7.42857142857143</v>
      </c>
      <c r="O115" s="5" t="n">
        <f aca="false">MAX(K115-IF(M115="HP→OAK",N115,0),0)</f>
        <v>0</v>
      </c>
      <c r="P115" s="5" t="n">
        <f aca="false">MAX(L115-IF(M115="OAK→HP",N115,0),0)</f>
        <v>0</v>
      </c>
      <c r="Q115" s="5" t="n">
        <f aca="false">IF(O115&gt;0,CEILING(O115,ITEM_MASTER_CLEAN!G115),0)</f>
        <v>0</v>
      </c>
      <c r="R115" s="5" t="n">
        <f aca="false">IF(P115&gt;0,CEILING(P115,ITEM_MASTER_CLEAN!G115),0)</f>
        <v>0</v>
      </c>
      <c r="S115" s="5" t="n">
        <f aca="false">IF(G115=0,0,(1-MIN(E115/MAX(G115,1),1))*50+(1-MIN(F115/MAX(H115,1),1))*50)</f>
        <v>50</v>
      </c>
    </row>
    <row r="116" customFormat="false" ht="15" hidden="false" customHeight="false" outlineLevel="0" collapsed="false">
      <c r="A116" s="5" t="n">
        <f aca="false">ITEM_MASTER_CLEAN!A116</f>
        <v>115</v>
      </c>
      <c r="B116" s="5" t="n">
        <f aca="false">ITEM_MASTER_CLEAN!B116</f>
        <v>19598</v>
      </c>
      <c r="C116" s="5" t="str">
        <f aca="false">ITEM_MASTER_CLEAN!C116</f>
        <v>MTY DIP DULCE DE LECHE 6X1K</v>
      </c>
      <c r="D116" s="12" t="n">
        <f aca="false">ITEM_MASTER_CLEAN!F116</f>
        <v>46.84</v>
      </c>
      <c r="E116" s="5" t="n">
        <f aca="false">ITEM_MASTER_CLEAN!H116</f>
        <v>7</v>
      </c>
      <c r="F116" s="5" t="n">
        <f aca="false">ITEM_MASTER_CLEAN!I116</f>
        <v>4</v>
      </c>
      <c r="G116" s="5" t="n">
        <f aca="false">PAR_LEVELS!J116</f>
        <v>13</v>
      </c>
      <c r="H116" s="5" t="n">
        <f aca="false">PAR_LEVELS!K116</f>
        <v>7.42857142857143</v>
      </c>
      <c r="I116" s="5" t="n">
        <f aca="false">MAX(E116-G116,0)</f>
        <v>0</v>
      </c>
      <c r="J116" s="5" t="n">
        <f aca="false">MAX(F116-H116,0)</f>
        <v>0</v>
      </c>
      <c r="K116" s="5" t="n">
        <f aca="false">MAX(G116-E116,0)</f>
        <v>6</v>
      </c>
      <c r="L116" s="5" t="n">
        <f aca="false">MAX(H116-F116,0)</f>
        <v>3.42857142857143</v>
      </c>
      <c r="M116" s="5" t="str">
        <f aca="false">IF(AND(I116&gt;TransferMin,L116&gt;0),"OAK→HP",IF(AND(J116&gt;TransferMin,K116&gt;0),"HP→OAK","None"))</f>
        <v>None</v>
      </c>
      <c r="N116" s="5" t="n">
        <f aca="false">IF(M116="OAK→HP",MIN(I116,L116),IF(M116="HP→OAK",MIN(J116,K116),0))</f>
        <v>0</v>
      </c>
      <c r="O116" s="5" t="n">
        <f aca="false">MAX(K116-IF(M116="HP→OAK",N116,0),0)</f>
        <v>6</v>
      </c>
      <c r="P116" s="5" t="n">
        <f aca="false">MAX(L116-IF(M116="OAK→HP",N116,0),0)</f>
        <v>3.42857142857143</v>
      </c>
      <c r="Q116" s="5" t="n">
        <f aca="false">IF(O116&gt;0,CEILING(O116,ITEM_MASTER_CLEAN!G116),0)</f>
        <v>6</v>
      </c>
      <c r="R116" s="5" t="n">
        <f aca="false">IF(P116&gt;0,CEILING(P116,ITEM_MASTER_CLEAN!G116),0)</f>
        <v>6</v>
      </c>
      <c r="S116" s="5" t="n">
        <f aca="false">IF(G116=0,0,(1-MIN(E116/MAX(G116,1),1))*50+(1-MIN(F116/MAX(H116,1),1))*50)</f>
        <v>46.1538461538461</v>
      </c>
    </row>
    <row r="117" customFormat="false" ht="15" hidden="false" customHeight="false" outlineLevel="0" collapsed="false">
      <c r="A117" s="5" t="n">
        <f aca="false">ITEM_MASTER_CLEAN!A117</f>
        <v>116</v>
      </c>
      <c r="B117" s="5" t="n">
        <f aca="false">ITEM_MASTER_CLEAN!B117</f>
        <v>12603</v>
      </c>
      <c r="C117" s="5" t="str">
        <f aca="false">ITEM_MASTER_CLEAN!C117</f>
        <v>MTY DIP MILK CHOCOLATE 6X1K</v>
      </c>
      <c r="D117" s="12" t="n">
        <f aca="false">ITEM_MASTER_CLEAN!F117</f>
        <v>41.02</v>
      </c>
      <c r="E117" s="5" t="n">
        <f aca="false">ITEM_MASTER_CLEAN!H117</f>
        <v>26</v>
      </c>
      <c r="F117" s="5" t="n">
        <f aca="false">ITEM_MASTER_CLEAN!I117</f>
        <v>0</v>
      </c>
      <c r="G117" s="5" t="n">
        <f aca="false">PAR_LEVELS!J117</f>
        <v>13</v>
      </c>
      <c r="H117" s="5" t="n">
        <f aca="false">PAR_LEVELS!K117</f>
        <v>7.42857142857143</v>
      </c>
      <c r="I117" s="5" t="n">
        <f aca="false">MAX(E117-G117,0)</f>
        <v>13</v>
      </c>
      <c r="J117" s="5" t="n">
        <f aca="false">MAX(F117-H117,0)</f>
        <v>0</v>
      </c>
      <c r="K117" s="5" t="n">
        <f aca="false">MAX(G117-E117,0)</f>
        <v>0</v>
      </c>
      <c r="L117" s="5" t="n">
        <f aca="false">MAX(H117-F117,0)</f>
        <v>7.42857142857143</v>
      </c>
      <c r="M117" s="5" t="str">
        <f aca="false">IF(AND(I117&gt;TransferMin,L117&gt;0),"OAK→HP",IF(AND(J117&gt;TransferMin,K117&gt;0),"HP→OAK","None"))</f>
        <v>OAK→HP</v>
      </c>
      <c r="N117" s="5" t="n">
        <f aca="false">IF(M117="OAK→HP",MIN(I117,L117),IF(M117="HP→OAK",MIN(J117,K117),0))</f>
        <v>7.42857142857143</v>
      </c>
      <c r="O117" s="5" t="n">
        <f aca="false">MAX(K117-IF(M117="HP→OAK",N117,0),0)</f>
        <v>0</v>
      </c>
      <c r="P117" s="5" t="n">
        <f aca="false">MAX(L117-IF(M117="OAK→HP",N117,0),0)</f>
        <v>0</v>
      </c>
      <c r="Q117" s="5" t="n">
        <f aca="false">IF(O117&gt;0,CEILING(O117,ITEM_MASTER_CLEAN!G117),0)</f>
        <v>0</v>
      </c>
      <c r="R117" s="5" t="n">
        <f aca="false">IF(P117&gt;0,CEILING(P117,ITEM_MASTER_CLEAN!G117),0)</f>
        <v>0</v>
      </c>
      <c r="S117" s="5" t="n">
        <f aca="false">IF(G117=0,0,(1-MIN(E117/MAX(G117,1),1))*50+(1-MIN(F117/MAX(H117,1),1))*50)</f>
        <v>50</v>
      </c>
    </row>
    <row r="118" customFormat="false" ht="15" hidden="false" customHeight="false" outlineLevel="0" collapsed="false">
      <c r="A118" s="5" t="n">
        <f aca="false">ITEM_MASTER_CLEAN!A118</f>
        <v>117</v>
      </c>
      <c r="B118" s="5" t="n">
        <f aca="false">ITEM_MASTER_CLEAN!B118</f>
        <v>24475</v>
      </c>
      <c r="C118" s="5" t="str">
        <f aca="false">ITEM_MASTER_CLEAN!C118</f>
        <v>MTY DIP IRISH CRM BAILEYS WH 6X1K</v>
      </c>
      <c r="D118" s="12" t="n">
        <f aca="false">ITEM_MASTER_CLEAN!F118</f>
        <v>42.54</v>
      </c>
      <c r="E118" s="5" t="n">
        <f aca="false">ITEM_MASTER_CLEAN!H118</f>
        <v>2</v>
      </c>
      <c r="F118" s="5" t="n">
        <f aca="false">ITEM_MASTER_CLEAN!I118</f>
        <v>19</v>
      </c>
      <c r="G118" s="5" t="n">
        <f aca="false">PAR_LEVELS!J118</f>
        <v>14.8571428571429</v>
      </c>
      <c r="H118" s="5" t="n">
        <f aca="false">PAR_LEVELS!K118</f>
        <v>11.1428571428571</v>
      </c>
      <c r="I118" s="5" t="n">
        <f aca="false">MAX(E118-G118,0)</f>
        <v>0</v>
      </c>
      <c r="J118" s="5" t="n">
        <f aca="false">MAX(F118-H118,0)</f>
        <v>7.85714285714286</v>
      </c>
      <c r="K118" s="5" t="n">
        <f aca="false">MAX(G118-E118,0)</f>
        <v>12.8571428571429</v>
      </c>
      <c r="L118" s="5" t="n">
        <f aca="false">MAX(H118-F118,0)</f>
        <v>0</v>
      </c>
      <c r="M118" s="5" t="str">
        <f aca="false">IF(AND(I118&gt;TransferMin,L118&gt;0),"OAK→HP",IF(AND(J118&gt;TransferMin,K118&gt;0),"HP→OAK","None"))</f>
        <v>HP→OAK</v>
      </c>
      <c r="N118" s="5" t="n">
        <f aca="false">IF(M118="OAK→HP",MIN(I118,L118),IF(M118="HP→OAK",MIN(J118,K118),0))</f>
        <v>7.85714285714286</v>
      </c>
      <c r="O118" s="5" t="n">
        <f aca="false">MAX(K118-IF(M118="HP→OAK",N118,0),0)</f>
        <v>5</v>
      </c>
      <c r="P118" s="5" t="n">
        <f aca="false">MAX(L118-IF(M118="OAK→HP",N118,0),0)</f>
        <v>0</v>
      </c>
      <c r="Q118" s="5" t="n">
        <f aca="false">IF(O118&gt;0,CEILING(O118,ITEM_MASTER_CLEAN!G118),0)</f>
        <v>6</v>
      </c>
      <c r="R118" s="5" t="n">
        <f aca="false">IF(P118&gt;0,CEILING(P118,ITEM_MASTER_CLEAN!G118),0)</f>
        <v>0</v>
      </c>
      <c r="S118" s="5" t="n">
        <f aca="false">IF(G118=0,0,(1-MIN(E118/MAX(G118,1),1))*50+(1-MIN(F118/MAX(H118,1),1))*50)</f>
        <v>43.2692307692308</v>
      </c>
    </row>
    <row r="119" customFormat="false" ht="15" hidden="false" customHeight="false" outlineLevel="0" collapsed="false">
      <c r="A119" s="5" t="n">
        <f aca="false">ITEM_MASTER_CLEAN!A119</f>
        <v>118</v>
      </c>
      <c r="B119" s="5" t="n">
        <f aca="false">ITEM_MASTER_CLEAN!B119</f>
        <v>12558</v>
      </c>
      <c r="C119" s="5" t="str">
        <f aca="false">ITEM_MASTER_CLEAN!C119</f>
        <v>MTY DIP ESPRESSO 6X1KG</v>
      </c>
      <c r="D119" s="12" t="n">
        <f aca="false">ITEM_MASTER_CLEAN!F119</f>
        <v>47.52</v>
      </c>
      <c r="E119" s="5" t="n">
        <f aca="false">ITEM_MASTER_CLEAN!H119</f>
        <v>5</v>
      </c>
      <c r="F119" s="5" t="n">
        <f aca="false">ITEM_MASTER_CLEAN!I119</f>
        <v>6</v>
      </c>
      <c r="G119" s="5" t="n">
        <f aca="false">PAR_LEVELS!J119</f>
        <v>5.57142857142857</v>
      </c>
      <c r="H119" s="5" t="n">
        <f aca="false">PAR_LEVELS!K119</f>
        <v>7.42857142857143</v>
      </c>
      <c r="I119" s="5" t="n">
        <f aca="false">MAX(E119-G119,0)</f>
        <v>0</v>
      </c>
      <c r="J119" s="5" t="n">
        <f aca="false">MAX(F119-H119,0)</f>
        <v>0</v>
      </c>
      <c r="K119" s="5" t="n">
        <f aca="false">MAX(G119-E119,0)</f>
        <v>0.571428571428571</v>
      </c>
      <c r="L119" s="5" t="n">
        <f aca="false">MAX(H119-F119,0)</f>
        <v>1.42857142857143</v>
      </c>
      <c r="M119" s="5" t="str">
        <f aca="false">IF(AND(I119&gt;TransferMin,L119&gt;0),"OAK→HP",IF(AND(J119&gt;TransferMin,K119&gt;0),"HP→OAK","None"))</f>
        <v>None</v>
      </c>
      <c r="N119" s="5" t="n">
        <f aca="false">IF(M119="OAK→HP",MIN(I119,L119),IF(M119="HP→OAK",MIN(J119,K119),0))</f>
        <v>0</v>
      </c>
      <c r="O119" s="5" t="n">
        <f aca="false">MAX(K119-IF(M119="HP→OAK",N119,0),0)</f>
        <v>0.571428571428571</v>
      </c>
      <c r="P119" s="5" t="n">
        <f aca="false">MAX(L119-IF(M119="OAK→HP",N119,0),0)</f>
        <v>1.42857142857143</v>
      </c>
      <c r="Q119" s="5" t="n">
        <f aca="false">IF(O119&gt;0,CEILING(O119,ITEM_MASTER_CLEAN!G119),0)</f>
        <v>6</v>
      </c>
      <c r="R119" s="5" t="n">
        <f aca="false">IF(P119&gt;0,CEILING(P119,ITEM_MASTER_CLEAN!G119),0)</f>
        <v>6</v>
      </c>
      <c r="S119" s="5" t="n">
        <f aca="false">IF(G119=0,0,(1-MIN(E119/MAX(G119,1),1))*50+(1-MIN(F119/MAX(H119,1),1))*50)</f>
        <v>14.7435897435897</v>
      </c>
    </row>
    <row r="120" customFormat="false" ht="15" hidden="false" customHeight="false" outlineLevel="0" collapsed="false">
      <c r="A120" s="5" t="n">
        <f aca="false">ITEM_MASTER_CLEAN!A120</f>
        <v>119</v>
      </c>
      <c r="B120" s="5" t="n">
        <f aca="false">ITEM_MASTER_CLEAN!B120</f>
        <v>12582</v>
      </c>
      <c r="C120" s="5" t="str">
        <f aca="false">ITEM_MASTER_CLEAN!C120</f>
        <v>MTY DIP FLEUR DE SEL DARK 6X1K</v>
      </c>
      <c r="D120" s="12" t="n">
        <f aca="false">ITEM_MASTER_CLEAN!F120</f>
        <v>41.67</v>
      </c>
      <c r="E120" s="5" t="n">
        <f aca="false">ITEM_MASTER_CLEAN!H120</f>
        <v>1</v>
      </c>
      <c r="F120" s="5" t="n">
        <f aca="false">ITEM_MASTER_CLEAN!I120</f>
        <v>11</v>
      </c>
      <c r="G120" s="5" t="n">
        <f aca="false">PAR_LEVELS!J120</f>
        <v>7.42857142857143</v>
      </c>
      <c r="H120" s="5" t="n">
        <f aca="false">PAR_LEVELS!K120</f>
        <v>7.42857142857143</v>
      </c>
      <c r="I120" s="5" t="n">
        <f aca="false">MAX(E120-G120,0)</f>
        <v>0</v>
      </c>
      <c r="J120" s="5" t="n">
        <f aca="false">MAX(F120-H120,0)</f>
        <v>3.57142857142857</v>
      </c>
      <c r="K120" s="5" t="n">
        <f aca="false">MAX(G120-E120,0)</f>
        <v>6.42857142857143</v>
      </c>
      <c r="L120" s="5" t="n">
        <f aca="false">MAX(H120-F120,0)</f>
        <v>0</v>
      </c>
      <c r="M120" s="5" t="str">
        <f aca="false">IF(AND(I120&gt;TransferMin,L120&gt;0),"OAK→HP",IF(AND(J120&gt;TransferMin,K120&gt;0),"HP→OAK","None"))</f>
        <v>None</v>
      </c>
      <c r="N120" s="5" t="n">
        <f aca="false">IF(M120="OAK→HP",MIN(I120,L120),IF(M120="HP→OAK",MIN(J120,K120),0))</f>
        <v>0</v>
      </c>
      <c r="O120" s="5" t="n">
        <f aca="false">MAX(K120-IF(M120="HP→OAK",N120,0),0)</f>
        <v>6.42857142857143</v>
      </c>
      <c r="P120" s="5" t="n">
        <f aca="false">MAX(L120-IF(M120="OAK→HP",N120,0),0)</f>
        <v>0</v>
      </c>
      <c r="Q120" s="5" t="n">
        <f aca="false">IF(O120&gt;0,CEILING(O120,ITEM_MASTER_CLEAN!G120),0)</f>
        <v>12</v>
      </c>
      <c r="R120" s="5" t="n">
        <f aca="false">IF(P120&gt;0,CEILING(P120,ITEM_MASTER_CLEAN!G120),0)</f>
        <v>0</v>
      </c>
      <c r="S120" s="5" t="n">
        <f aca="false">IF(G120=0,0,(1-MIN(E120/MAX(G120,1),1))*50+(1-MIN(F120/MAX(H120,1),1))*50)</f>
        <v>43.2692307692308</v>
      </c>
    </row>
    <row r="121" customFormat="false" ht="15" hidden="false" customHeight="false" outlineLevel="0" collapsed="false">
      <c r="A121" s="5" t="n">
        <f aca="false">ITEM_MASTER_CLEAN!A121</f>
        <v>120</v>
      </c>
      <c r="B121" s="5" t="n">
        <f aca="false">ITEM_MASTER_CLEAN!B121</f>
        <v>24435</v>
      </c>
      <c r="C121" s="5" t="str">
        <f aca="false">ITEM_MASTER_CLEAN!C121</f>
        <v>MTY DIP STRAWBERRY CREAM 6X1K</v>
      </c>
      <c r="D121" s="12" t="n">
        <f aca="false">ITEM_MASTER_CLEAN!F121</f>
        <v>18.51</v>
      </c>
      <c r="E121" s="5" t="n">
        <f aca="false">ITEM_MASTER_CLEAN!H121</f>
        <v>7</v>
      </c>
      <c r="F121" s="5" t="n">
        <f aca="false">ITEM_MASTER_CLEAN!I121</f>
        <v>3</v>
      </c>
      <c r="G121" s="5" t="n">
        <f aca="false">PAR_LEVELS!J121</f>
        <v>9.28571428571429</v>
      </c>
      <c r="H121" s="5" t="n">
        <f aca="false">PAR_LEVELS!K121</f>
        <v>5.57142857142857</v>
      </c>
      <c r="I121" s="5" t="n">
        <f aca="false">MAX(E121-G121,0)</f>
        <v>0</v>
      </c>
      <c r="J121" s="5" t="n">
        <f aca="false">MAX(F121-H121,0)</f>
        <v>0</v>
      </c>
      <c r="K121" s="5" t="n">
        <f aca="false">MAX(G121-E121,0)</f>
        <v>2.28571428571429</v>
      </c>
      <c r="L121" s="5" t="n">
        <f aca="false">MAX(H121-F121,0)</f>
        <v>2.57142857142857</v>
      </c>
      <c r="M121" s="5" t="str">
        <f aca="false">IF(AND(I121&gt;TransferMin,L121&gt;0),"OAK→HP",IF(AND(J121&gt;TransferMin,K121&gt;0),"HP→OAK","None"))</f>
        <v>None</v>
      </c>
      <c r="N121" s="5" t="n">
        <f aca="false">IF(M121="OAK→HP",MIN(I121,L121),IF(M121="HP→OAK",MIN(J121,K121),0))</f>
        <v>0</v>
      </c>
      <c r="O121" s="5" t="n">
        <f aca="false">MAX(K121-IF(M121="HP→OAK",N121,0),0)</f>
        <v>2.28571428571429</v>
      </c>
      <c r="P121" s="5" t="n">
        <f aca="false">MAX(L121-IF(M121="OAK→HP",N121,0),0)</f>
        <v>2.57142857142857</v>
      </c>
      <c r="Q121" s="5" t="n">
        <f aca="false">IF(O121&gt;0,CEILING(O121,ITEM_MASTER_CLEAN!G121),0)</f>
        <v>6</v>
      </c>
      <c r="R121" s="5" t="n">
        <f aca="false">IF(P121&gt;0,CEILING(P121,ITEM_MASTER_CLEAN!G121),0)</f>
        <v>6</v>
      </c>
      <c r="S121" s="5" t="n">
        <f aca="false">IF(G121=0,0,(1-MIN(E121/MAX(G121,1),1))*50+(1-MIN(F121/MAX(H121,1),1))*50)</f>
        <v>35.3846153846154</v>
      </c>
    </row>
    <row r="122" customFormat="false" ht="15" hidden="false" customHeight="false" outlineLevel="0" collapsed="false">
      <c r="A122" s="5" t="n">
        <f aca="false">ITEM_MASTER_CLEAN!A122</f>
        <v>121</v>
      </c>
      <c r="B122" s="5" t="n">
        <f aca="false">ITEM_MASTER_CLEAN!B122</f>
        <v>24768</v>
      </c>
      <c r="C122" s="5" t="str">
        <f aca="false">ITEM_MASTER_CLEAN!C122</f>
        <v>MTY DIP CHEESE CAKE 6X1K</v>
      </c>
      <c r="D122" s="12" t="n">
        <f aca="false">ITEM_MASTER_CLEAN!F122</f>
        <v>43.86</v>
      </c>
      <c r="E122" s="5" t="n">
        <f aca="false">ITEM_MASTER_CLEAN!H122</f>
        <v>0</v>
      </c>
      <c r="F122" s="5" t="n">
        <f aca="false">ITEM_MASTER_CLEAN!I122</f>
        <v>11</v>
      </c>
      <c r="G122" s="5" t="n">
        <f aca="false">PAR_LEVELS!J122</f>
        <v>7.42857142857143</v>
      </c>
      <c r="H122" s="5" t="n">
        <f aca="false">PAR_LEVELS!K122</f>
        <v>7.42857142857143</v>
      </c>
      <c r="I122" s="5" t="n">
        <f aca="false">MAX(E122-G122,0)</f>
        <v>0</v>
      </c>
      <c r="J122" s="5" t="n">
        <f aca="false">MAX(F122-H122,0)</f>
        <v>3.57142857142857</v>
      </c>
      <c r="K122" s="5" t="n">
        <f aca="false">MAX(G122-E122,0)</f>
        <v>7.42857142857143</v>
      </c>
      <c r="L122" s="5" t="n">
        <f aca="false">MAX(H122-F122,0)</f>
        <v>0</v>
      </c>
      <c r="M122" s="5" t="str">
        <f aca="false">IF(AND(I122&gt;TransferMin,L122&gt;0),"OAK→HP",IF(AND(J122&gt;TransferMin,K122&gt;0),"HP→OAK","None"))</f>
        <v>None</v>
      </c>
      <c r="N122" s="5" t="n">
        <f aca="false">IF(M122="OAK→HP",MIN(I122,L122),IF(M122="HP→OAK",MIN(J122,K122),0))</f>
        <v>0</v>
      </c>
      <c r="O122" s="5" t="n">
        <f aca="false">MAX(K122-IF(M122="HP→OAK",N122,0),0)</f>
        <v>7.42857142857143</v>
      </c>
      <c r="P122" s="5" t="n">
        <f aca="false">MAX(L122-IF(M122="OAK→HP",N122,0),0)</f>
        <v>0</v>
      </c>
      <c r="Q122" s="5" t="n">
        <f aca="false">IF(O122&gt;0,CEILING(O122,ITEM_MASTER_CLEAN!G122),0)</f>
        <v>12</v>
      </c>
      <c r="R122" s="5" t="n">
        <f aca="false">IF(P122&gt;0,CEILING(P122,ITEM_MASTER_CLEAN!G122),0)</f>
        <v>0</v>
      </c>
      <c r="S122" s="5" t="n">
        <f aca="false">IF(G122=0,0,(1-MIN(E122/MAX(G122,1),1))*50+(1-MIN(F122/MAX(H122,1),1))*50)</f>
        <v>50</v>
      </c>
    </row>
    <row r="123" customFormat="false" ht="15" hidden="false" customHeight="false" outlineLevel="0" collapsed="false">
      <c r="A123" s="5" t="n">
        <f aca="false">ITEM_MASTER_CLEAN!A123</f>
        <v>122</v>
      </c>
      <c r="B123" s="5" t="n">
        <f aca="false">ITEM_MASTER_CLEAN!B123</f>
        <v>24777</v>
      </c>
      <c r="C123" s="5" t="str">
        <f aca="false">ITEM_MASTER_CLEAN!C123</f>
        <v>MTY DIP BIRTHDAY CAKE  6X1K</v>
      </c>
      <c r="D123" s="12" t="n">
        <f aca="false">ITEM_MASTER_CLEAN!F123</f>
        <v>39.74</v>
      </c>
      <c r="E123" s="5" t="n">
        <f aca="false">ITEM_MASTER_CLEAN!H123</f>
        <v>1</v>
      </c>
      <c r="F123" s="5" t="n">
        <f aca="false">ITEM_MASTER_CLEAN!I123</f>
        <v>5</v>
      </c>
      <c r="G123" s="5" t="n">
        <f aca="false">PAR_LEVELS!J123</f>
        <v>14.8571428571429</v>
      </c>
      <c r="H123" s="5" t="n">
        <f aca="false">PAR_LEVELS!K123</f>
        <v>3.71428571428571</v>
      </c>
      <c r="I123" s="5" t="n">
        <f aca="false">MAX(E123-G123,0)</f>
        <v>0</v>
      </c>
      <c r="J123" s="5" t="n">
        <f aca="false">MAX(F123-H123,0)</f>
        <v>1.28571428571429</v>
      </c>
      <c r="K123" s="5" t="n">
        <f aca="false">MAX(G123-E123,0)</f>
        <v>13.8571428571429</v>
      </c>
      <c r="L123" s="5" t="n">
        <f aca="false">MAX(H123-F123,0)</f>
        <v>0</v>
      </c>
      <c r="M123" s="5" t="str">
        <f aca="false">IF(AND(I123&gt;TransferMin,L123&gt;0),"OAK→HP",IF(AND(J123&gt;TransferMin,K123&gt;0),"HP→OAK","None"))</f>
        <v>None</v>
      </c>
      <c r="N123" s="5" t="n">
        <f aca="false">IF(M123="OAK→HP",MIN(I123,L123),IF(M123="HP→OAK",MIN(J123,K123),0))</f>
        <v>0</v>
      </c>
      <c r="O123" s="5" t="n">
        <f aca="false">MAX(K123-IF(M123="HP→OAK",N123,0),0)</f>
        <v>13.8571428571429</v>
      </c>
      <c r="P123" s="5" t="n">
        <f aca="false">MAX(L123-IF(M123="OAK→HP",N123,0),0)</f>
        <v>0</v>
      </c>
      <c r="Q123" s="5" t="n">
        <f aca="false">IF(O123&gt;0,CEILING(O123,ITEM_MASTER_CLEAN!G123),0)</f>
        <v>18</v>
      </c>
      <c r="R123" s="5" t="n">
        <f aca="false">IF(P123&gt;0,CEILING(P123,ITEM_MASTER_CLEAN!G123),0)</f>
        <v>0</v>
      </c>
      <c r="S123" s="5" t="n">
        <f aca="false">IF(G123=0,0,(1-MIN(E123/MAX(G123,1),1))*50+(1-MIN(F123/MAX(H123,1),1))*50)</f>
        <v>46.6346153846154</v>
      </c>
    </row>
    <row r="124" customFormat="false" ht="15" hidden="false" customHeight="false" outlineLevel="0" collapsed="false">
      <c r="A124" s="5" t="n">
        <f aca="false">ITEM_MASTER_CLEAN!A124</f>
        <v>123</v>
      </c>
      <c r="B124" s="5" t="n">
        <f aca="false">ITEM_MASTER_CLEAN!B124</f>
        <v>24766</v>
      </c>
      <c r="C124" s="5" t="str">
        <f aca="false">ITEM_MASTER_CLEAN!C124</f>
        <v>MTY DIP LEMONADE 6X1K</v>
      </c>
      <c r="D124" s="12" t="n">
        <f aca="false">ITEM_MASTER_CLEAN!F124</f>
        <v>42.21</v>
      </c>
      <c r="E124" s="5" t="n">
        <f aca="false">ITEM_MASTER_CLEAN!H124</f>
        <v>9</v>
      </c>
      <c r="F124" s="5" t="n">
        <f aca="false">ITEM_MASTER_CLEAN!I124</f>
        <v>0</v>
      </c>
      <c r="G124" s="5" t="n">
        <f aca="false">PAR_LEVELS!J124</f>
        <v>5.57142857142857</v>
      </c>
      <c r="H124" s="5" t="n">
        <f aca="false">PAR_LEVELS!K124</f>
        <v>3.71428571428571</v>
      </c>
      <c r="I124" s="5" t="n">
        <f aca="false">MAX(E124-G124,0)</f>
        <v>3.42857142857143</v>
      </c>
      <c r="J124" s="5" t="n">
        <f aca="false">MAX(F124-H124,0)</f>
        <v>0</v>
      </c>
      <c r="K124" s="5" t="n">
        <f aca="false">MAX(G124-E124,0)</f>
        <v>0</v>
      </c>
      <c r="L124" s="5" t="n">
        <f aca="false">MAX(H124-F124,0)</f>
        <v>3.71428571428571</v>
      </c>
      <c r="M124" s="5" t="str">
        <f aca="false">IF(AND(I124&gt;TransferMin,L124&gt;0),"OAK→HP",IF(AND(J124&gt;TransferMin,K124&gt;0),"HP→OAK","None"))</f>
        <v>None</v>
      </c>
      <c r="N124" s="5" t="n">
        <f aca="false">IF(M124="OAK→HP",MIN(I124,L124),IF(M124="HP→OAK",MIN(J124,K124),0))</f>
        <v>0</v>
      </c>
      <c r="O124" s="5" t="n">
        <f aca="false">MAX(K124-IF(M124="HP→OAK",N124,0),0)</f>
        <v>0</v>
      </c>
      <c r="P124" s="5" t="n">
        <f aca="false">MAX(L124-IF(M124="OAK→HP",N124,0),0)</f>
        <v>3.71428571428571</v>
      </c>
      <c r="Q124" s="5" t="n">
        <f aca="false">IF(O124&gt;0,CEILING(O124,ITEM_MASTER_CLEAN!G124),0)</f>
        <v>0</v>
      </c>
      <c r="R124" s="5" t="n">
        <f aca="false">IF(P124&gt;0,CEILING(P124,ITEM_MASTER_CLEAN!G124),0)</f>
        <v>6</v>
      </c>
      <c r="S124" s="5" t="n">
        <f aca="false">IF(G124=0,0,(1-MIN(E124/MAX(G124,1),1))*50+(1-MIN(F124/MAX(H124,1),1))*50)</f>
        <v>50</v>
      </c>
    </row>
    <row r="125" customFormat="false" ht="15" hidden="false" customHeight="false" outlineLevel="0" collapsed="false">
      <c r="A125" s="5" t="n">
        <f aca="false">ITEM_MASTER_CLEAN!A125</f>
        <v>124</v>
      </c>
      <c r="B125" s="5" t="n">
        <f aca="false">ITEM_MASTER_CLEAN!B125</f>
        <v>12584</v>
      </c>
      <c r="C125" s="5" t="str">
        <f aca="false">ITEM_MASTER_CLEAN!C125</f>
        <v>MTY DIP MANGO 6X1K</v>
      </c>
      <c r="D125" s="12" t="n">
        <f aca="false">ITEM_MASTER_CLEAN!F125</f>
        <v>38.43</v>
      </c>
      <c r="E125" s="5" t="n">
        <f aca="false">ITEM_MASTER_CLEAN!H125</f>
        <v>4</v>
      </c>
      <c r="F125" s="5" t="n">
        <f aca="false">ITEM_MASTER_CLEAN!I125</f>
        <v>1</v>
      </c>
      <c r="G125" s="5" t="n">
        <f aca="false">PAR_LEVELS!J125</f>
        <v>14.8571428571429</v>
      </c>
      <c r="H125" s="5" t="n">
        <f aca="false">PAR_LEVELS!K125</f>
        <v>11.1428571428571</v>
      </c>
      <c r="I125" s="5" t="n">
        <f aca="false">MAX(E125-G125,0)</f>
        <v>0</v>
      </c>
      <c r="J125" s="5" t="n">
        <f aca="false">MAX(F125-H125,0)</f>
        <v>0</v>
      </c>
      <c r="K125" s="5" t="n">
        <f aca="false">MAX(G125-E125,0)</f>
        <v>10.8571428571429</v>
      </c>
      <c r="L125" s="5" t="n">
        <f aca="false">MAX(H125-F125,0)</f>
        <v>10.1428571428571</v>
      </c>
      <c r="M125" s="5" t="str">
        <f aca="false">IF(AND(I125&gt;TransferMin,L125&gt;0),"OAK→HP",IF(AND(J125&gt;TransferMin,K125&gt;0),"HP→OAK","None"))</f>
        <v>None</v>
      </c>
      <c r="N125" s="5" t="n">
        <f aca="false">IF(M125="OAK→HP",MIN(I125,L125),IF(M125="HP→OAK",MIN(J125,K125),0))</f>
        <v>0</v>
      </c>
      <c r="O125" s="5" t="n">
        <f aca="false">MAX(K125-IF(M125="HP→OAK",N125,0),0)</f>
        <v>10.8571428571429</v>
      </c>
      <c r="P125" s="5" t="n">
        <f aca="false">MAX(L125-IF(M125="OAK→HP",N125,0),0)</f>
        <v>10.1428571428571</v>
      </c>
      <c r="Q125" s="5" t="n">
        <f aca="false">IF(O125&gt;0,CEILING(O125,ITEM_MASTER_CLEAN!G125),0)</f>
        <v>12</v>
      </c>
      <c r="R125" s="5" t="n">
        <f aca="false">IF(P125&gt;0,CEILING(P125,ITEM_MASTER_CLEAN!G125),0)</f>
        <v>12</v>
      </c>
      <c r="S125" s="5" t="n">
        <f aca="false">IF(G125=0,0,(1-MIN(E125/MAX(G125,1),1))*50+(1-MIN(F125/MAX(H125,1),1))*50)</f>
        <v>82.051282051282</v>
      </c>
    </row>
    <row r="126" customFormat="false" ht="15" hidden="false" customHeight="false" outlineLevel="0" collapsed="false">
      <c r="A126" s="5" t="n">
        <f aca="false">ITEM_MASTER_CLEAN!A126</f>
        <v>125</v>
      </c>
      <c r="B126" s="5" t="n">
        <f aca="false">ITEM_MASTER_CLEAN!B126</f>
        <v>24763</v>
      </c>
      <c r="C126" s="5" t="str">
        <f aca="false">ITEM_MASTER_CLEAN!C126</f>
        <v>MTY MINT DARK CHOC  6X1K</v>
      </c>
      <c r="D126" s="12" t="n">
        <f aca="false">ITEM_MASTER_CLEAN!F126</f>
        <v>42.26</v>
      </c>
      <c r="E126" s="5" t="n">
        <f aca="false">ITEM_MASTER_CLEAN!H126</f>
        <v>24</v>
      </c>
      <c r="F126" s="5" t="n">
        <f aca="false">ITEM_MASTER_CLEAN!I126</f>
        <v>1</v>
      </c>
      <c r="G126" s="5" t="n">
        <f aca="false">PAR_LEVELS!J126</f>
        <v>13</v>
      </c>
      <c r="H126" s="5" t="n">
        <f aca="false">PAR_LEVELS!K126</f>
        <v>5.57142857142857</v>
      </c>
      <c r="I126" s="5" t="n">
        <f aca="false">MAX(E126-G126,0)</f>
        <v>11</v>
      </c>
      <c r="J126" s="5" t="n">
        <f aca="false">MAX(F126-H126,0)</f>
        <v>0</v>
      </c>
      <c r="K126" s="5" t="n">
        <f aca="false">MAX(G126-E126,0)</f>
        <v>0</v>
      </c>
      <c r="L126" s="5" t="n">
        <f aca="false">MAX(H126-F126,0)</f>
        <v>4.57142857142857</v>
      </c>
      <c r="M126" s="5" t="str">
        <f aca="false">IF(AND(I126&gt;TransferMin,L126&gt;0),"OAK→HP",IF(AND(J126&gt;TransferMin,K126&gt;0),"HP→OAK","None"))</f>
        <v>OAK→HP</v>
      </c>
      <c r="N126" s="5" t="n">
        <f aca="false">IF(M126="OAK→HP",MIN(I126,L126),IF(M126="HP→OAK",MIN(J126,K126),0))</f>
        <v>4.57142857142857</v>
      </c>
      <c r="O126" s="5" t="n">
        <f aca="false">MAX(K126-IF(M126="HP→OAK",N126,0),0)</f>
        <v>0</v>
      </c>
      <c r="P126" s="5" t="n">
        <f aca="false">MAX(L126-IF(M126="OAK→HP",N126,0),0)</f>
        <v>0</v>
      </c>
      <c r="Q126" s="5" t="n">
        <f aca="false">IF(O126&gt;0,CEILING(O126,ITEM_MASTER_CLEAN!G126),0)</f>
        <v>0</v>
      </c>
      <c r="R126" s="5" t="n">
        <f aca="false">IF(P126&gt;0,CEILING(P126,ITEM_MASTER_CLEAN!G126),0)</f>
        <v>0</v>
      </c>
      <c r="S126" s="5" t="n">
        <f aca="false">IF(G126=0,0,(1-MIN(E126/MAX(G126,1),1))*50+(1-MIN(F126/MAX(H126,1),1))*50)</f>
        <v>41.025641025641</v>
      </c>
    </row>
    <row r="127" customFormat="false" ht="15" hidden="false" customHeight="false" outlineLevel="0" collapsed="false">
      <c r="A127" s="5" t="n">
        <f aca="false">ITEM_MASTER_CLEAN!A127</f>
        <v>126</v>
      </c>
      <c r="B127" s="5" t="n">
        <f aca="false">ITEM_MASTER_CLEAN!B127</f>
        <v>24761</v>
      </c>
      <c r="C127" s="5" t="str">
        <f aca="false">ITEM_MASTER_CLEAN!C127</f>
        <v>MTY DIP ORANGE SORBET 6X1K</v>
      </c>
      <c r="D127" s="12" t="n">
        <f aca="false">ITEM_MASTER_CLEAN!F127</f>
        <v>45.12</v>
      </c>
      <c r="E127" s="5" t="n">
        <f aca="false">ITEM_MASTER_CLEAN!H127</f>
        <v>21</v>
      </c>
      <c r="F127" s="5" t="n">
        <f aca="false">ITEM_MASTER_CLEAN!I127</f>
        <v>2</v>
      </c>
      <c r="G127" s="5" t="n">
        <f aca="false">PAR_LEVELS!J127</f>
        <v>11.1428571428571</v>
      </c>
      <c r="H127" s="5" t="n">
        <f aca="false">PAR_LEVELS!K127</f>
        <v>11.1428571428571</v>
      </c>
      <c r="I127" s="5" t="n">
        <f aca="false">MAX(E127-G127,0)</f>
        <v>9.85714285714286</v>
      </c>
      <c r="J127" s="5" t="n">
        <f aca="false">MAX(F127-H127,0)</f>
        <v>0</v>
      </c>
      <c r="K127" s="5" t="n">
        <f aca="false">MAX(G127-E127,0)</f>
        <v>0</v>
      </c>
      <c r="L127" s="5" t="n">
        <f aca="false">MAX(H127-F127,0)</f>
        <v>9.14285714285714</v>
      </c>
      <c r="M127" s="5" t="str">
        <f aca="false">IF(AND(I127&gt;TransferMin,L127&gt;0),"OAK→HP",IF(AND(J127&gt;TransferMin,K127&gt;0),"HP→OAK","None"))</f>
        <v>OAK→HP</v>
      </c>
      <c r="N127" s="5" t="n">
        <f aca="false">IF(M127="OAK→HP",MIN(I127,L127),IF(M127="HP→OAK",MIN(J127,K127),0))</f>
        <v>9.14285714285714</v>
      </c>
      <c r="O127" s="5" t="n">
        <f aca="false">MAX(K127-IF(M127="HP→OAK",N127,0),0)</f>
        <v>0</v>
      </c>
      <c r="P127" s="5" t="n">
        <f aca="false">MAX(L127-IF(M127="OAK→HP",N127,0),0)</f>
        <v>0</v>
      </c>
      <c r="Q127" s="5" t="n">
        <f aca="false">IF(O127&gt;0,CEILING(O127,ITEM_MASTER_CLEAN!G127),0)</f>
        <v>0</v>
      </c>
      <c r="R127" s="5" t="n">
        <f aca="false">IF(P127&gt;0,CEILING(P127,ITEM_MASTER_CLEAN!G127),0)</f>
        <v>0</v>
      </c>
      <c r="S127" s="5" t="n">
        <f aca="false">IF(G127=0,0,(1-MIN(E127/MAX(G127,1),1))*50+(1-MIN(F127/MAX(H127,1),1))*50)</f>
        <v>41.025641025641</v>
      </c>
    </row>
    <row r="128" customFormat="false" ht="15" hidden="false" customHeight="false" outlineLevel="0" collapsed="false">
      <c r="A128" s="5" t="n">
        <f aca="false">ITEM_MASTER_CLEAN!A128</f>
        <v>127</v>
      </c>
      <c r="B128" s="5" t="n">
        <f aca="false">ITEM_MASTER_CLEAN!B128</f>
        <v>24822</v>
      </c>
      <c r="C128" s="5" t="str">
        <f aca="false">ITEM_MASTER_CLEAN!C128</f>
        <v>MTY DIP OREO 6X1K</v>
      </c>
      <c r="D128" s="12" t="n">
        <f aca="false">ITEM_MASTER_CLEAN!F128</f>
        <v>45.02</v>
      </c>
      <c r="E128" s="5" t="n">
        <f aca="false">ITEM_MASTER_CLEAN!H128</f>
        <v>5</v>
      </c>
      <c r="F128" s="5" t="n">
        <f aca="false">ITEM_MASTER_CLEAN!I128</f>
        <v>1</v>
      </c>
      <c r="G128" s="5" t="n">
        <f aca="false">PAR_LEVELS!J128</f>
        <v>13</v>
      </c>
      <c r="H128" s="5" t="n">
        <f aca="false">PAR_LEVELS!K128</f>
        <v>5.57142857142857</v>
      </c>
      <c r="I128" s="5" t="n">
        <f aca="false">MAX(E128-G128,0)</f>
        <v>0</v>
      </c>
      <c r="J128" s="5" t="n">
        <f aca="false">MAX(F128-H128,0)</f>
        <v>0</v>
      </c>
      <c r="K128" s="5" t="n">
        <f aca="false">MAX(G128-E128,0)</f>
        <v>8</v>
      </c>
      <c r="L128" s="5" t="n">
        <f aca="false">MAX(H128-F128,0)</f>
        <v>4.57142857142857</v>
      </c>
      <c r="M128" s="5" t="str">
        <f aca="false">IF(AND(I128&gt;TransferMin,L128&gt;0),"OAK→HP",IF(AND(J128&gt;TransferMin,K128&gt;0),"HP→OAK","None"))</f>
        <v>None</v>
      </c>
      <c r="N128" s="5" t="n">
        <f aca="false">IF(M128="OAK→HP",MIN(I128,L128),IF(M128="HP→OAK",MIN(J128,K128),0))</f>
        <v>0</v>
      </c>
      <c r="O128" s="5" t="n">
        <f aca="false">MAX(K128-IF(M128="HP→OAK",N128,0),0)</f>
        <v>8</v>
      </c>
      <c r="P128" s="5" t="n">
        <f aca="false">MAX(L128-IF(M128="OAK→HP",N128,0),0)</f>
        <v>4.57142857142857</v>
      </c>
      <c r="Q128" s="5" t="n">
        <f aca="false">IF(O128&gt;0,CEILING(O128,ITEM_MASTER_CLEAN!G128),0)</f>
        <v>12</v>
      </c>
      <c r="R128" s="5" t="n">
        <f aca="false">IF(P128&gt;0,CEILING(P128,ITEM_MASTER_CLEAN!G128),0)</f>
        <v>6</v>
      </c>
      <c r="S128" s="5" t="n">
        <f aca="false">IF(G128=0,0,(1-MIN(E128/MAX(G128,1),1))*50+(1-MIN(F128/MAX(H128,1),1))*50)</f>
        <v>71.7948717948718</v>
      </c>
    </row>
    <row r="129" customFormat="false" ht="15" hidden="false" customHeight="false" outlineLevel="0" collapsed="false">
      <c r="A129" s="5" t="n">
        <f aca="false">ITEM_MASTER_CLEAN!A129</f>
        <v>128</v>
      </c>
      <c r="B129" s="5" t="n">
        <f aca="false">ITEM_MASTER_CLEAN!B129</f>
        <v>19648</v>
      </c>
      <c r="C129" s="5" t="str">
        <f aca="false">ITEM_MASTER_CLEAN!C129</f>
        <v>MTY DIP COOKIE DOUGH 6X1K</v>
      </c>
      <c r="D129" s="12" t="n">
        <f aca="false">ITEM_MASTER_CLEAN!F129</f>
        <v>45.3</v>
      </c>
      <c r="E129" s="5" t="n">
        <f aca="false">ITEM_MASTER_CLEAN!H129</f>
        <v>1</v>
      </c>
      <c r="F129" s="5" t="n">
        <f aca="false">ITEM_MASTER_CLEAN!I129</f>
        <v>3</v>
      </c>
      <c r="G129" s="5" t="n">
        <f aca="false">PAR_LEVELS!J129</f>
        <v>9.28571428571429</v>
      </c>
      <c r="H129" s="5" t="n">
        <f aca="false">PAR_LEVELS!K129</f>
        <v>9.28571428571429</v>
      </c>
      <c r="I129" s="5" t="n">
        <f aca="false">MAX(E129-G129,0)</f>
        <v>0</v>
      </c>
      <c r="J129" s="5" t="n">
        <f aca="false">MAX(F129-H129,0)</f>
        <v>0</v>
      </c>
      <c r="K129" s="5" t="n">
        <f aca="false">MAX(G129-E129,0)</f>
        <v>8.28571428571429</v>
      </c>
      <c r="L129" s="5" t="n">
        <f aca="false">MAX(H129-F129,0)</f>
        <v>6.28571428571429</v>
      </c>
      <c r="M129" s="5" t="str">
        <f aca="false">IF(AND(I129&gt;TransferMin,L129&gt;0),"OAK→HP",IF(AND(J129&gt;TransferMin,K129&gt;0),"HP→OAK","None"))</f>
        <v>None</v>
      </c>
      <c r="N129" s="5" t="n">
        <f aca="false">IF(M129="OAK→HP",MIN(I129,L129),IF(M129="HP→OAK",MIN(J129,K129),0))</f>
        <v>0</v>
      </c>
      <c r="O129" s="5" t="n">
        <f aca="false">MAX(K129-IF(M129="HP→OAK",N129,0),0)</f>
        <v>8.28571428571429</v>
      </c>
      <c r="P129" s="5" t="n">
        <f aca="false">MAX(L129-IF(M129="OAK→HP",N129,0),0)</f>
        <v>6.28571428571429</v>
      </c>
      <c r="Q129" s="5" t="n">
        <f aca="false">IF(O129&gt;0,CEILING(O129,ITEM_MASTER_CLEAN!G129),0)</f>
        <v>12</v>
      </c>
      <c r="R129" s="5" t="n">
        <f aca="false">IF(P129&gt;0,CEILING(P129,ITEM_MASTER_CLEAN!G129),0)</f>
        <v>12</v>
      </c>
      <c r="S129" s="5" t="n">
        <f aca="false">IF(G129=0,0,(1-MIN(E129/MAX(G129,1),1))*50+(1-MIN(F129/MAX(H129,1),1))*50)</f>
        <v>78.4615384615385</v>
      </c>
    </row>
    <row r="130" customFormat="false" ht="15" hidden="false" customHeight="false" outlineLevel="0" collapsed="false">
      <c r="A130" s="5" t="n">
        <f aca="false">ITEM_MASTER_CLEAN!A130</f>
        <v>129</v>
      </c>
      <c r="B130" s="5" t="n">
        <f aca="false">ITEM_MASTER_CLEAN!B130</f>
        <v>24762</v>
      </c>
      <c r="C130" s="5" t="str">
        <f aca="false">ITEM_MASTER_CLEAN!C130</f>
        <v>MTY DIP PISTACHIO 6X1K</v>
      </c>
      <c r="D130" s="12" t="n">
        <f aca="false">ITEM_MASTER_CLEAN!F130</f>
        <v>38.91</v>
      </c>
      <c r="E130" s="5" t="n">
        <f aca="false">ITEM_MASTER_CLEAN!H130</f>
        <v>8</v>
      </c>
      <c r="F130" s="5" t="n">
        <f aca="false">ITEM_MASTER_CLEAN!I130</f>
        <v>0</v>
      </c>
      <c r="G130" s="5" t="n">
        <f aca="false">PAR_LEVELS!J130</f>
        <v>5.57142857142857</v>
      </c>
      <c r="H130" s="5" t="n">
        <f aca="false">PAR_LEVELS!K130</f>
        <v>3.71428571428571</v>
      </c>
      <c r="I130" s="5" t="n">
        <f aca="false">MAX(E130-G130,0)</f>
        <v>2.42857142857143</v>
      </c>
      <c r="J130" s="5" t="n">
        <f aca="false">MAX(F130-H130,0)</f>
        <v>0</v>
      </c>
      <c r="K130" s="5" t="n">
        <f aca="false">MAX(G130-E130,0)</f>
        <v>0</v>
      </c>
      <c r="L130" s="5" t="n">
        <f aca="false">MAX(H130-F130,0)</f>
        <v>3.71428571428571</v>
      </c>
      <c r="M130" s="5" t="str">
        <f aca="false">IF(AND(I130&gt;TransferMin,L130&gt;0),"OAK→HP",IF(AND(J130&gt;TransferMin,K130&gt;0),"HP→OAK","None"))</f>
        <v>None</v>
      </c>
      <c r="N130" s="5" t="n">
        <f aca="false">IF(M130="OAK→HP",MIN(I130,L130),IF(M130="HP→OAK",MIN(J130,K130),0))</f>
        <v>0</v>
      </c>
      <c r="O130" s="5" t="n">
        <f aca="false">MAX(K130-IF(M130="HP→OAK",N130,0),0)</f>
        <v>0</v>
      </c>
      <c r="P130" s="5" t="n">
        <f aca="false">MAX(L130-IF(M130="OAK→HP",N130,0),0)</f>
        <v>3.71428571428571</v>
      </c>
      <c r="Q130" s="5" t="n">
        <f aca="false">IF(O130&gt;0,CEILING(O130,ITEM_MASTER_CLEAN!G130),0)</f>
        <v>0</v>
      </c>
      <c r="R130" s="5" t="n">
        <f aca="false">IF(P130&gt;0,CEILING(P130,ITEM_MASTER_CLEAN!G130),0)</f>
        <v>6</v>
      </c>
      <c r="S130" s="5" t="n">
        <f aca="false">IF(G130=0,0,(1-MIN(E130/MAX(G130,1),1))*50+(1-MIN(F130/MAX(H130,1),1))*50)</f>
        <v>50</v>
      </c>
    </row>
    <row r="131" customFormat="false" ht="15" hidden="false" customHeight="false" outlineLevel="0" collapsed="false">
      <c r="A131" s="5" t="n">
        <f aca="false">ITEM_MASTER_CLEAN!A131</f>
        <v>130</v>
      </c>
      <c r="B131" s="5" t="n">
        <f aca="false">ITEM_MASTER_CLEAN!B131</f>
        <v>19649</v>
      </c>
      <c r="C131" s="5" t="str">
        <f aca="false">ITEM_MASTER_CLEAN!C131</f>
        <v>MTY DIP PRALINE/HAZLENUT 6X1K</v>
      </c>
      <c r="D131" s="12" t="n">
        <f aca="false">ITEM_MASTER_CLEAN!F131</f>
        <v>43.62</v>
      </c>
      <c r="E131" s="5" t="n">
        <f aca="false">ITEM_MASTER_CLEAN!H131</f>
        <v>5</v>
      </c>
      <c r="F131" s="5" t="n">
        <f aca="false">ITEM_MASTER_CLEAN!I131</f>
        <v>1</v>
      </c>
      <c r="G131" s="5" t="n">
        <f aca="false">PAR_LEVELS!J131</f>
        <v>14.8571428571429</v>
      </c>
      <c r="H131" s="5" t="n">
        <f aca="false">PAR_LEVELS!K131</f>
        <v>3.71428571428571</v>
      </c>
      <c r="I131" s="5" t="n">
        <f aca="false">MAX(E131-G131,0)</f>
        <v>0</v>
      </c>
      <c r="J131" s="5" t="n">
        <f aca="false">MAX(F131-H131,0)</f>
        <v>0</v>
      </c>
      <c r="K131" s="5" t="n">
        <f aca="false">MAX(G131-E131,0)</f>
        <v>9.85714285714286</v>
      </c>
      <c r="L131" s="5" t="n">
        <f aca="false">MAX(H131-F131,0)</f>
        <v>2.71428571428571</v>
      </c>
      <c r="M131" s="5" t="str">
        <f aca="false">IF(AND(I131&gt;TransferMin,L131&gt;0),"OAK→HP",IF(AND(J131&gt;TransferMin,K131&gt;0),"HP→OAK","None"))</f>
        <v>None</v>
      </c>
      <c r="N131" s="5" t="n">
        <f aca="false">IF(M131="OAK→HP",MIN(I131,L131),IF(M131="HP→OAK",MIN(J131,K131),0))</f>
        <v>0</v>
      </c>
      <c r="O131" s="5" t="n">
        <f aca="false">MAX(K131-IF(M131="HP→OAK",N131,0),0)</f>
        <v>9.85714285714286</v>
      </c>
      <c r="P131" s="5" t="n">
        <f aca="false">MAX(L131-IF(M131="OAK→HP",N131,0),0)</f>
        <v>2.71428571428571</v>
      </c>
      <c r="Q131" s="5" t="n">
        <f aca="false">IF(O131&gt;0,CEILING(O131,ITEM_MASTER_CLEAN!G131),0)</f>
        <v>12</v>
      </c>
      <c r="R131" s="5" t="n">
        <f aca="false">IF(P131&gt;0,CEILING(P131,ITEM_MASTER_CLEAN!G131),0)</f>
        <v>6</v>
      </c>
      <c r="S131" s="5" t="n">
        <f aca="false">IF(G131=0,0,(1-MIN(E131/MAX(G131,1),1))*50+(1-MIN(F131/MAX(H131,1),1))*50)</f>
        <v>69.7115384615385</v>
      </c>
    </row>
    <row r="132" customFormat="false" ht="15" hidden="false" customHeight="false" outlineLevel="0" collapsed="false">
      <c r="A132" s="5" t="n">
        <f aca="false">ITEM_MASTER_CLEAN!A132</f>
        <v>131</v>
      </c>
      <c r="B132" s="5" t="n">
        <f aca="false">ITEM_MASTER_CLEAN!B132</f>
        <v>19594</v>
      </c>
      <c r="C132" s="5" t="str">
        <f aca="false">ITEM_MASTER_CLEAN!C132</f>
        <v>MTY DIP RED VELVET 6X1K</v>
      </c>
      <c r="D132" s="12" t="n">
        <f aca="false">ITEM_MASTER_CLEAN!F132</f>
        <v>38.51</v>
      </c>
      <c r="E132" s="5" t="n">
        <f aca="false">ITEM_MASTER_CLEAN!H132</f>
        <v>16</v>
      </c>
      <c r="F132" s="5" t="n">
        <f aca="false">ITEM_MASTER_CLEAN!I132</f>
        <v>2</v>
      </c>
      <c r="G132" s="5" t="n">
        <f aca="false">PAR_LEVELS!J132</f>
        <v>9.28571428571429</v>
      </c>
      <c r="H132" s="5" t="n">
        <f aca="false">PAR_LEVELS!K132</f>
        <v>11.1428571428571</v>
      </c>
      <c r="I132" s="5" t="n">
        <f aca="false">MAX(E132-G132,0)</f>
        <v>6.71428571428571</v>
      </c>
      <c r="J132" s="5" t="n">
        <f aca="false">MAX(F132-H132,0)</f>
        <v>0</v>
      </c>
      <c r="K132" s="5" t="n">
        <f aca="false">MAX(G132-E132,0)</f>
        <v>0</v>
      </c>
      <c r="L132" s="5" t="n">
        <f aca="false">MAX(H132-F132,0)</f>
        <v>9.14285714285714</v>
      </c>
      <c r="M132" s="5" t="str">
        <f aca="false">IF(AND(I132&gt;TransferMin,L132&gt;0),"OAK→HP",IF(AND(J132&gt;TransferMin,K132&gt;0),"HP→OAK","None"))</f>
        <v>OAK→HP</v>
      </c>
      <c r="N132" s="5" t="n">
        <f aca="false">IF(M132="OAK→HP",MIN(I132,L132),IF(M132="HP→OAK",MIN(J132,K132),0))</f>
        <v>6.71428571428571</v>
      </c>
      <c r="O132" s="5" t="n">
        <f aca="false">MAX(K132-IF(M132="HP→OAK",N132,0),0)</f>
        <v>0</v>
      </c>
      <c r="P132" s="5" t="n">
        <f aca="false">MAX(L132-IF(M132="OAK→HP",N132,0),0)</f>
        <v>2.42857142857143</v>
      </c>
      <c r="Q132" s="5" t="n">
        <f aca="false">IF(O132&gt;0,CEILING(O132,ITEM_MASTER_CLEAN!G132),0)</f>
        <v>0</v>
      </c>
      <c r="R132" s="5" t="n">
        <f aca="false">IF(P132&gt;0,CEILING(P132,ITEM_MASTER_CLEAN!G132),0)</f>
        <v>6</v>
      </c>
      <c r="S132" s="5" t="n">
        <f aca="false">IF(G132=0,0,(1-MIN(E132/MAX(G132,1),1))*50+(1-MIN(F132/MAX(H132,1),1))*50)</f>
        <v>41.025641025641</v>
      </c>
    </row>
    <row r="133" customFormat="false" ht="15" hidden="false" customHeight="false" outlineLevel="0" collapsed="false">
      <c r="A133" s="5" t="n">
        <f aca="false">ITEM_MASTER_CLEAN!A133</f>
        <v>132</v>
      </c>
      <c r="B133" s="5" t="n">
        <f aca="false">ITEM_MASTER_CLEAN!B133</f>
        <v>24434</v>
      </c>
      <c r="C133" s="5" t="str">
        <f aca="false">ITEM_MASTER_CLEAN!C133</f>
        <v>MTY DIP SMORES 6X1K</v>
      </c>
      <c r="D133" s="12" t="n">
        <f aca="false">ITEM_MASTER_CLEAN!F133</f>
        <v>41.5</v>
      </c>
      <c r="E133" s="5" t="n">
        <f aca="false">ITEM_MASTER_CLEAN!H133</f>
        <v>10</v>
      </c>
      <c r="F133" s="5" t="n">
        <f aca="false">ITEM_MASTER_CLEAN!I133</f>
        <v>6</v>
      </c>
      <c r="G133" s="5" t="n">
        <f aca="false">PAR_LEVELS!J133</f>
        <v>13</v>
      </c>
      <c r="H133" s="5" t="n">
        <f aca="false">PAR_LEVELS!K133</f>
        <v>7.42857142857143</v>
      </c>
      <c r="I133" s="5" t="n">
        <f aca="false">MAX(E133-G133,0)</f>
        <v>0</v>
      </c>
      <c r="J133" s="5" t="n">
        <f aca="false">MAX(F133-H133,0)</f>
        <v>0</v>
      </c>
      <c r="K133" s="5" t="n">
        <f aca="false">MAX(G133-E133,0)</f>
        <v>3</v>
      </c>
      <c r="L133" s="5" t="n">
        <f aca="false">MAX(H133-F133,0)</f>
        <v>1.42857142857143</v>
      </c>
      <c r="M133" s="5" t="str">
        <f aca="false">IF(AND(I133&gt;TransferMin,L133&gt;0),"OAK→HP",IF(AND(J133&gt;TransferMin,K133&gt;0),"HP→OAK","None"))</f>
        <v>None</v>
      </c>
      <c r="N133" s="5" t="n">
        <f aca="false">IF(M133="OAK→HP",MIN(I133,L133),IF(M133="HP→OAK",MIN(J133,K133),0))</f>
        <v>0</v>
      </c>
      <c r="O133" s="5" t="n">
        <f aca="false">MAX(K133-IF(M133="HP→OAK",N133,0),0)</f>
        <v>3</v>
      </c>
      <c r="P133" s="5" t="n">
        <f aca="false">MAX(L133-IF(M133="OAK→HP",N133,0),0)</f>
        <v>1.42857142857143</v>
      </c>
      <c r="Q133" s="5" t="n">
        <f aca="false">IF(O133&gt;0,CEILING(O133,ITEM_MASTER_CLEAN!G133),0)</f>
        <v>6</v>
      </c>
      <c r="R133" s="5" t="n">
        <f aca="false">IF(P133&gt;0,CEILING(P133,ITEM_MASTER_CLEAN!G133),0)</f>
        <v>6</v>
      </c>
      <c r="S133" s="5" t="n">
        <f aca="false">IF(G133=0,0,(1-MIN(E133/MAX(G133,1),1))*50+(1-MIN(F133/MAX(H133,1),1))*50)</f>
        <v>21.1538461538462</v>
      </c>
    </row>
    <row r="134" customFormat="false" ht="15" hidden="false" customHeight="false" outlineLevel="0" collapsed="false">
      <c r="A134" s="5" t="n">
        <f aca="false">ITEM_MASTER_CLEAN!A134</f>
        <v>133</v>
      </c>
      <c r="B134" s="5" t="n">
        <f aca="false">ITEM_MASTER_CLEAN!B134</f>
        <v>19651</v>
      </c>
      <c r="C134" s="5" t="str">
        <f aca="false">ITEM_MASTER_CLEAN!C134</f>
        <v>MTY DIP BUENO 6X1K</v>
      </c>
      <c r="D134" s="12" t="n">
        <f aca="false">ITEM_MASTER_CLEAN!F134</f>
        <v>45.67</v>
      </c>
      <c r="E134" s="5" t="n">
        <f aca="false">ITEM_MASTER_CLEAN!H134</f>
        <v>28</v>
      </c>
      <c r="F134" s="5" t="n">
        <f aca="false">ITEM_MASTER_CLEAN!I134</f>
        <v>25</v>
      </c>
      <c r="G134" s="5" t="n">
        <f aca="false">PAR_LEVELS!J134</f>
        <v>13</v>
      </c>
      <c r="H134" s="5" t="n">
        <f aca="false">PAR_LEVELS!K134</f>
        <v>11.1428571428571</v>
      </c>
      <c r="I134" s="5" t="n">
        <f aca="false">MAX(E134-G134,0)</f>
        <v>15</v>
      </c>
      <c r="J134" s="5" t="n">
        <f aca="false">MAX(F134-H134,0)</f>
        <v>13.8571428571429</v>
      </c>
      <c r="K134" s="5" t="n">
        <f aca="false">MAX(G134-E134,0)</f>
        <v>0</v>
      </c>
      <c r="L134" s="5" t="n">
        <f aca="false">MAX(H134-F134,0)</f>
        <v>0</v>
      </c>
      <c r="M134" s="5" t="str">
        <f aca="false">IF(AND(I134&gt;TransferMin,L134&gt;0),"OAK→HP",IF(AND(J134&gt;TransferMin,K134&gt;0),"HP→OAK","None"))</f>
        <v>None</v>
      </c>
      <c r="N134" s="5" t="n">
        <f aca="false">IF(M134="OAK→HP",MIN(I134,L134),IF(M134="HP→OAK",MIN(J134,K134),0))</f>
        <v>0</v>
      </c>
      <c r="O134" s="5" t="n">
        <f aca="false">MAX(K134-IF(M134="HP→OAK",N134,0),0)</f>
        <v>0</v>
      </c>
      <c r="P134" s="5" t="n">
        <f aca="false">MAX(L134-IF(M134="OAK→HP",N134,0),0)</f>
        <v>0</v>
      </c>
      <c r="Q134" s="5" t="n">
        <f aca="false">IF(O134&gt;0,CEILING(O134,ITEM_MASTER_CLEAN!G134),0)</f>
        <v>0</v>
      </c>
      <c r="R134" s="5" t="n">
        <f aca="false">IF(P134&gt;0,CEILING(P134,ITEM_MASTER_CLEAN!G134),0)</f>
        <v>0</v>
      </c>
      <c r="S134" s="5" t="n">
        <f aca="false">IF(G134=0,0,(1-MIN(E134/MAX(G134,1),1))*50+(1-MIN(F134/MAX(H134,1),1))*50)</f>
        <v>0</v>
      </c>
    </row>
    <row r="135" customFormat="false" ht="15" hidden="false" customHeight="false" outlineLevel="0" collapsed="false">
      <c r="A135" s="5" t="n">
        <f aca="false">ITEM_MASTER_CLEAN!A135</f>
        <v>134</v>
      </c>
      <c r="B135" s="5" t="n">
        <f aca="false">ITEM_MASTER_CLEAN!B135</f>
        <v>19652</v>
      </c>
      <c r="C135" s="5" t="str">
        <f aca="false">ITEM_MASTER_CLEAN!C135</f>
        <v>MTY DIP LOTUS BISCOFF 6X1K</v>
      </c>
      <c r="D135" s="12" t="n">
        <f aca="false">ITEM_MASTER_CLEAN!F135</f>
        <v>38.29</v>
      </c>
      <c r="E135" s="5" t="n">
        <f aca="false">ITEM_MASTER_CLEAN!H135</f>
        <v>17</v>
      </c>
      <c r="F135" s="5" t="n">
        <f aca="false">ITEM_MASTER_CLEAN!I135</f>
        <v>0</v>
      </c>
      <c r="G135" s="5" t="n">
        <f aca="false">PAR_LEVELS!J135</f>
        <v>9.28571428571429</v>
      </c>
      <c r="H135" s="5" t="n">
        <f aca="false">PAR_LEVELS!K135</f>
        <v>7.42857142857143</v>
      </c>
      <c r="I135" s="5" t="n">
        <f aca="false">MAX(E135-G135,0)</f>
        <v>7.71428571428571</v>
      </c>
      <c r="J135" s="5" t="n">
        <f aca="false">MAX(F135-H135,0)</f>
        <v>0</v>
      </c>
      <c r="K135" s="5" t="n">
        <f aca="false">MAX(G135-E135,0)</f>
        <v>0</v>
      </c>
      <c r="L135" s="5" t="n">
        <f aca="false">MAX(H135-F135,0)</f>
        <v>7.42857142857143</v>
      </c>
      <c r="M135" s="5" t="str">
        <f aca="false">IF(AND(I135&gt;TransferMin,L135&gt;0),"OAK→HP",IF(AND(J135&gt;TransferMin,K135&gt;0),"HP→OAK","None"))</f>
        <v>OAK→HP</v>
      </c>
      <c r="N135" s="5" t="n">
        <f aca="false">IF(M135="OAK→HP",MIN(I135,L135),IF(M135="HP→OAK",MIN(J135,K135),0))</f>
        <v>7.42857142857143</v>
      </c>
      <c r="O135" s="5" t="n">
        <f aca="false">MAX(K135-IF(M135="HP→OAK",N135,0),0)</f>
        <v>0</v>
      </c>
      <c r="P135" s="5" t="n">
        <f aca="false">MAX(L135-IF(M135="OAK→HP",N135,0),0)</f>
        <v>0</v>
      </c>
      <c r="Q135" s="5" t="n">
        <f aca="false">IF(O135&gt;0,CEILING(O135,ITEM_MASTER_CLEAN!G135),0)</f>
        <v>0</v>
      </c>
      <c r="R135" s="5" t="n">
        <f aca="false">IF(P135&gt;0,CEILING(P135,ITEM_MASTER_CLEAN!G135),0)</f>
        <v>0</v>
      </c>
      <c r="S135" s="5" t="n">
        <f aca="false">IF(G135=0,0,(1-MIN(E135/MAX(G135,1),1))*50+(1-MIN(F135/MAX(H135,1),1))*50)</f>
        <v>50</v>
      </c>
    </row>
    <row r="136" customFormat="false" ht="15" hidden="false" customHeight="false" outlineLevel="0" collapsed="false">
      <c r="A136" s="5" t="n">
        <f aca="false">ITEM_MASTER_CLEAN!A136</f>
        <v>135</v>
      </c>
      <c r="B136" s="5" t="n">
        <f aca="false">ITEM_MASTER_CLEAN!B136</f>
        <v>24775</v>
      </c>
      <c r="C136" s="5" t="str">
        <f aca="false">ITEM_MASTER_CLEAN!C136</f>
        <v>MTY LIQUIFIANT 6X700G</v>
      </c>
      <c r="D136" s="12" t="n">
        <f aca="false">ITEM_MASTER_CLEAN!F136</f>
        <v>46.82</v>
      </c>
      <c r="E136" s="5" t="n">
        <f aca="false">ITEM_MASTER_CLEAN!H136</f>
        <v>6</v>
      </c>
      <c r="F136" s="5" t="n">
        <f aca="false">ITEM_MASTER_CLEAN!I136</f>
        <v>4</v>
      </c>
      <c r="G136" s="5" t="n">
        <f aca="false">PAR_LEVELS!J136</f>
        <v>7.42857142857143</v>
      </c>
      <c r="H136" s="5" t="n">
        <f aca="false">PAR_LEVELS!K136</f>
        <v>5.57142857142857</v>
      </c>
      <c r="I136" s="5" t="n">
        <f aca="false">MAX(E136-G136,0)</f>
        <v>0</v>
      </c>
      <c r="J136" s="5" t="n">
        <f aca="false">MAX(F136-H136,0)</f>
        <v>0</v>
      </c>
      <c r="K136" s="5" t="n">
        <f aca="false">MAX(G136-E136,0)</f>
        <v>1.42857142857143</v>
      </c>
      <c r="L136" s="5" t="n">
        <f aca="false">MAX(H136-F136,0)</f>
        <v>1.57142857142857</v>
      </c>
      <c r="M136" s="5" t="str">
        <f aca="false">IF(AND(I136&gt;TransferMin,L136&gt;0),"OAK→HP",IF(AND(J136&gt;TransferMin,K136&gt;0),"HP→OAK","None"))</f>
        <v>None</v>
      </c>
      <c r="N136" s="5" t="n">
        <f aca="false">IF(M136="OAK→HP",MIN(I136,L136),IF(M136="HP→OAK",MIN(J136,K136),0))</f>
        <v>0</v>
      </c>
      <c r="O136" s="5" t="n">
        <f aca="false">MAX(K136-IF(M136="HP→OAK",N136,0),0)</f>
        <v>1.42857142857143</v>
      </c>
      <c r="P136" s="5" t="n">
        <f aca="false">MAX(L136-IF(M136="OAK→HP",N136,0),0)</f>
        <v>1.57142857142857</v>
      </c>
      <c r="Q136" s="5" t="n">
        <f aca="false">IF(O136&gt;0,CEILING(O136,ITEM_MASTER_CLEAN!G136),0)</f>
        <v>6</v>
      </c>
      <c r="R136" s="5" t="n">
        <f aca="false">IF(P136&gt;0,CEILING(P136,ITEM_MASTER_CLEAN!G136),0)</f>
        <v>6</v>
      </c>
      <c r="S136" s="5" t="n">
        <f aca="false">IF(G136=0,0,(1-MIN(E136/MAX(G136,1),1))*50+(1-MIN(F136/MAX(H136,1),1))*50)</f>
        <v>23.7179487179487</v>
      </c>
    </row>
    <row r="137" customFormat="false" ht="15" hidden="false" customHeight="false" outlineLevel="0" collapsed="false">
      <c r="A137" s="5" t="n">
        <f aca="false">ITEM_MASTER_CLEAN!A137</f>
        <v>136</v>
      </c>
      <c r="B137" s="5" t="n">
        <f aca="false">ITEM_MASTER_CLEAN!B137</f>
        <v>50346</v>
      </c>
      <c r="C137" s="5" t="str">
        <f aca="false">ITEM_MASTER_CLEAN!C137</f>
        <v>MTY CONE SOFT #55 SML 920</v>
      </c>
      <c r="D137" s="12" t="n">
        <f aca="false">ITEM_MASTER_CLEAN!F137</f>
        <v>38.97</v>
      </c>
      <c r="E137" s="5" t="n">
        <f aca="false">ITEM_MASTER_CLEAN!H137</f>
        <v>16</v>
      </c>
      <c r="F137" s="5" t="n">
        <f aca="false">ITEM_MASTER_CLEAN!I137</f>
        <v>0</v>
      </c>
      <c r="G137" s="5" t="n">
        <f aca="false">PAR_LEVELS!J137</f>
        <v>9.28571428571429</v>
      </c>
      <c r="H137" s="5" t="n">
        <f aca="false">PAR_LEVELS!K137</f>
        <v>5.57142857142857</v>
      </c>
      <c r="I137" s="5" t="n">
        <f aca="false">MAX(E137-G137,0)</f>
        <v>6.71428571428571</v>
      </c>
      <c r="J137" s="5" t="n">
        <f aca="false">MAX(F137-H137,0)</f>
        <v>0</v>
      </c>
      <c r="K137" s="5" t="n">
        <f aca="false">MAX(G137-E137,0)</f>
        <v>0</v>
      </c>
      <c r="L137" s="5" t="n">
        <f aca="false">MAX(H137-F137,0)</f>
        <v>5.57142857142857</v>
      </c>
      <c r="M137" s="5" t="str">
        <f aca="false">IF(AND(I137&gt;TransferMin,L137&gt;0),"OAK→HP",IF(AND(J137&gt;TransferMin,K137&gt;0),"HP→OAK","None"))</f>
        <v>OAK→HP</v>
      </c>
      <c r="N137" s="5" t="n">
        <f aca="false">IF(M137="OAK→HP",MIN(I137,L137),IF(M137="HP→OAK",MIN(J137,K137),0))</f>
        <v>5.57142857142857</v>
      </c>
      <c r="O137" s="5" t="n">
        <f aca="false">MAX(K137-IF(M137="HP→OAK",N137,0),0)</f>
        <v>0</v>
      </c>
      <c r="P137" s="5" t="n">
        <f aca="false">MAX(L137-IF(M137="OAK→HP",N137,0),0)</f>
        <v>0</v>
      </c>
      <c r="Q137" s="5" t="n">
        <f aca="false">IF(O137&gt;0,CEILING(O137,ITEM_MASTER_CLEAN!G137),0)</f>
        <v>0</v>
      </c>
      <c r="R137" s="5" t="n">
        <f aca="false">IF(P137&gt;0,CEILING(P137,ITEM_MASTER_CLEAN!G137),0)</f>
        <v>0</v>
      </c>
      <c r="S137" s="5" t="n">
        <f aca="false">IF(G137=0,0,(1-MIN(E137/MAX(G137,1),1))*50+(1-MIN(F137/MAX(H137,1),1))*50)</f>
        <v>50</v>
      </c>
    </row>
    <row r="138" customFormat="false" ht="15" hidden="false" customHeight="false" outlineLevel="0" collapsed="false">
      <c r="A138" s="5" t="n">
        <f aca="false">ITEM_MASTER_CLEAN!A138</f>
        <v>137</v>
      </c>
      <c r="B138" s="5" t="n">
        <f aca="false">ITEM_MASTER_CLEAN!B138</f>
        <v>50335</v>
      </c>
      <c r="C138" s="5" t="str">
        <f aca="false">ITEM_MASTER_CLEAN!C138</f>
        <v>MTY CONE SOFT REG #59 10X100UN</v>
      </c>
      <c r="D138" s="12" t="n">
        <f aca="false">ITEM_MASTER_CLEAN!F138</f>
        <v>34.39</v>
      </c>
      <c r="E138" s="5" t="n">
        <f aca="false">ITEM_MASTER_CLEAN!H138</f>
        <v>35</v>
      </c>
      <c r="F138" s="5" t="n">
        <f aca="false">ITEM_MASTER_CLEAN!I138</f>
        <v>1</v>
      </c>
      <c r="G138" s="5" t="n">
        <f aca="false">PAR_LEVELS!J138</f>
        <v>18.5714285714286</v>
      </c>
      <c r="H138" s="5" t="n">
        <f aca="false">PAR_LEVELS!K138</f>
        <v>9.28571428571429</v>
      </c>
      <c r="I138" s="5" t="n">
        <f aca="false">MAX(E138-G138,0)</f>
        <v>16.4285714285714</v>
      </c>
      <c r="J138" s="5" t="n">
        <f aca="false">MAX(F138-H138,0)</f>
        <v>0</v>
      </c>
      <c r="K138" s="5" t="n">
        <f aca="false">MAX(G138-E138,0)</f>
        <v>0</v>
      </c>
      <c r="L138" s="5" t="n">
        <f aca="false">MAX(H138-F138,0)</f>
        <v>8.28571428571429</v>
      </c>
      <c r="M138" s="5" t="str">
        <f aca="false">IF(AND(I138&gt;TransferMin,L138&gt;0),"OAK→HP",IF(AND(J138&gt;TransferMin,K138&gt;0),"HP→OAK","None"))</f>
        <v>OAK→HP</v>
      </c>
      <c r="N138" s="5" t="n">
        <f aca="false">IF(M138="OAK→HP",MIN(I138,L138),IF(M138="HP→OAK",MIN(J138,K138),0))</f>
        <v>8.28571428571429</v>
      </c>
      <c r="O138" s="5" t="n">
        <f aca="false">MAX(K138-IF(M138="HP→OAK",N138,0),0)</f>
        <v>0</v>
      </c>
      <c r="P138" s="5" t="n">
        <f aca="false">MAX(L138-IF(M138="OAK→HP",N138,0),0)</f>
        <v>0</v>
      </c>
      <c r="Q138" s="5" t="n">
        <f aca="false">IF(O138&gt;0,CEILING(O138,ITEM_MASTER_CLEAN!G138),0)</f>
        <v>0</v>
      </c>
      <c r="R138" s="5" t="n">
        <f aca="false">IF(P138&gt;0,CEILING(P138,ITEM_MASTER_CLEAN!G138),0)</f>
        <v>0</v>
      </c>
      <c r="S138" s="5" t="n">
        <f aca="false">IF(G138=0,0,(1-MIN(E138/MAX(G138,1),1))*50+(1-MIN(F138/MAX(H138,1),1))*50)</f>
        <v>44.6153846153846</v>
      </c>
    </row>
    <row r="139" customFormat="false" ht="15" hidden="false" customHeight="false" outlineLevel="0" collapsed="false">
      <c r="A139" s="5" t="n">
        <f aca="false">ITEM_MASTER_CLEAN!A139</f>
        <v>138</v>
      </c>
      <c r="B139" s="5" t="n">
        <f aca="false">ITEM_MASTER_CLEAN!B139</f>
        <v>34437</v>
      </c>
      <c r="C139" s="5" t="str">
        <f aca="false">ITEM_MASTER_CLEAN!C139</f>
        <v>CONE SUGAR #52 200UN</v>
      </c>
      <c r="D139" s="12" t="n">
        <f aca="false">ITEM_MASTER_CLEAN!F139</f>
        <v>32.23</v>
      </c>
      <c r="E139" s="5" t="n">
        <f aca="false">ITEM_MASTER_CLEAN!H139</f>
        <v>5</v>
      </c>
      <c r="F139" s="5" t="n">
        <f aca="false">ITEM_MASTER_CLEAN!I139</f>
        <v>6</v>
      </c>
      <c r="G139" s="5" t="n">
        <f aca="false">PAR_LEVELS!J139</f>
        <v>9.28571428571429</v>
      </c>
      <c r="H139" s="5" t="n">
        <f aca="false">PAR_LEVELS!K139</f>
        <v>11.1428571428571</v>
      </c>
      <c r="I139" s="5" t="n">
        <f aca="false">MAX(E139-G139,0)</f>
        <v>0</v>
      </c>
      <c r="J139" s="5" t="n">
        <f aca="false">MAX(F139-H139,0)</f>
        <v>0</v>
      </c>
      <c r="K139" s="5" t="n">
        <f aca="false">MAX(G139-E139,0)</f>
        <v>4.28571428571429</v>
      </c>
      <c r="L139" s="5" t="n">
        <f aca="false">MAX(H139-F139,0)</f>
        <v>5.14285714285714</v>
      </c>
      <c r="M139" s="5" t="str">
        <f aca="false">IF(AND(I139&gt;TransferMin,L139&gt;0),"OAK→HP",IF(AND(J139&gt;TransferMin,K139&gt;0),"HP→OAK","None"))</f>
        <v>None</v>
      </c>
      <c r="N139" s="5" t="n">
        <f aca="false">IF(M139="OAK→HP",MIN(I139,L139),IF(M139="HP→OAK",MIN(J139,K139),0))</f>
        <v>0</v>
      </c>
      <c r="O139" s="5" t="n">
        <f aca="false">MAX(K139-IF(M139="HP→OAK",N139,0),0)</f>
        <v>4.28571428571429</v>
      </c>
      <c r="P139" s="5" t="n">
        <f aca="false">MAX(L139-IF(M139="OAK→HP",N139,0),0)</f>
        <v>5.14285714285714</v>
      </c>
      <c r="Q139" s="5" t="n">
        <f aca="false">IF(O139&gt;0,CEILING(O139,ITEM_MASTER_CLEAN!G139),0)</f>
        <v>5</v>
      </c>
      <c r="R139" s="5" t="n">
        <f aca="false">IF(P139&gt;0,CEILING(P139,ITEM_MASTER_CLEAN!G139),0)</f>
        <v>6</v>
      </c>
      <c r="S139" s="5" t="n">
        <f aca="false">IF(G139=0,0,(1-MIN(E139/MAX(G139,1),1))*50+(1-MIN(F139/MAX(H139,1),1))*50)</f>
        <v>46.1538461538462</v>
      </c>
    </row>
    <row r="140" customFormat="false" ht="15" hidden="false" customHeight="false" outlineLevel="0" collapsed="false">
      <c r="A140" s="5" t="n">
        <f aca="false">ITEM_MASTER_CLEAN!A140</f>
        <v>139</v>
      </c>
      <c r="B140" s="5" t="n">
        <f aca="false">ITEM_MASTER_CLEAN!B140</f>
        <v>50332</v>
      </c>
      <c r="C140" s="5" t="str">
        <f aca="false">ITEM_MASTER_CLEAN!C140</f>
        <v>WAFFLE CONE #60 312UN</v>
      </c>
      <c r="D140" s="12" t="n">
        <f aca="false">ITEM_MASTER_CLEAN!F140</f>
        <v>38.63</v>
      </c>
      <c r="E140" s="5" t="n">
        <f aca="false">ITEM_MASTER_CLEAN!H140</f>
        <v>2</v>
      </c>
      <c r="F140" s="5" t="n">
        <f aca="false">ITEM_MASTER_CLEAN!I140</f>
        <v>1</v>
      </c>
      <c r="G140" s="5" t="n">
        <f aca="false">PAR_LEVELS!J140</f>
        <v>11.1428571428571</v>
      </c>
      <c r="H140" s="5" t="n">
        <f aca="false">PAR_LEVELS!K140</f>
        <v>7.42857142857143</v>
      </c>
      <c r="I140" s="5" t="n">
        <f aca="false">MAX(E140-G140,0)</f>
        <v>0</v>
      </c>
      <c r="J140" s="5" t="n">
        <f aca="false">MAX(F140-H140,0)</f>
        <v>0</v>
      </c>
      <c r="K140" s="5" t="n">
        <f aca="false">MAX(G140-E140,0)</f>
        <v>9.14285714285714</v>
      </c>
      <c r="L140" s="5" t="n">
        <f aca="false">MAX(H140-F140,0)</f>
        <v>6.42857142857143</v>
      </c>
      <c r="M140" s="5" t="str">
        <f aca="false">IF(AND(I140&gt;TransferMin,L140&gt;0),"OAK→HP",IF(AND(J140&gt;TransferMin,K140&gt;0),"HP→OAK","None"))</f>
        <v>None</v>
      </c>
      <c r="N140" s="5" t="n">
        <f aca="false">IF(M140="OAK→HP",MIN(I140,L140),IF(M140="HP→OAK",MIN(J140,K140),0))</f>
        <v>0</v>
      </c>
      <c r="O140" s="5" t="n">
        <f aca="false">MAX(K140-IF(M140="HP→OAK",N140,0),0)</f>
        <v>9.14285714285714</v>
      </c>
      <c r="P140" s="5" t="n">
        <f aca="false">MAX(L140-IF(M140="OAK→HP",N140,0),0)</f>
        <v>6.42857142857143</v>
      </c>
      <c r="Q140" s="5" t="n">
        <f aca="false">IF(O140&gt;0,CEILING(O140,ITEM_MASTER_CLEAN!G140),0)</f>
        <v>10</v>
      </c>
      <c r="R140" s="5" t="n">
        <f aca="false">IF(P140&gt;0,CEILING(P140,ITEM_MASTER_CLEAN!G140),0)</f>
        <v>7</v>
      </c>
      <c r="S140" s="5" t="n">
        <f aca="false">IF(G140=0,0,(1-MIN(E140/MAX(G140,1),1))*50+(1-MIN(F140/MAX(H140,1),1))*50)</f>
        <v>84.2948717948718</v>
      </c>
    </row>
    <row r="141" customFormat="false" ht="15" hidden="false" customHeight="false" outlineLevel="0" collapsed="false">
      <c r="A141" s="5" t="n">
        <f aca="false">ITEM_MASTER_CLEAN!A141</f>
        <v>140</v>
      </c>
      <c r="B141" s="5" t="n">
        <f aca="false">ITEM_MASTER_CLEAN!B141</f>
        <v>14929</v>
      </c>
      <c r="C141" s="5" t="str">
        <f aca="false">ITEM_MASTER_CLEAN!C141</f>
        <v>BISC OREO GRINDED 24X450G</v>
      </c>
      <c r="D141" s="12" t="n">
        <f aca="false">ITEM_MASTER_CLEAN!F141</f>
        <v>39.85</v>
      </c>
      <c r="E141" s="5" t="n">
        <f aca="false">ITEM_MASTER_CLEAN!H141</f>
        <v>1</v>
      </c>
      <c r="F141" s="5" t="n">
        <f aca="false">ITEM_MASTER_CLEAN!I141</f>
        <v>3</v>
      </c>
      <c r="G141" s="5" t="n">
        <f aca="false">PAR_LEVELS!J141</f>
        <v>7.42857142857143</v>
      </c>
      <c r="H141" s="5" t="n">
        <f aca="false">PAR_LEVELS!K141</f>
        <v>1.85714285714286</v>
      </c>
      <c r="I141" s="5" t="n">
        <f aca="false">MAX(E141-G141,0)</f>
        <v>0</v>
      </c>
      <c r="J141" s="5" t="n">
        <f aca="false">MAX(F141-H141,0)</f>
        <v>1.14285714285714</v>
      </c>
      <c r="K141" s="5" t="n">
        <f aca="false">MAX(G141-E141,0)</f>
        <v>6.42857142857143</v>
      </c>
      <c r="L141" s="5" t="n">
        <f aca="false">MAX(H141-F141,0)</f>
        <v>0</v>
      </c>
      <c r="M141" s="5" t="str">
        <f aca="false">IF(AND(I141&gt;TransferMin,L141&gt;0),"OAK→HP",IF(AND(J141&gt;TransferMin,K141&gt;0),"HP→OAK","None"))</f>
        <v>None</v>
      </c>
      <c r="N141" s="5" t="n">
        <f aca="false">IF(M141="OAK→HP",MIN(I141,L141),IF(M141="HP→OAK",MIN(J141,K141),0))</f>
        <v>0</v>
      </c>
      <c r="O141" s="5" t="n">
        <f aca="false">MAX(K141-IF(M141="HP→OAK",N141,0),0)</f>
        <v>6.42857142857143</v>
      </c>
      <c r="P141" s="5" t="n">
        <f aca="false">MAX(L141-IF(M141="OAK→HP",N141,0),0)</f>
        <v>0</v>
      </c>
      <c r="Q141" s="5" t="n">
        <f aca="false">IF(O141&gt;0,CEILING(O141,ITEM_MASTER_CLEAN!G141),0)</f>
        <v>24</v>
      </c>
      <c r="R141" s="5" t="n">
        <f aca="false">IF(P141&gt;0,CEILING(P141,ITEM_MASTER_CLEAN!G141),0)</f>
        <v>0</v>
      </c>
      <c r="S141" s="5" t="n">
        <f aca="false">IF(G141=0,0,(1-MIN(E141/MAX(G141,1),1))*50+(1-MIN(F141/MAX(H141,1),1))*50)</f>
        <v>43.2692307692308</v>
      </c>
    </row>
    <row r="142" customFormat="false" ht="15" hidden="false" customHeight="false" outlineLevel="0" collapsed="false">
      <c r="A142" s="5" t="n">
        <f aca="false">ITEM_MASTER_CLEAN!A142</f>
        <v>141</v>
      </c>
      <c r="B142" s="5" t="n">
        <f aca="false">ITEM_MASTER_CLEAN!B142</f>
        <v>61647</v>
      </c>
      <c r="C142" s="5" t="str">
        <f aca="false">ITEM_MASTER_CLEAN!C142</f>
        <v>CANDY COTTON CANDY PCS 80252 10LB</v>
      </c>
      <c r="D142" s="12" t="n">
        <f aca="false">ITEM_MASTER_CLEAN!F142</f>
        <v>31.05</v>
      </c>
      <c r="E142" s="5" t="n">
        <f aca="false">ITEM_MASTER_CLEAN!H142</f>
        <v>7</v>
      </c>
      <c r="F142" s="5" t="n">
        <f aca="false">ITEM_MASTER_CLEAN!I142</f>
        <v>4</v>
      </c>
      <c r="G142" s="5" t="n">
        <f aca="false">PAR_LEVELS!J142</f>
        <v>9.28571428571429</v>
      </c>
      <c r="H142" s="5" t="n">
        <f aca="false">PAR_LEVELS!K142</f>
        <v>5.57142857142857</v>
      </c>
      <c r="I142" s="5" t="n">
        <f aca="false">MAX(E142-G142,0)</f>
        <v>0</v>
      </c>
      <c r="J142" s="5" t="n">
        <f aca="false">MAX(F142-H142,0)</f>
        <v>0</v>
      </c>
      <c r="K142" s="5" t="n">
        <f aca="false">MAX(G142-E142,0)</f>
        <v>2.28571428571429</v>
      </c>
      <c r="L142" s="5" t="n">
        <f aca="false">MAX(H142-F142,0)</f>
        <v>1.57142857142857</v>
      </c>
      <c r="M142" s="5" t="str">
        <f aca="false">IF(AND(I142&gt;TransferMin,L142&gt;0),"OAK→HP",IF(AND(J142&gt;TransferMin,K142&gt;0),"HP→OAK","None"))</f>
        <v>None</v>
      </c>
      <c r="N142" s="5" t="n">
        <f aca="false">IF(M142="OAK→HP",MIN(I142,L142),IF(M142="HP→OAK",MIN(J142,K142),0))</f>
        <v>0</v>
      </c>
      <c r="O142" s="5" t="n">
        <f aca="false">MAX(K142-IF(M142="HP→OAK",N142,0),0)</f>
        <v>2.28571428571429</v>
      </c>
      <c r="P142" s="5" t="n">
        <f aca="false">MAX(L142-IF(M142="OAK→HP",N142,0),0)</f>
        <v>1.57142857142857</v>
      </c>
      <c r="Q142" s="5" t="n">
        <f aca="false">IF(O142&gt;0,CEILING(O142,ITEM_MASTER_CLEAN!G142),0)</f>
        <v>3</v>
      </c>
      <c r="R142" s="5" t="n">
        <f aca="false">IF(P142&gt;0,CEILING(P142,ITEM_MASTER_CLEAN!G142),0)</f>
        <v>2</v>
      </c>
      <c r="S142" s="5" t="n">
        <f aca="false">IF(G142=0,0,(1-MIN(E142/MAX(G142,1),1))*50+(1-MIN(F142/MAX(H142,1),1))*50)</f>
        <v>26.4102564102564</v>
      </c>
    </row>
    <row r="143" customFormat="false" ht="15" hidden="false" customHeight="false" outlineLevel="0" collapsed="false">
      <c r="A143" s="5" t="n">
        <f aca="false">ITEM_MASTER_CLEAN!A143</f>
        <v>142</v>
      </c>
      <c r="B143" s="5" t="n">
        <f aca="false">ITEM_MASTER_CLEAN!B143</f>
        <v>23656</v>
      </c>
      <c r="C143" s="5" t="str">
        <f aca="false">ITEM_MASTER_CLEAN!C143</f>
        <v>CANDY GUMMIE BEAR ASS'T 1X1.5K</v>
      </c>
      <c r="D143" s="12" t="n">
        <f aca="false">ITEM_MASTER_CLEAN!F143</f>
        <v>55.43</v>
      </c>
      <c r="E143" s="5" t="n">
        <f aca="false">ITEM_MASTER_CLEAN!H143</f>
        <v>1</v>
      </c>
      <c r="F143" s="5" t="n">
        <f aca="false">ITEM_MASTER_CLEAN!I143</f>
        <v>3</v>
      </c>
      <c r="G143" s="5" t="n">
        <f aca="false">PAR_LEVELS!J143</f>
        <v>7.42857142857143</v>
      </c>
      <c r="H143" s="5" t="n">
        <f aca="false">PAR_LEVELS!K143</f>
        <v>1.85714285714286</v>
      </c>
      <c r="I143" s="5" t="n">
        <f aca="false">MAX(E143-G143,0)</f>
        <v>0</v>
      </c>
      <c r="J143" s="5" t="n">
        <f aca="false">MAX(F143-H143,0)</f>
        <v>1.14285714285714</v>
      </c>
      <c r="K143" s="5" t="n">
        <f aca="false">MAX(G143-E143,0)</f>
        <v>6.42857142857143</v>
      </c>
      <c r="L143" s="5" t="n">
        <f aca="false">MAX(H143-F143,0)</f>
        <v>0</v>
      </c>
      <c r="M143" s="5" t="str">
        <f aca="false">IF(AND(I143&gt;TransferMin,L143&gt;0),"OAK→HP",IF(AND(J143&gt;TransferMin,K143&gt;0),"HP→OAK","None"))</f>
        <v>None</v>
      </c>
      <c r="N143" s="5" t="n">
        <f aca="false">IF(M143="OAK→HP",MIN(I143,L143),IF(M143="HP→OAK",MIN(J143,K143),0))</f>
        <v>0</v>
      </c>
      <c r="O143" s="5" t="n">
        <f aca="false">MAX(K143-IF(M143="HP→OAK",N143,0),0)</f>
        <v>6.42857142857143</v>
      </c>
      <c r="P143" s="5" t="n">
        <f aca="false">MAX(L143-IF(M143="OAK→HP",N143,0),0)</f>
        <v>0</v>
      </c>
      <c r="Q143" s="5" t="n">
        <f aca="false">IF(O143&gt;0,CEILING(O143,ITEM_MASTER_CLEAN!G143),0)</f>
        <v>7</v>
      </c>
      <c r="R143" s="5" t="n">
        <f aca="false">IF(P143&gt;0,CEILING(P143,ITEM_MASTER_CLEAN!G143),0)</f>
        <v>0</v>
      </c>
      <c r="S143" s="5" t="n">
        <f aca="false">IF(G143=0,0,(1-MIN(E143/MAX(G143,1),1))*50+(1-MIN(F143/MAX(H143,1),1))*50)</f>
        <v>43.2692307692308</v>
      </c>
    </row>
    <row r="144" customFormat="false" ht="15" hidden="false" customHeight="false" outlineLevel="0" collapsed="false">
      <c r="A144" s="5" t="n">
        <f aca="false">ITEM_MASTER_CLEAN!A144</f>
        <v>143</v>
      </c>
      <c r="B144" s="5" t="n">
        <f aca="false">ITEM_MASTER_CLEAN!B144</f>
        <v>61654</v>
      </c>
      <c r="C144" s="5" t="str">
        <f aca="false">ITEM_MASTER_CLEAN!C144</f>
        <v>CANDY NERDS RAINBOW N390-100 2X5LB</v>
      </c>
      <c r="D144" s="12" t="n">
        <f aca="false">ITEM_MASTER_CLEAN!F144</f>
        <v>20.63</v>
      </c>
      <c r="E144" s="5" t="n">
        <f aca="false">ITEM_MASTER_CLEAN!H144</f>
        <v>0</v>
      </c>
      <c r="F144" s="5" t="n">
        <f aca="false">ITEM_MASTER_CLEAN!I144</f>
        <v>0</v>
      </c>
      <c r="G144" s="5" t="n">
        <f aca="false">PAR_LEVELS!J144</f>
        <v>5.57142857142857</v>
      </c>
      <c r="H144" s="5" t="n">
        <f aca="false">PAR_LEVELS!K144</f>
        <v>1.85714285714286</v>
      </c>
      <c r="I144" s="5" t="n">
        <f aca="false">MAX(E144-G144,0)</f>
        <v>0</v>
      </c>
      <c r="J144" s="5" t="n">
        <f aca="false">MAX(F144-H144,0)</f>
        <v>0</v>
      </c>
      <c r="K144" s="5" t="n">
        <f aca="false">MAX(G144-E144,0)</f>
        <v>5.57142857142857</v>
      </c>
      <c r="L144" s="5" t="n">
        <f aca="false">MAX(H144-F144,0)</f>
        <v>1.85714285714286</v>
      </c>
      <c r="M144" s="5" t="str">
        <f aca="false">IF(AND(I144&gt;TransferMin,L144&gt;0),"OAK→HP",IF(AND(J144&gt;TransferMin,K144&gt;0),"HP→OAK","None"))</f>
        <v>None</v>
      </c>
      <c r="N144" s="5" t="n">
        <f aca="false">IF(M144="OAK→HP",MIN(I144,L144),IF(M144="HP→OAK",MIN(J144,K144),0))</f>
        <v>0</v>
      </c>
      <c r="O144" s="5" t="n">
        <f aca="false">MAX(K144-IF(M144="HP→OAK",N144,0),0)</f>
        <v>5.57142857142857</v>
      </c>
      <c r="P144" s="5" t="n">
        <f aca="false">MAX(L144-IF(M144="OAK→HP",N144,0),0)</f>
        <v>1.85714285714286</v>
      </c>
      <c r="Q144" s="5" t="n">
        <f aca="false">IF(O144&gt;0,CEILING(O144,ITEM_MASTER_CLEAN!G144),0)</f>
        <v>6</v>
      </c>
      <c r="R144" s="5" t="n">
        <f aca="false">IF(P144&gt;0,CEILING(P144,ITEM_MASTER_CLEAN!G144),0)</f>
        <v>2</v>
      </c>
      <c r="S144" s="5" t="n">
        <f aca="false">IF(G144=0,0,(1-MIN(E144/MAX(G144,1),1))*50+(1-MIN(F144/MAX(H144,1),1))*50)</f>
        <v>100</v>
      </c>
    </row>
    <row r="145" customFormat="false" ht="15" hidden="false" customHeight="false" outlineLevel="0" collapsed="false">
      <c r="A145" s="5" t="n">
        <f aca="false">ITEM_MASTER_CLEAN!A145</f>
        <v>144</v>
      </c>
      <c r="B145" s="5" t="n">
        <f aca="false">ITEM_MASTER_CLEAN!B145</f>
        <v>14624</v>
      </c>
      <c r="C145" s="5" t="str">
        <f aca="false">ITEM_MASTER_CLEAN!C145</f>
        <v>CRUMB GRAHAM DARE 5K</v>
      </c>
      <c r="D145" s="12" t="n">
        <f aca="false">ITEM_MASTER_CLEAN!F145</f>
        <v>49.46</v>
      </c>
      <c r="E145" s="5" t="n">
        <f aca="false">ITEM_MASTER_CLEAN!H145</f>
        <v>10</v>
      </c>
      <c r="F145" s="5" t="n">
        <f aca="false">ITEM_MASTER_CLEAN!I145</f>
        <v>0</v>
      </c>
      <c r="G145" s="5" t="n">
        <f aca="false">PAR_LEVELS!J145</f>
        <v>5.57142857142857</v>
      </c>
      <c r="H145" s="5" t="n">
        <f aca="false">PAR_LEVELS!K145</f>
        <v>3.71428571428571</v>
      </c>
      <c r="I145" s="5" t="n">
        <f aca="false">MAX(E145-G145,0)</f>
        <v>4.42857142857143</v>
      </c>
      <c r="J145" s="5" t="n">
        <f aca="false">MAX(F145-H145,0)</f>
        <v>0</v>
      </c>
      <c r="K145" s="5" t="n">
        <f aca="false">MAX(G145-E145,0)</f>
        <v>0</v>
      </c>
      <c r="L145" s="5" t="n">
        <f aca="false">MAX(H145-F145,0)</f>
        <v>3.71428571428571</v>
      </c>
      <c r="M145" s="5" t="str">
        <f aca="false">IF(AND(I145&gt;TransferMin,L145&gt;0),"OAK→HP",IF(AND(J145&gt;TransferMin,K145&gt;0),"HP→OAK","None"))</f>
        <v>None</v>
      </c>
      <c r="N145" s="5" t="n">
        <f aca="false">IF(M145="OAK→HP",MIN(I145,L145),IF(M145="HP→OAK",MIN(J145,K145),0))</f>
        <v>0</v>
      </c>
      <c r="O145" s="5" t="n">
        <f aca="false">MAX(K145-IF(M145="HP→OAK",N145,0),0)</f>
        <v>0</v>
      </c>
      <c r="P145" s="5" t="n">
        <f aca="false">MAX(L145-IF(M145="OAK→HP",N145,0),0)</f>
        <v>3.71428571428571</v>
      </c>
      <c r="Q145" s="5" t="n">
        <f aca="false">IF(O145&gt;0,CEILING(O145,ITEM_MASTER_CLEAN!G145),0)</f>
        <v>0</v>
      </c>
      <c r="R145" s="5" t="n">
        <f aca="false">IF(P145&gt;0,CEILING(P145,ITEM_MASTER_CLEAN!G145),0)</f>
        <v>4</v>
      </c>
      <c r="S145" s="5" t="n">
        <f aca="false">IF(G145=0,0,(1-MIN(E145/MAX(G145,1),1))*50+(1-MIN(F145/MAX(H145,1),1))*50)</f>
        <v>50</v>
      </c>
    </row>
    <row r="146" customFormat="false" ht="15" hidden="false" customHeight="false" outlineLevel="0" collapsed="false">
      <c r="A146" s="5" t="n">
        <f aca="false">ITEM_MASTER_CLEAN!A146</f>
        <v>145</v>
      </c>
      <c r="B146" s="5" t="n">
        <f aca="false">ITEM_MASTER_CLEAN!B146</f>
        <v>11692</v>
      </c>
      <c r="C146" s="5" t="str">
        <f aca="false">ITEM_MASTER_CLEAN!C146</f>
        <v>CHOC KIT KAT CRUSHED 4X907G</v>
      </c>
      <c r="D146" s="12" t="n">
        <f aca="false">ITEM_MASTER_CLEAN!F146</f>
        <v>62.22</v>
      </c>
      <c r="E146" s="5" t="n">
        <f aca="false">ITEM_MASTER_CLEAN!H146</f>
        <v>1</v>
      </c>
      <c r="F146" s="5" t="n">
        <f aca="false">ITEM_MASTER_CLEAN!I146</f>
        <v>1</v>
      </c>
      <c r="G146" s="5" t="n">
        <f aca="false">PAR_LEVELS!J146</f>
        <v>9.28571428571429</v>
      </c>
      <c r="H146" s="5" t="n">
        <f aca="false">PAR_LEVELS!K146</f>
        <v>7.42857142857143</v>
      </c>
      <c r="I146" s="5" t="n">
        <f aca="false">MAX(E146-G146,0)</f>
        <v>0</v>
      </c>
      <c r="J146" s="5" t="n">
        <f aca="false">MAX(F146-H146,0)</f>
        <v>0</v>
      </c>
      <c r="K146" s="5" t="n">
        <f aca="false">MAX(G146-E146,0)</f>
        <v>8.28571428571429</v>
      </c>
      <c r="L146" s="5" t="n">
        <f aca="false">MAX(H146-F146,0)</f>
        <v>6.42857142857143</v>
      </c>
      <c r="M146" s="5" t="str">
        <f aca="false">IF(AND(I146&gt;TransferMin,L146&gt;0),"OAK→HP",IF(AND(J146&gt;TransferMin,K146&gt;0),"HP→OAK","None"))</f>
        <v>None</v>
      </c>
      <c r="N146" s="5" t="n">
        <f aca="false">IF(M146="OAK→HP",MIN(I146,L146),IF(M146="HP→OAK",MIN(J146,K146),0))</f>
        <v>0</v>
      </c>
      <c r="O146" s="5" t="n">
        <f aca="false">MAX(K146-IF(M146="HP→OAK",N146,0),0)</f>
        <v>8.28571428571429</v>
      </c>
      <c r="P146" s="5" t="n">
        <f aca="false">MAX(L146-IF(M146="OAK→HP",N146,0),0)</f>
        <v>6.42857142857143</v>
      </c>
      <c r="Q146" s="5" t="n">
        <f aca="false">IF(O146&gt;0,CEILING(O146,ITEM_MASTER_CLEAN!G146),0)</f>
        <v>12</v>
      </c>
      <c r="R146" s="5" t="n">
        <f aca="false">IF(P146&gt;0,CEILING(P146,ITEM_MASTER_CLEAN!G146),0)</f>
        <v>8</v>
      </c>
      <c r="S146" s="5" t="n">
        <f aca="false">IF(G146=0,0,(1-MIN(E146/MAX(G146,1),1))*50+(1-MIN(F146/MAX(H146,1),1))*50)</f>
        <v>87.8846153846154</v>
      </c>
    </row>
    <row r="147" customFormat="false" ht="15" hidden="false" customHeight="false" outlineLevel="0" collapsed="false">
      <c r="A147" s="5" t="n">
        <f aca="false">ITEM_MASTER_CLEAN!A147</f>
        <v>146</v>
      </c>
      <c r="B147" s="5" t="n">
        <f aca="false">ITEM_MASTER_CLEAN!B147</f>
        <v>62812</v>
      </c>
      <c r="C147" s="5" t="str">
        <f aca="false">ITEM_MASTER_CLEAN!C147</f>
        <v>CHOC SKOR BITE BULK 413 4X1.36K</v>
      </c>
      <c r="D147" s="12" t="n">
        <f aca="false">ITEM_MASTER_CLEAN!F147</f>
        <v>16.6</v>
      </c>
      <c r="E147" s="5" t="n">
        <f aca="false">ITEM_MASTER_CLEAN!H147</f>
        <v>6</v>
      </c>
      <c r="F147" s="5" t="n">
        <f aca="false">ITEM_MASTER_CLEAN!I147</f>
        <v>0</v>
      </c>
      <c r="G147" s="5" t="n">
        <f aca="false">PAR_LEVELS!J147</f>
        <v>3.71428571428571</v>
      </c>
      <c r="H147" s="5" t="n">
        <f aca="false">PAR_LEVELS!K147</f>
        <v>7.42857142857143</v>
      </c>
      <c r="I147" s="5" t="n">
        <f aca="false">MAX(E147-G147,0)</f>
        <v>2.28571428571429</v>
      </c>
      <c r="J147" s="5" t="n">
        <f aca="false">MAX(F147-H147,0)</f>
        <v>0</v>
      </c>
      <c r="K147" s="5" t="n">
        <f aca="false">MAX(G147-E147,0)</f>
        <v>0</v>
      </c>
      <c r="L147" s="5" t="n">
        <f aca="false">MAX(H147-F147,0)</f>
        <v>7.42857142857143</v>
      </c>
      <c r="M147" s="5" t="str">
        <f aca="false">IF(AND(I147&gt;TransferMin,L147&gt;0),"OAK→HP",IF(AND(J147&gt;TransferMin,K147&gt;0),"HP→OAK","None"))</f>
        <v>None</v>
      </c>
      <c r="N147" s="5" t="n">
        <f aca="false">IF(M147="OAK→HP",MIN(I147,L147),IF(M147="HP→OAK",MIN(J147,K147),0))</f>
        <v>0</v>
      </c>
      <c r="O147" s="5" t="n">
        <f aca="false">MAX(K147-IF(M147="HP→OAK",N147,0),0)</f>
        <v>0</v>
      </c>
      <c r="P147" s="5" t="n">
        <f aca="false">MAX(L147-IF(M147="OAK→HP",N147,0),0)</f>
        <v>7.42857142857143</v>
      </c>
      <c r="Q147" s="5" t="n">
        <f aca="false">IF(O147&gt;0,CEILING(O147,ITEM_MASTER_CLEAN!G147),0)</f>
        <v>0</v>
      </c>
      <c r="R147" s="5" t="n">
        <f aca="false">IF(P147&gt;0,CEILING(P147,ITEM_MASTER_CLEAN!G147),0)</f>
        <v>8</v>
      </c>
      <c r="S147" s="5" t="n">
        <f aca="false">IF(G147=0,0,(1-MIN(E147/MAX(G147,1),1))*50+(1-MIN(F147/MAX(H147,1),1))*50)</f>
        <v>50</v>
      </c>
    </row>
    <row r="148" customFormat="false" ht="15" hidden="false" customHeight="false" outlineLevel="0" collapsed="false">
      <c r="A148" s="5" t="n">
        <f aca="false">ITEM_MASTER_CLEAN!A148</f>
        <v>147</v>
      </c>
      <c r="B148" s="5" t="n">
        <f aca="false">ITEM_MASTER_CLEAN!B148</f>
        <v>44503</v>
      </c>
      <c r="C148" s="5" t="str">
        <f aca="false">ITEM_MASTER_CLEAN!C148</f>
        <v>CHOC SMARTIES CRUSHED BULK 10X1.1K</v>
      </c>
      <c r="D148" s="12" t="n">
        <f aca="false">ITEM_MASTER_CLEAN!F148</f>
        <v>33.76</v>
      </c>
      <c r="E148" s="5" t="n">
        <f aca="false">ITEM_MASTER_CLEAN!H148</f>
        <v>2</v>
      </c>
      <c r="F148" s="5" t="n">
        <f aca="false">ITEM_MASTER_CLEAN!I148</f>
        <v>4</v>
      </c>
      <c r="G148" s="5" t="n">
        <f aca="false">PAR_LEVELS!J148</f>
        <v>3.71428571428571</v>
      </c>
      <c r="H148" s="5" t="n">
        <f aca="false">PAR_LEVELS!K148</f>
        <v>5.57142857142857</v>
      </c>
      <c r="I148" s="5" t="n">
        <f aca="false">MAX(E148-G148,0)</f>
        <v>0</v>
      </c>
      <c r="J148" s="5" t="n">
        <f aca="false">MAX(F148-H148,0)</f>
        <v>0</v>
      </c>
      <c r="K148" s="5" t="n">
        <f aca="false">MAX(G148-E148,0)</f>
        <v>1.71428571428571</v>
      </c>
      <c r="L148" s="5" t="n">
        <f aca="false">MAX(H148-F148,0)</f>
        <v>1.57142857142857</v>
      </c>
      <c r="M148" s="5" t="str">
        <f aca="false">IF(AND(I148&gt;TransferMin,L148&gt;0),"OAK→HP",IF(AND(J148&gt;TransferMin,K148&gt;0),"HP→OAK","None"))</f>
        <v>None</v>
      </c>
      <c r="N148" s="5" t="n">
        <f aca="false">IF(M148="OAK→HP",MIN(I148,L148),IF(M148="HP→OAK",MIN(J148,K148),0))</f>
        <v>0</v>
      </c>
      <c r="O148" s="5" t="n">
        <f aca="false">MAX(K148-IF(M148="HP→OAK",N148,0),0)</f>
        <v>1.71428571428571</v>
      </c>
      <c r="P148" s="5" t="n">
        <f aca="false">MAX(L148-IF(M148="OAK→HP",N148,0),0)</f>
        <v>1.57142857142857</v>
      </c>
      <c r="Q148" s="5" t="n">
        <f aca="false">IF(O148&gt;0,CEILING(O148,ITEM_MASTER_CLEAN!G148),0)</f>
        <v>10</v>
      </c>
      <c r="R148" s="5" t="n">
        <f aca="false">IF(P148&gt;0,CEILING(P148,ITEM_MASTER_CLEAN!G148),0)</f>
        <v>10</v>
      </c>
      <c r="S148" s="5" t="n">
        <f aca="false">IF(G148=0,0,(1-MIN(E148/MAX(G148,1),1))*50+(1-MIN(F148/MAX(H148,1),1))*50)</f>
        <v>37.1794871794872</v>
      </c>
    </row>
    <row r="149" customFormat="false" ht="15" hidden="false" customHeight="false" outlineLevel="0" collapsed="false">
      <c r="A149" s="5" t="n">
        <f aca="false">ITEM_MASTER_CLEAN!A149</f>
        <v>148</v>
      </c>
      <c r="B149" s="5" t="n">
        <f aca="false">ITEM_MASTER_CLEAN!B149</f>
        <v>37163</v>
      </c>
      <c r="C149" s="5" t="str">
        <f aca="false">ITEM_MASTER_CLEAN!C149</f>
        <v>MAPLE NUGGET SUGAR 4065 1X1K</v>
      </c>
      <c r="D149" s="12" t="n">
        <f aca="false">ITEM_MASTER_CLEAN!F149</f>
        <v>3.89</v>
      </c>
      <c r="E149" s="5" t="n">
        <f aca="false">ITEM_MASTER_CLEAN!H149</f>
        <v>4</v>
      </c>
      <c r="F149" s="5" t="n">
        <f aca="false">ITEM_MASTER_CLEAN!I149</f>
        <v>0</v>
      </c>
      <c r="G149" s="5" t="n">
        <f aca="false">PAR_LEVELS!J149</f>
        <v>11.1428571428571</v>
      </c>
      <c r="H149" s="5" t="n">
        <f aca="false">PAR_LEVELS!K149</f>
        <v>1.85714285714286</v>
      </c>
      <c r="I149" s="5" t="n">
        <f aca="false">MAX(E149-G149,0)</f>
        <v>0</v>
      </c>
      <c r="J149" s="5" t="n">
        <f aca="false">MAX(F149-H149,0)</f>
        <v>0</v>
      </c>
      <c r="K149" s="5" t="n">
        <f aca="false">MAX(G149-E149,0)</f>
        <v>7.14285714285714</v>
      </c>
      <c r="L149" s="5" t="n">
        <f aca="false">MAX(H149-F149,0)</f>
        <v>1.85714285714286</v>
      </c>
      <c r="M149" s="5" t="str">
        <f aca="false">IF(AND(I149&gt;TransferMin,L149&gt;0),"OAK→HP",IF(AND(J149&gt;TransferMin,K149&gt;0),"HP→OAK","None"))</f>
        <v>None</v>
      </c>
      <c r="N149" s="5" t="n">
        <f aca="false">IF(M149="OAK→HP",MIN(I149,L149),IF(M149="HP→OAK",MIN(J149,K149),0))</f>
        <v>0</v>
      </c>
      <c r="O149" s="5" t="n">
        <f aca="false">MAX(K149-IF(M149="HP→OAK",N149,0),0)</f>
        <v>7.14285714285714</v>
      </c>
      <c r="P149" s="5" t="n">
        <f aca="false">MAX(L149-IF(M149="OAK→HP",N149,0),0)</f>
        <v>1.85714285714286</v>
      </c>
      <c r="Q149" s="5" t="n">
        <f aca="false">IF(O149&gt;0,CEILING(O149,ITEM_MASTER_CLEAN!G149),0)</f>
        <v>8</v>
      </c>
      <c r="R149" s="5" t="n">
        <f aca="false">IF(P149&gt;0,CEILING(P149,ITEM_MASTER_CLEAN!G149),0)</f>
        <v>2</v>
      </c>
      <c r="S149" s="5" t="n">
        <f aca="false">IF(G149=0,0,(1-MIN(E149/MAX(G149,1),1))*50+(1-MIN(F149/MAX(H149,1),1))*50)</f>
        <v>82.051282051282</v>
      </c>
    </row>
    <row r="150" customFormat="false" ht="15" hidden="false" customHeight="false" outlineLevel="0" collapsed="false">
      <c r="A150" s="5" t="n">
        <f aca="false">ITEM_MASTER_CLEAN!A150</f>
        <v>149</v>
      </c>
      <c r="B150" s="5" t="n">
        <f aca="false">ITEM_MASTER_CLEAN!B150</f>
        <v>32978</v>
      </c>
      <c r="C150" s="5" t="str">
        <f aca="false">ITEM_MASTER_CLEAN!C150</f>
        <v>NUTS ALMOND DICED 10658 25LB</v>
      </c>
      <c r="D150" s="12" t="n">
        <f aca="false">ITEM_MASTER_CLEAN!F150</f>
        <v>16.6</v>
      </c>
      <c r="E150" s="5" t="n">
        <f aca="false">ITEM_MASTER_CLEAN!H150</f>
        <v>3</v>
      </c>
      <c r="F150" s="5" t="n">
        <f aca="false">ITEM_MASTER_CLEAN!I150</f>
        <v>6</v>
      </c>
      <c r="G150" s="5" t="n">
        <f aca="false">PAR_LEVELS!J150</f>
        <v>3.71428571428571</v>
      </c>
      <c r="H150" s="5" t="n">
        <f aca="false">PAR_LEVELS!K150</f>
        <v>7.42857142857143</v>
      </c>
      <c r="I150" s="5" t="n">
        <f aca="false">MAX(E150-G150,0)</f>
        <v>0</v>
      </c>
      <c r="J150" s="5" t="n">
        <f aca="false">MAX(F150-H150,0)</f>
        <v>0</v>
      </c>
      <c r="K150" s="5" t="n">
        <f aca="false">MAX(G150-E150,0)</f>
        <v>0.714285714285714</v>
      </c>
      <c r="L150" s="5" t="n">
        <f aca="false">MAX(H150-F150,0)</f>
        <v>1.42857142857143</v>
      </c>
      <c r="M150" s="5" t="str">
        <f aca="false">IF(AND(I150&gt;TransferMin,L150&gt;0),"OAK→HP",IF(AND(J150&gt;TransferMin,K150&gt;0),"HP→OAK","None"))</f>
        <v>None</v>
      </c>
      <c r="N150" s="5" t="n">
        <f aca="false">IF(M150="OAK→HP",MIN(I150,L150),IF(M150="HP→OAK",MIN(J150,K150),0))</f>
        <v>0</v>
      </c>
      <c r="O150" s="5" t="n">
        <f aca="false">MAX(K150-IF(M150="HP→OAK",N150,0),0)</f>
        <v>0.714285714285714</v>
      </c>
      <c r="P150" s="5" t="n">
        <f aca="false">MAX(L150-IF(M150="OAK→HP",N150,0),0)</f>
        <v>1.42857142857143</v>
      </c>
      <c r="Q150" s="5" t="n">
        <f aca="false">IF(O150&gt;0,CEILING(O150,ITEM_MASTER_CLEAN!G150),0)</f>
        <v>1</v>
      </c>
      <c r="R150" s="5" t="n">
        <f aca="false">IF(P150&gt;0,CEILING(P150,ITEM_MASTER_CLEAN!G150),0)</f>
        <v>2</v>
      </c>
      <c r="S150" s="5" t="n">
        <f aca="false">IF(G150=0,0,(1-MIN(E150/MAX(G150,1),1))*50+(1-MIN(F150/MAX(H150,1),1))*50)</f>
        <v>19.2307692307692</v>
      </c>
    </row>
    <row r="151" customFormat="false" ht="15" hidden="false" customHeight="false" outlineLevel="0" collapsed="false">
      <c r="A151" s="5" t="n">
        <f aca="false">ITEM_MASTER_CLEAN!A151</f>
        <v>150</v>
      </c>
      <c r="B151" s="5" t="n">
        <f aca="false">ITEM_MASTER_CLEAN!B151</f>
        <v>61496</v>
      </c>
      <c r="C151" s="5" t="str">
        <f aca="false">ITEM_MASTER_CLEAN!C151</f>
        <v>NUTS PEANUT CRSHD RSTED 3X1K</v>
      </c>
      <c r="D151" s="12" t="n">
        <f aca="false">ITEM_MASTER_CLEAN!F151</f>
        <v>17.84</v>
      </c>
      <c r="E151" s="5" t="n">
        <f aca="false">ITEM_MASTER_CLEAN!H151</f>
        <v>3</v>
      </c>
      <c r="F151" s="5" t="n">
        <f aca="false">ITEM_MASTER_CLEAN!I151</f>
        <v>5</v>
      </c>
      <c r="G151" s="5" t="n">
        <f aca="false">PAR_LEVELS!J151</f>
        <v>5.57142857142857</v>
      </c>
      <c r="H151" s="5" t="n">
        <f aca="false">PAR_LEVELS!K151</f>
        <v>7.42857142857143</v>
      </c>
      <c r="I151" s="5" t="n">
        <f aca="false">MAX(E151-G151,0)</f>
        <v>0</v>
      </c>
      <c r="J151" s="5" t="n">
        <f aca="false">MAX(F151-H151,0)</f>
        <v>0</v>
      </c>
      <c r="K151" s="5" t="n">
        <f aca="false">MAX(G151-E151,0)</f>
        <v>2.57142857142857</v>
      </c>
      <c r="L151" s="5" t="n">
        <f aca="false">MAX(H151-F151,0)</f>
        <v>2.42857142857143</v>
      </c>
      <c r="M151" s="5" t="str">
        <f aca="false">IF(AND(I151&gt;TransferMin,L151&gt;0),"OAK→HP",IF(AND(J151&gt;TransferMin,K151&gt;0),"HP→OAK","None"))</f>
        <v>None</v>
      </c>
      <c r="N151" s="5" t="n">
        <f aca="false">IF(M151="OAK→HP",MIN(I151,L151),IF(M151="HP→OAK",MIN(J151,K151),0))</f>
        <v>0</v>
      </c>
      <c r="O151" s="5" t="n">
        <f aca="false">MAX(K151-IF(M151="HP→OAK",N151,0),0)</f>
        <v>2.57142857142857</v>
      </c>
      <c r="P151" s="5" t="n">
        <f aca="false">MAX(L151-IF(M151="OAK→HP",N151,0),0)</f>
        <v>2.42857142857143</v>
      </c>
      <c r="Q151" s="5" t="n">
        <f aca="false">IF(O151&gt;0,CEILING(O151,ITEM_MASTER_CLEAN!G151),0)</f>
        <v>3</v>
      </c>
      <c r="R151" s="5" t="n">
        <f aca="false">IF(P151&gt;0,CEILING(P151,ITEM_MASTER_CLEAN!G151),0)</f>
        <v>3</v>
      </c>
      <c r="S151" s="5" t="n">
        <f aca="false">IF(G151=0,0,(1-MIN(E151/MAX(G151,1),1))*50+(1-MIN(F151/MAX(H151,1),1))*50)</f>
        <v>39.4230769230769</v>
      </c>
    </row>
    <row r="152" customFormat="false" ht="15" hidden="false" customHeight="false" outlineLevel="0" collapsed="false">
      <c r="A152" s="5" t="n">
        <f aca="false">ITEM_MASTER_CLEAN!A152</f>
        <v>151</v>
      </c>
      <c r="B152" s="5" t="n">
        <f aca="false">ITEM_MASTER_CLEAN!B152</f>
        <v>32981</v>
      </c>
      <c r="C152" s="5" t="str">
        <f aca="false">ITEM_MASTER_CLEAN!C152</f>
        <v>COCONUT SHREDDED SWEET 10780 25LB</v>
      </c>
      <c r="D152" s="12" t="n">
        <f aca="false">ITEM_MASTER_CLEAN!F152</f>
        <v>30.08</v>
      </c>
      <c r="E152" s="5" t="n">
        <f aca="false">ITEM_MASTER_CLEAN!H152</f>
        <v>1</v>
      </c>
      <c r="F152" s="5" t="n">
        <f aca="false">ITEM_MASTER_CLEAN!I152</f>
        <v>0</v>
      </c>
      <c r="G152" s="5" t="n">
        <f aca="false">PAR_LEVELS!J152</f>
        <v>7.42857142857143</v>
      </c>
      <c r="H152" s="5" t="n">
        <f aca="false">PAR_LEVELS!K152</f>
        <v>1.85714285714286</v>
      </c>
      <c r="I152" s="5" t="n">
        <f aca="false">MAX(E152-G152,0)</f>
        <v>0</v>
      </c>
      <c r="J152" s="5" t="n">
        <f aca="false">MAX(F152-H152,0)</f>
        <v>0</v>
      </c>
      <c r="K152" s="5" t="n">
        <f aca="false">MAX(G152-E152,0)</f>
        <v>6.42857142857143</v>
      </c>
      <c r="L152" s="5" t="n">
        <f aca="false">MAX(H152-F152,0)</f>
        <v>1.85714285714286</v>
      </c>
      <c r="M152" s="5" t="str">
        <f aca="false">IF(AND(I152&gt;TransferMin,L152&gt;0),"OAK→HP",IF(AND(J152&gt;TransferMin,K152&gt;0),"HP→OAK","None"))</f>
        <v>None</v>
      </c>
      <c r="N152" s="5" t="n">
        <f aca="false">IF(M152="OAK→HP",MIN(I152,L152),IF(M152="HP→OAK",MIN(J152,K152),0))</f>
        <v>0</v>
      </c>
      <c r="O152" s="5" t="n">
        <f aca="false">MAX(K152-IF(M152="HP→OAK",N152,0),0)</f>
        <v>6.42857142857143</v>
      </c>
      <c r="P152" s="5" t="n">
        <f aca="false">MAX(L152-IF(M152="OAK→HP",N152,0),0)</f>
        <v>1.85714285714286</v>
      </c>
      <c r="Q152" s="5" t="n">
        <f aca="false">IF(O152&gt;0,CEILING(O152,ITEM_MASTER_CLEAN!G152),0)</f>
        <v>7</v>
      </c>
      <c r="R152" s="5" t="n">
        <f aca="false">IF(P152&gt;0,CEILING(P152,ITEM_MASTER_CLEAN!G152),0)</f>
        <v>2</v>
      </c>
      <c r="S152" s="5" t="n">
        <f aca="false">IF(G152=0,0,(1-MIN(E152/MAX(G152,1),1))*50+(1-MIN(F152/MAX(H152,1),1))*50)</f>
        <v>93.2692307692308</v>
      </c>
    </row>
    <row r="153" customFormat="false" ht="15" hidden="false" customHeight="false" outlineLevel="0" collapsed="false">
      <c r="A153" s="5" t="n">
        <f aca="false">ITEM_MASTER_CLEAN!A153</f>
        <v>152</v>
      </c>
      <c r="B153" s="5" t="n">
        <f aca="false">ITEM_MASTER_CLEAN!B153</f>
        <v>15058</v>
      </c>
      <c r="C153" s="5" t="str">
        <f aca="false">ITEM_MASTER_CLEAN!C153</f>
        <v>NUT HAZELNUT RSTD 3X1K</v>
      </c>
      <c r="D153" s="12" t="n">
        <f aca="false">ITEM_MASTER_CLEAN!F153</f>
        <v>30.03</v>
      </c>
      <c r="E153" s="5" t="n">
        <f aca="false">ITEM_MASTER_CLEAN!H153</f>
        <v>2</v>
      </c>
      <c r="F153" s="5" t="n">
        <f aca="false">ITEM_MASTER_CLEAN!I153</f>
        <v>0</v>
      </c>
      <c r="G153" s="5" t="n">
        <f aca="false">PAR_LEVELS!J153</f>
        <v>7.42857142857143</v>
      </c>
      <c r="H153" s="5" t="n">
        <f aca="false">PAR_LEVELS!K153</f>
        <v>3.71428571428571</v>
      </c>
      <c r="I153" s="5" t="n">
        <f aca="false">MAX(E153-G153,0)</f>
        <v>0</v>
      </c>
      <c r="J153" s="5" t="n">
        <f aca="false">MAX(F153-H153,0)</f>
        <v>0</v>
      </c>
      <c r="K153" s="5" t="n">
        <f aca="false">MAX(G153-E153,0)</f>
        <v>5.42857142857143</v>
      </c>
      <c r="L153" s="5" t="n">
        <f aca="false">MAX(H153-F153,0)</f>
        <v>3.71428571428571</v>
      </c>
      <c r="M153" s="5" t="str">
        <f aca="false">IF(AND(I153&gt;TransferMin,L153&gt;0),"OAK→HP",IF(AND(J153&gt;TransferMin,K153&gt;0),"HP→OAK","None"))</f>
        <v>None</v>
      </c>
      <c r="N153" s="5" t="n">
        <f aca="false">IF(M153="OAK→HP",MIN(I153,L153),IF(M153="HP→OAK",MIN(J153,K153),0))</f>
        <v>0</v>
      </c>
      <c r="O153" s="5" t="n">
        <f aca="false">MAX(K153-IF(M153="HP→OAK",N153,0),0)</f>
        <v>5.42857142857143</v>
      </c>
      <c r="P153" s="5" t="n">
        <f aca="false">MAX(L153-IF(M153="OAK→HP",N153,0),0)</f>
        <v>3.71428571428571</v>
      </c>
      <c r="Q153" s="5" t="n">
        <f aca="false">IF(O153&gt;0,CEILING(O153,ITEM_MASTER_CLEAN!G153),0)</f>
        <v>6</v>
      </c>
      <c r="R153" s="5" t="n">
        <f aca="false">IF(P153&gt;0,CEILING(P153,ITEM_MASTER_CLEAN!G153),0)</f>
        <v>6</v>
      </c>
      <c r="S153" s="5" t="n">
        <f aca="false">IF(G153=0,0,(1-MIN(E153/MAX(G153,1),1))*50+(1-MIN(F153/MAX(H153,1),1))*50)</f>
        <v>86.5384615384615</v>
      </c>
    </row>
    <row r="154" customFormat="false" ht="15" hidden="false" customHeight="false" outlineLevel="0" collapsed="false">
      <c r="A154" s="5" t="n">
        <f aca="false">ITEM_MASTER_CLEAN!A154</f>
        <v>153</v>
      </c>
      <c r="B154" s="5" t="n">
        <f aca="false">ITEM_MASTER_CLEAN!B154</f>
        <v>40251</v>
      </c>
      <c r="C154" s="5" t="str">
        <f aca="false">ITEM_MASTER_CLEAN!C154</f>
        <v>NUT PISTACHIO N/SHELL 1KG</v>
      </c>
      <c r="D154" s="12" t="n">
        <f aca="false">ITEM_MASTER_CLEAN!F154</f>
        <v>47.81</v>
      </c>
      <c r="E154" s="5" t="n">
        <f aca="false">ITEM_MASTER_CLEAN!H154</f>
        <v>24</v>
      </c>
      <c r="F154" s="5" t="n">
        <f aca="false">ITEM_MASTER_CLEAN!I154</f>
        <v>7</v>
      </c>
      <c r="G154" s="5" t="n">
        <f aca="false">PAR_LEVELS!J154</f>
        <v>9.28571428571429</v>
      </c>
      <c r="H154" s="5" t="n">
        <f aca="false">PAR_LEVELS!K154</f>
        <v>3.71428571428571</v>
      </c>
      <c r="I154" s="5" t="n">
        <f aca="false">MAX(E154-G154,0)</f>
        <v>14.7142857142857</v>
      </c>
      <c r="J154" s="5" t="n">
        <f aca="false">MAX(F154-H154,0)</f>
        <v>3.28571428571429</v>
      </c>
      <c r="K154" s="5" t="n">
        <f aca="false">MAX(G154-E154,0)</f>
        <v>0</v>
      </c>
      <c r="L154" s="5" t="n">
        <f aca="false">MAX(H154-F154,0)</f>
        <v>0</v>
      </c>
      <c r="M154" s="5" t="str">
        <f aca="false">IF(AND(I154&gt;TransferMin,L154&gt;0),"OAK→HP",IF(AND(J154&gt;TransferMin,K154&gt;0),"HP→OAK","None"))</f>
        <v>None</v>
      </c>
      <c r="N154" s="5" t="n">
        <f aca="false">IF(M154="OAK→HP",MIN(I154,L154),IF(M154="HP→OAK",MIN(J154,K154),0))</f>
        <v>0</v>
      </c>
      <c r="O154" s="5" t="n">
        <f aca="false">MAX(K154-IF(M154="HP→OAK",N154,0),0)</f>
        <v>0</v>
      </c>
      <c r="P154" s="5" t="n">
        <f aca="false">MAX(L154-IF(M154="OAK→HP",N154,0),0)</f>
        <v>0</v>
      </c>
      <c r="Q154" s="5" t="n">
        <f aca="false">IF(O154&gt;0,CEILING(O154,ITEM_MASTER_CLEAN!G154),0)</f>
        <v>0</v>
      </c>
      <c r="R154" s="5" t="n">
        <f aca="false">IF(P154&gt;0,CEILING(P154,ITEM_MASTER_CLEAN!G154),0)</f>
        <v>0</v>
      </c>
      <c r="S154" s="5" t="n">
        <f aca="false">IF(G154=0,0,(1-MIN(E154/MAX(G154,1),1))*50+(1-MIN(F154/MAX(H154,1),1))*50)</f>
        <v>0</v>
      </c>
    </row>
    <row r="155" customFormat="false" ht="15" hidden="false" customHeight="false" outlineLevel="0" collapsed="false">
      <c r="A155" s="5" t="n">
        <f aca="false">ITEM_MASTER_CLEAN!A155</f>
        <v>154</v>
      </c>
      <c r="B155" s="5" t="n">
        <f aca="false">ITEM_MASTER_CLEAN!B155</f>
        <v>34732</v>
      </c>
      <c r="C155" s="5" t="str">
        <f aca="false">ITEM_MASTER_CLEAN!C155</f>
        <v>PRETZEL MINI PRT5204 20LB</v>
      </c>
      <c r="D155" s="12" t="n">
        <f aca="false">ITEM_MASTER_CLEAN!F155</f>
        <v>54.35</v>
      </c>
      <c r="E155" s="5" t="n">
        <f aca="false">ITEM_MASTER_CLEAN!H155</f>
        <v>2</v>
      </c>
      <c r="F155" s="5" t="n">
        <f aca="false">ITEM_MASTER_CLEAN!I155</f>
        <v>2</v>
      </c>
      <c r="G155" s="5" t="n">
        <f aca="false">PAR_LEVELS!J155</f>
        <v>11.1428571428571</v>
      </c>
      <c r="H155" s="5" t="n">
        <f aca="false">PAR_LEVELS!K155</f>
        <v>1.85714285714286</v>
      </c>
      <c r="I155" s="5" t="n">
        <f aca="false">MAX(E155-G155,0)</f>
        <v>0</v>
      </c>
      <c r="J155" s="5" t="n">
        <f aca="false">MAX(F155-H155,0)</f>
        <v>0.142857142857143</v>
      </c>
      <c r="K155" s="5" t="n">
        <f aca="false">MAX(G155-E155,0)</f>
        <v>9.14285714285714</v>
      </c>
      <c r="L155" s="5" t="n">
        <f aca="false">MAX(H155-F155,0)</f>
        <v>0</v>
      </c>
      <c r="M155" s="5" t="str">
        <f aca="false">IF(AND(I155&gt;TransferMin,L155&gt;0),"OAK→HP",IF(AND(J155&gt;TransferMin,K155&gt;0),"HP→OAK","None"))</f>
        <v>None</v>
      </c>
      <c r="N155" s="5" t="n">
        <f aca="false">IF(M155="OAK→HP",MIN(I155,L155),IF(M155="HP→OAK",MIN(J155,K155),0))</f>
        <v>0</v>
      </c>
      <c r="O155" s="5" t="n">
        <f aca="false">MAX(K155-IF(M155="HP→OAK",N155,0),0)</f>
        <v>9.14285714285714</v>
      </c>
      <c r="P155" s="5" t="n">
        <f aca="false">MAX(L155-IF(M155="OAK→HP",N155,0),0)</f>
        <v>0</v>
      </c>
      <c r="Q155" s="5" t="n">
        <f aca="false">IF(O155&gt;0,CEILING(O155,ITEM_MASTER_CLEAN!G155),0)</f>
        <v>10</v>
      </c>
      <c r="R155" s="5" t="n">
        <f aca="false">IF(P155&gt;0,CEILING(P155,ITEM_MASTER_CLEAN!G155),0)</f>
        <v>0</v>
      </c>
      <c r="S155" s="5" t="n">
        <f aca="false">IF(G155=0,0,(1-MIN(E155/MAX(G155,1),1))*50+(1-MIN(F155/MAX(H155,1),1))*50)</f>
        <v>41.025641025641</v>
      </c>
    </row>
    <row r="156" customFormat="false" ht="15" hidden="false" customHeight="false" outlineLevel="0" collapsed="false">
      <c r="A156" s="5" t="n">
        <f aca="false">ITEM_MASTER_CLEAN!A156</f>
        <v>155</v>
      </c>
      <c r="B156" s="5" t="n">
        <f aca="false">ITEM_MASTER_CLEAN!B156</f>
        <v>61580</v>
      </c>
      <c r="C156" s="5" t="str">
        <f aca="false">ITEM_MASTER_CLEAN!C156</f>
        <v>SPRINKLES CHOCOLATE K 3K</v>
      </c>
      <c r="D156" s="12" t="n">
        <f aca="false">ITEM_MASTER_CLEAN!F156</f>
        <v>35.72</v>
      </c>
      <c r="E156" s="5" t="n">
        <f aca="false">ITEM_MASTER_CLEAN!H156</f>
        <v>4</v>
      </c>
      <c r="F156" s="5" t="n">
        <f aca="false">ITEM_MASTER_CLEAN!I156</f>
        <v>3</v>
      </c>
      <c r="G156" s="5" t="n">
        <f aca="false">PAR_LEVELS!J156</f>
        <v>5.57142857142857</v>
      </c>
      <c r="H156" s="5" t="n">
        <f aca="false">PAR_LEVELS!K156</f>
        <v>3.71428571428571</v>
      </c>
      <c r="I156" s="5" t="n">
        <f aca="false">MAX(E156-G156,0)</f>
        <v>0</v>
      </c>
      <c r="J156" s="5" t="n">
        <f aca="false">MAX(F156-H156,0)</f>
        <v>0</v>
      </c>
      <c r="K156" s="5" t="n">
        <f aca="false">MAX(G156-E156,0)</f>
        <v>1.57142857142857</v>
      </c>
      <c r="L156" s="5" t="n">
        <f aca="false">MAX(H156-F156,0)</f>
        <v>0.714285714285714</v>
      </c>
      <c r="M156" s="5" t="str">
        <f aca="false">IF(AND(I156&gt;TransferMin,L156&gt;0),"OAK→HP",IF(AND(J156&gt;TransferMin,K156&gt;0),"HP→OAK","None"))</f>
        <v>None</v>
      </c>
      <c r="N156" s="5" t="n">
        <f aca="false">IF(M156="OAK→HP",MIN(I156,L156),IF(M156="HP→OAK",MIN(J156,K156),0))</f>
        <v>0</v>
      </c>
      <c r="O156" s="5" t="n">
        <f aca="false">MAX(K156-IF(M156="HP→OAK",N156,0),0)</f>
        <v>1.57142857142857</v>
      </c>
      <c r="P156" s="5" t="n">
        <f aca="false">MAX(L156-IF(M156="OAK→HP",N156,0),0)</f>
        <v>0.714285714285714</v>
      </c>
      <c r="Q156" s="5" t="n">
        <f aca="false">IF(O156&gt;0,CEILING(O156,ITEM_MASTER_CLEAN!G156),0)</f>
        <v>2</v>
      </c>
      <c r="R156" s="5" t="n">
        <f aca="false">IF(P156&gt;0,CEILING(P156,ITEM_MASTER_CLEAN!G156),0)</f>
        <v>1</v>
      </c>
      <c r="S156" s="5" t="n">
        <f aca="false">IF(G156=0,0,(1-MIN(E156/MAX(G156,1),1))*50+(1-MIN(F156/MAX(H156,1),1))*50)</f>
        <v>23.7179487179487</v>
      </c>
    </row>
    <row r="157" customFormat="false" ht="15" hidden="false" customHeight="false" outlineLevel="0" collapsed="false">
      <c r="A157" s="5" t="n">
        <f aca="false">ITEM_MASTER_CLEAN!A157</f>
        <v>156</v>
      </c>
      <c r="B157" s="5" t="n">
        <f aca="false">ITEM_MASTER_CLEAN!B157</f>
        <v>61581</v>
      </c>
      <c r="C157" s="5" t="str">
        <f aca="false">ITEM_MASTER_CLEAN!C157</f>
        <v>SPRINKLES RAINBOW 3K</v>
      </c>
      <c r="D157" s="12" t="n">
        <f aca="false">ITEM_MASTER_CLEAN!F157</f>
        <v>50.1</v>
      </c>
      <c r="E157" s="5" t="n">
        <f aca="false">ITEM_MASTER_CLEAN!H157</f>
        <v>2</v>
      </c>
      <c r="F157" s="5" t="n">
        <f aca="false">ITEM_MASTER_CLEAN!I157</f>
        <v>2</v>
      </c>
      <c r="G157" s="5" t="n">
        <f aca="false">PAR_LEVELS!J157</f>
        <v>11.1428571428571</v>
      </c>
      <c r="H157" s="5" t="n">
        <f aca="false">PAR_LEVELS!K157</f>
        <v>1.85714285714286</v>
      </c>
      <c r="I157" s="5" t="n">
        <f aca="false">MAX(E157-G157,0)</f>
        <v>0</v>
      </c>
      <c r="J157" s="5" t="n">
        <f aca="false">MAX(F157-H157,0)</f>
        <v>0.142857142857143</v>
      </c>
      <c r="K157" s="5" t="n">
        <f aca="false">MAX(G157-E157,0)</f>
        <v>9.14285714285714</v>
      </c>
      <c r="L157" s="5" t="n">
        <f aca="false">MAX(H157-F157,0)</f>
        <v>0</v>
      </c>
      <c r="M157" s="5" t="str">
        <f aca="false">IF(AND(I157&gt;TransferMin,L157&gt;0),"OAK→HP",IF(AND(J157&gt;TransferMin,K157&gt;0),"HP→OAK","None"))</f>
        <v>None</v>
      </c>
      <c r="N157" s="5" t="n">
        <f aca="false">IF(M157="OAK→HP",MIN(I157,L157),IF(M157="HP→OAK",MIN(J157,K157),0))</f>
        <v>0</v>
      </c>
      <c r="O157" s="5" t="n">
        <f aca="false">MAX(K157-IF(M157="HP→OAK",N157,0),0)</f>
        <v>9.14285714285714</v>
      </c>
      <c r="P157" s="5" t="n">
        <f aca="false">MAX(L157-IF(M157="OAK→HP",N157,0),0)</f>
        <v>0</v>
      </c>
      <c r="Q157" s="5" t="n">
        <f aca="false">IF(O157&gt;0,CEILING(O157,ITEM_MASTER_CLEAN!G157),0)</f>
        <v>10</v>
      </c>
      <c r="R157" s="5" t="n">
        <f aca="false">IF(P157&gt;0,CEILING(P157,ITEM_MASTER_CLEAN!G157),0)</f>
        <v>0</v>
      </c>
      <c r="S157" s="5" t="n">
        <f aca="false">IF(G157=0,0,(1-MIN(E157/MAX(G157,1),1))*50+(1-MIN(F157/MAX(H157,1),1))*50)</f>
        <v>41.025641025641</v>
      </c>
    </row>
    <row r="158" customFormat="false" ht="15" hidden="false" customHeight="false" outlineLevel="0" collapsed="false">
      <c r="A158" s="5" t="n">
        <f aca="false">ITEM_MASTER_CLEAN!A158</f>
        <v>157</v>
      </c>
      <c r="B158" s="5" t="n">
        <f aca="false">ITEM_MASTER_CLEAN!B158</f>
        <v>67089</v>
      </c>
      <c r="C158" s="5" t="str">
        <f aca="false">ITEM_MASTER_CLEAN!C158</f>
        <v>SYRUP VANILLA MONIN K 750ML</v>
      </c>
      <c r="D158" s="12" t="n">
        <f aca="false">ITEM_MASTER_CLEAN!F158</f>
        <v>11.75</v>
      </c>
      <c r="E158" s="5" t="n">
        <f aca="false">ITEM_MASTER_CLEAN!H158</f>
        <v>1</v>
      </c>
      <c r="F158" s="5" t="n">
        <f aca="false">ITEM_MASTER_CLEAN!I158</f>
        <v>3</v>
      </c>
      <c r="G158" s="5" t="n">
        <f aca="false">PAR_LEVELS!J158</f>
        <v>1.85714285714286</v>
      </c>
      <c r="H158" s="5" t="n">
        <f aca="false">PAR_LEVELS!K158</f>
        <v>3.71428571428571</v>
      </c>
      <c r="I158" s="5" t="n">
        <f aca="false">MAX(E158-G158,0)</f>
        <v>0</v>
      </c>
      <c r="J158" s="5" t="n">
        <f aca="false">MAX(F158-H158,0)</f>
        <v>0</v>
      </c>
      <c r="K158" s="5" t="n">
        <f aca="false">MAX(G158-E158,0)</f>
        <v>0.857142857142857</v>
      </c>
      <c r="L158" s="5" t="n">
        <f aca="false">MAX(H158-F158,0)</f>
        <v>0.714285714285714</v>
      </c>
      <c r="M158" s="5" t="str">
        <f aca="false">IF(AND(I158&gt;TransferMin,L158&gt;0),"OAK→HP",IF(AND(J158&gt;TransferMin,K158&gt;0),"HP→OAK","None"))</f>
        <v>None</v>
      </c>
      <c r="N158" s="5" t="n">
        <f aca="false">IF(M158="OAK→HP",MIN(I158,L158),IF(M158="HP→OAK",MIN(J158,K158),0))</f>
        <v>0</v>
      </c>
      <c r="O158" s="5" t="n">
        <f aca="false">MAX(K158-IF(M158="HP→OAK",N158,0),0)</f>
        <v>0.857142857142857</v>
      </c>
      <c r="P158" s="5" t="n">
        <f aca="false">MAX(L158-IF(M158="OAK→HP",N158,0),0)</f>
        <v>0.714285714285714</v>
      </c>
      <c r="Q158" s="5" t="n">
        <f aca="false">IF(O158&gt;0,CEILING(O158,ITEM_MASTER_CLEAN!G158),0)</f>
        <v>1</v>
      </c>
      <c r="R158" s="5" t="n">
        <f aca="false">IF(P158&gt;0,CEILING(P158,ITEM_MASTER_CLEAN!G158),0)</f>
        <v>1</v>
      </c>
      <c r="S158" s="5" t="n">
        <f aca="false">IF(G158=0,0,(1-MIN(E158/MAX(G158,1),1))*50+(1-MIN(F158/MAX(H158,1),1))*50)</f>
        <v>32.6923076923077</v>
      </c>
    </row>
    <row r="159" customFormat="false" ht="15" hidden="false" customHeight="false" outlineLevel="0" collapsed="false">
      <c r="A159" s="5" t="n">
        <f aca="false">ITEM_MASTER_CLEAN!A159</f>
        <v>158</v>
      </c>
      <c r="B159" s="5" t="n">
        <f aca="false">ITEM_MASTER_CLEAN!B159</f>
        <v>67123</v>
      </c>
      <c r="C159" s="5" t="str">
        <f aca="false">ITEM_MASTER_CLEAN!C159</f>
        <v>SYRUP PUR CANE SUG MONIN 750ML</v>
      </c>
      <c r="D159" s="12" t="n">
        <f aca="false">ITEM_MASTER_CLEAN!F159</f>
        <v>12.51</v>
      </c>
      <c r="E159" s="5" t="n">
        <f aca="false">ITEM_MASTER_CLEAN!H159</f>
        <v>0</v>
      </c>
      <c r="F159" s="5" t="n">
        <f aca="false">ITEM_MASTER_CLEAN!I159</f>
        <v>0</v>
      </c>
      <c r="G159" s="5" t="n">
        <f aca="false">PAR_LEVELS!J159</f>
        <v>3.71428571428571</v>
      </c>
      <c r="H159" s="5" t="n">
        <f aca="false">PAR_LEVELS!K159</f>
        <v>1.85714285714286</v>
      </c>
      <c r="I159" s="5" t="n">
        <f aca="false">MAX(E159-G159,0)</f>
        <v>0</v>
      </c>
      <c r="J159" s="5" t="n">
        <f aca="false">MAX(F159-H159,0)</f>
        <v>0</v>
      </c>
      <c r="K159" s="5" t="n">
        <f aca="false">MAX(G159-E159,0)</f>
        <v>3.71428571428571</v>
      </c>
      <c r="L159" s="5" t="n">
        <f aca="false">MAX(H159-F159,0)</f>
        <v>1.85714285714286</v>
      </c>
      <c r="M159" s="5" t="str">
        <f aca="false">IF(AND(I159&gt;TransferMin,L159&gt;0),"OAK→HP",IF(AND(J159&gt;TransferMin,K159&gt;0),"HP→OAK","None"))</f>
        <v>None</v>
      </c>
      <c r="N159" s="5" t="n">
        <f aca="false">IF(M159="OAK→HP",MIN(I159,L159),IF(M159="HP→OAK",MIN(J159,K159),0))</f>
        <v>0</v>
      </c>
      <c r="O159" s="5" t="n">
        <f aca="false">MAX(K159-IF(M159="HP→OAK",N159,0),0)</f>
        <v>3.71428571428571</v>
      </c>
      <c r="P159" s="5" t="n">
        <f aca="false">MAX(L159-IF(M159="OAK→HP",N159,0),0)</f>
        <v>1.85714285714286</v>
      </c>
      <c r="Q159" s="5" t="n">
        <f aca="false">IF(O159&gt;0,CEILING(O159,ITEM_MASTER_CLEAN!G159),0)</f>
        <v>4</v>
      </c>
      <c r="R159" s="5" t="n">
        <f aca="false">IF(P159&gt;0,CEILING(P159,ITEM_MASTER_CLEAN!G159),0)</f>
        <v>2</v>
      </c>
      <c r="S159" s="5" t="n">
        <f aca="false">IF(G159=0,0,(1-MIN(E159/MAX(G159,1),1))*50+(1-MIN(F159/MAX(H159,1),1))*50)</f>
        <v>100</v>
      </c>
    </row>
    <row r="160" customFormat="false" ht="15" hidden="false" customHeight="false" outlineLevel="0" collapsed="false">
      <c r="A160" s="5" t="n">
        <f aca="false">ITEM_MASTER_CLEAN!A160</f>
        <v>159</v>
      </c>
      <c r="B160" s="5" t="n">
        <f aca="false">ITEM_MASTER_CLEAN!B160</f>
        <v>67121</v>
      </c>
      <c r="C160" s="5" t="str">
        <f aca="false">ITEM_MASTER_CLEAN!C160</f>
        <v>SYRUP MOJITO MONIN 750ML</v>
      </c>
      <c r="D160" s="12" t="n">
        <f aca="false">ITEM_MASTER_CLEAN!F160</f>
        <v>10.21</v>
      </c>
      <c r="E160" s="5" t="n">
        <f aca="false">ITEM_MASTER_CLEAN!H160</f>
        <v>1</v>
      </c>
      <c r="F160" s="5" t="n">
        <f aca="false">ITEM_MASTER_CLEAN!I160</f>
        <v>0</v>
      </c>
      <c r="G160" s="5" t="n">
        <f aca="false">PAR_LEVELS!J160</f>
        <v>5.57142857142857</v>
      </c>
      <c r="H160" s="5" t="n">
        <f aca="false">PAR_LEVELS!K160</f>
        <v>3.71428571428571</v>
      </c>
      <c r="I160" s="5" t="n">
        <f aca="false">MAX(E160-G160,0)</f>
        <v>0</v>
      </c>
      <c r="J160" s="5" t="n">
        <f aca="false">MAX(F160-H160,0)</f>
        <v>0</v>
      </c>
      <c r="K160" s="5" t="n">
        <f aca="false">MAX(G160-E160,0)</f>
        <v>4.57142857142857</v>
      </c>
      <c r="L160" s="5" t="n">
        <f aca="false">MAX(H160-F160,0)</f>
        <v>3.71428571428571</v>
      </c>
      <c r="M160" s="5" t="str">
        <f aca="false">IF(AND(I160&gt;TransferMin,L160&gt;0),"OAK→HP",IF(AND(J160&gt;TransferMin,K160&gt;0),"HP→OAK","None"))</f>
        <v>None</v>
      </c>
      <c r="N160" s="5" t="n">
        <f aca="false">IF(M160="OAK→HP",MIN(I160,L160),IF(M160="HP→OAK",MIN(J160,K160),0))</f>
        <v>0</v>
      </c>
      <c r="O160" s="5" t="n">
        <f aca="false">MAX(K160-IF(M160="HP→OAK",N160,0),0)</f>
        <v>4.57142857142857</v>
      </c>
      <c r="P160" s="5" t="n">
        <f aca="false">MAX(L160-IF(M160="OAK→HP",N160,0),0)</f>
        <v>3.71428571428571</v>
      </c>
      <c r="Q160" s="5" t="n">
        <f aca="false">IF(O160&gt;0,CEILING(O160,ITEM_MASTER_CLEAN!G160),0)</f>
        <v>5</v>
      </c>
      <c r="R160" s="5" t="n">
        <f aca="false">IF(P160&gt;0,CEILING(P160,ITEM_MASTER_CLEAN!G160),0)</f>
        <v>4</v>
      </c>
      <c r="S160" s="5" t="n">
        <f aca="false">IF(G160=0,0,(1-MIN(E160/MAX(G160,1),1))*50+(1-MIN(F160/MAX(H160,1),1))*50)</f>
        <v>91.025641025641</v>
      </c>
    </row>
    <row r="161" customFormat="false" ht="15" hidden="false" customHeight="false" outlineLevel="0" collapsed="false">
      <c r="A161" s="5" t="n">
        <f aca="false">ITEM_MASTER_CLEAN!A161</f>
        <v>160</v>
      </c>
      <c r="B161" s="5" t="n">
        <f aca="false">ITEM_MASTER_CLEAN!B161</f>
        <v>67094</v>
      </c>
      <c r="C161" s="5" t="str">
        <f aca="false">ITEM_MASTER_CLEAN!C161</f>
        <v>PUMP SYRUP MONIN 750ML(WHITE) 1</v>
      </c>
      <c r="D161" s="12" t="n">
        <f aca="false">ITEM_MASTER_CLEAN!F161</f>
        <v>7.01</v>
      </c>
      <c r="E161" s="5" t="n">
        <f aca="false">ITEM_MASTER_CLEAN!H161</f>
        <v>1</v>
      </c>
      <c r="F161" s="5" t="n">
        <f aca="false">ITEM_MASTER_CLEAN!I161</f>
        <v>3</v>
      </c>
      <c r="G161" s="5" t="n">
        <f aca="false">PAR_LEVELS!J161</f>
        <v>1.85714285714286</v>
      </c>
      <c r="H161" s="5" t="n">
        <f aca="false">PAR_LEVELS!K161</f>
        <v>3.71428571428571</v>
      </c>
      <c r="I161" s="5" t="n">
        <f aca="false">MAX(E161-G161,0)</f>
        <v>0</v>
      </c>
      <c r="J161" s="5" t="n">
        <f aca="false">MAX(F161-H161,0)</f>
        <v>0</v>
      </c>
      <c r="K161" s="5" t="n">
        <f aca="false">MAX(G161-E161,0)</f>
        <v>0.857142857142857</v>
      </c>
      <c r="L161" s="5" t="n">
        <f aca="false">MAX(H161-F161,0)</f>
        <v>0.714285714285714</v>
      </c>
      <c r="M161" s="5" t="str">
        <f aca="false">IF(AND(I161&gt;TransferMin,L161&gt;0),"OAK→HP",IF(AND(J161&gt;TransferMin,K161&gt;0),"HP→OAK","None"))</f>
        <v>None</v>
      </c>
      <c r="N161" s="5" t="n">
        <f aca="false">IF(M161="OAK→HP",MIN(I161,L161),IF(M161="HP→OAK",MIN(J161,K161),0))</f>
        <v>0</v>
      </c>
      <c r="O161" s="5" t="n">
        <f aca="false">MAX(K161-IF(M161="HP→OAK",N161,0),0)</f>
        <v>0.857142857142857</v>
      </c>
      <c r="P161" s="5" t="n">
        <f aca="false">MAX(L161-IF(M161="OAK→HP",N161,0),0)</f>
        <v>0.714285714285714</v>
      </c>
      <c r="Q161" s="5" t="n">
        <f aca="false">IF(O161&gt;0,CEILING(O161,ITEM_MASTER_CLEAN!G161),0)</f>
        <v>1</v>
      </c>
      <c r="R161" s="5" t="n">
        <f aca="false">IF(P161&gt;0,CEILING(P161,ITEM_MASTER_CLEAN!G161),0)</f>
        <v>1</v>
      </c>
      <c r="S161" s="5" t="n">
        <f aca="false">IF(G161=0,0,(1-MIN(E161/MAX(G161,1),1))*50+(1-MIN(F161/MAX(H161,1),1))*50)</f>
        <v>32.6923076923077</v>
      </c>
    </row>
    <row r="162" customFormat="false" ht="23.85" hidden="false" customHeight="false" outlineLevel="0" collapsed="false">
      <c r="A162" s="5" t="n">
        <f aca="false">ITEM_MASTER_CLEAN!A162</f>
        <v>161</v>
      </c>
      <c r="B162" s="5" t="n">
        <f aca="false">ITEM_MASTER_CLEAN!B162</f>
        <v>67106</v>
      </c>
      <c r="C162" s="5" t="str">
        <f aca="false">ITEM_MASTER_CLEAN!C162</f>
        <v>COFF ICED CONCENTRATE M-FT216F 4X1L</v>
      </c>
      <c r="D162" s="12" t="n">
        <f aca="false">ITEM_MASTER_CLEAN!F162</f>
        <v>13.1</v>
      </c>
      <c r="E162" s="5" t="n">
        <f aca="false">ITEM_MASTER_CLEAN!H162</f>
        <v>1</v>
      </c>
      <c r="F162" s="5" t="n">
        <f aca="false">ITEM_MASTER_CLEAN!I162</f>
        <v>3</v>
      </c>
      <c r="G162" s="5" t="n">
        <f aca="false">PAR_LEVELS!J162</f>
        <v>1.85714285714286</v>
      </c>
      <c r="H162" s="5" t="n">
        <f aca="false">PAR_LEVELS!K162</f>
        <v>3.71428571428571</v>
      </c>
      <c r="I162" s="5" t="n">
        <f aca="false">MAX(E162-G162,0)</f>
        <v>0</v>
      </c>
      <c r="J162" s="5" t="n">
        <f aca="false">MAX(F162-H162,0)</f>
        <v>0</v>
      </c>
      <c r="K162" s="5" t="n">
        <f aca="false">MAX(G162-E162,0)</f>
        <v>0.857142857142857</v>
      </c>
      <c r="L162" s="5" t="n">
        <f aca="false">MAX(H162-F162,0)</f>
        <v>0.714285714285714</v>
      </c>
      <c r="M162" s="5" t="str">
        <f aca="false">IF(AND(I162&gt;TransferMin,L162&gt;0),"OAK→HP",IF(AND(J162&gt;TransferMin,K162&gt;0),"HP→OAK","None"))</f>
        <v>None</v>
      </c>
      <c r="N162" s="5" t="n">
        <f aca="false">IF(M162="OAK→HP",MIN(I162,L162),IF(M162="HP→OAK",MIN(J162,K162),0))</f>
        <v>0</v>
      </c>
      <c r="O162" s="5" t="n">
        <f aca="false">MAX(K162-IF(M162="HP→OAK",N162,0),0)</f>
        <v>0.857142857142857</v>
      </c>
      <c r="P162" s="5" t="n">
        <f aca="false">MAX(L162-IF(M162="OAK→HP",N162,0),0)</f>
        <v>0.714285714285714</v>
      </c>
      <c r="Q162" s="5" t="n">
        <f aca="false">IF(O162&gt;0,CEILING(O162,ITEM_MASTER_CLEAN!G162),0)</f>
        <v>4</v>
      </c>
      <c r="R162" s="5" t="n">
        <f aca="false">IF(P162&gt;0,CEILING(P162,ITEM_MASTER_CLEAN!G162),0)</f>
        <v>4</v>
      </c>
      <c r="S162" s="5" t="n">
        <f aca="false">IF(G162=0,0,(1-MIN(E162/MAX(G162,1),1))*50+(1-MIN(F162/MAX(H162,1),1))*50)</f>
        <v>32.6923076923077</v>
      </c>
    </row>
    <row r="163" customFormat="false" ht="15" hidden="false" customHeight="false" outlineLevel="0" collapsed="false">
      <c r="A163" s="5" t="n">
        <f aca="false">ITEM_MASTER_CLEAN!A163</f>
        <v>162</v>
      </c>
      <c r="B163" s="5" t="n">
        <f aca="false">ITEM_MASTER_CLEAN!B163</f>
        <v>25645</v>
      </c>
      <c r="C163" s="5" t="str">
        <f aca="false">ITEM_MASTER_CLEAN!C163</f>
        <v>WATER ESKA NATURAL SPRING 24X500ML</v>
      </c>
      <c r="D163" s="12" t="n">
        <f aca="false">ITEM_MASTER_CLEAN!F163</f>
        <v>13.46</v>
      </c>
      <c r="E163" s="5" t="n">
        <f aca="false">ITEM_MASTER_CLEAN!H163</f>
        <v>7</v>
      </c>
      <c r="F163" s="5" t="n">
        <f aca="false">ITEM_MASTER_CLEAN!I163</f>
        <v>4</v>
      </c>
      <c r="G163" s="5" t="n">
        <f aca="false">PAR_LEVELS!J163</f>
        <v>11.1428571428571</v>
      </c>
      <c r="H163" s="5" t="n">
        <f aca="false">PAR_LEVELS!K163</f>
        <v>7.42857142857143</v>
      </c>
      <c r="I163" s="5" t="n">
        <f aca="false">MAX(E163-G163,0)</f>
        <v>0</v>
      </c>
      <c r="J163" s="5" t="n">
        <f aca="false">MAX(F163-H163,0)</f>
        <v>0</v>
      </c>
      <c r="K163" s="5" t="n">
        <f aca="false">MAX(G163-E163,0)</f>
        <v>4.14285714285714</v>
      </c>
      <c r="L163" s="5" t="n">
        <f aca="false">MAX(H163-F163,0)</f>
        <v>3.42857142857143</v>
      </c>
      <c r="M163" s="5" t="str">
        <f aca="false">IF(AND(I163&gt;TransferMin,L163&gt;0),"OAK→HP",IF(AND(J163&gt;TransferMin,K163&gt;0),"HP→OAK","None"))</f>
        <v>None</v>
      </c>
      <c r="N163" s="5" t="n">
        <f aca="false">IF(M163="OAK→HP",MIN(I163,L163),IF(M163="HP→OAK",MIN(J163,K163),0))</f>
        <v>0</v>
      </c>
      <c r="O163" s="5" t="n">
        <f aca="false">MAX(K163-IF(M163="HP→OAK",N163,0),0)</f>
        <v>4.14285714285714</v>
      </c>
      <c r="P163" s="5" t="n">
        <f aca="false">MAX(L163-IF(M163="OAK→HP",N163,0),0)</f>
        <v>3.42857142857143</v>
      </c>
      <c r="Q163" s="5" t="n">
        <f aca="false">IF(O163&gt;0,CEILING(O163,ITEM_MASTER_CLEAN!G163),0)</f>
        <v>24</v>
      </c>
      <c r="R163" s="5" t="n">
        <f aca="false">IF(P163&gt;0,CEILING(P163,ITEM_MASTER_CLEAN!G163),0)</f>
        <v>24</v>
      </c>
      <c r="S163" s="5" t="n">
        <f aca="false">IF(G163=0,0,(1-MIN(E163/MAX(G163,1),1))*50+(1-MIN(F163/MAX(H163,1),1))*50)</f>
        <v>41.6666666666667</v>
      </c>
    </row>
    <row r="164" customFormat="false" ht="15" hidden="false" customHeight="false" outlineLevel="0" collapsed="false">
      <c r="A164" s="5" t="n">
        <f aca="false">ITEM_MASTER_CLEAN!A164</f>
        <v>163</v>
      </c>
      <c r="B164" s="5" t="n">
        <f aca="false">ITEM_MASTER_CLEAN!B164</f>
        <v>724574</v>
      </c>
      <c r="C164" s="5" t="str">
        <f aca="false">ITEM_MASTER_CLEAN!C164</f>
        <v>BEV RED BULL SUGAR FREE 24X250ML</v>
      </c>
      <c r="D164" s="12" t="n">
        <f aca="false">ITEM_MASTER_CLEAN!F164</f>
        <v>54.25</v>
      </c>
      <c r="E164" s="5" t="n">
        <f aca="false">ITEM_MASTER_CLEAN!H164</f>
        <v>15</v>
      </c>
      <c r="F164" s="5" t="n">
        <f aca="false">ITEM_MASTER_CLEAN!I164</f>
        <v>0</v>
      </c>
      <c r="G164" s="5" t="n">
        <f aca="false">PAR_LEVELS!J164</f>
        <v>9.28571428571429</v>
      </c>
      <c r="H164" s="5" t="n">
        <f aca="false">PAR_LEVELS!K164</f>
        <v>3.71428571428571</v>
      </c>
      <c r="I164" s="5" t="n">
        <f aca="false">MAX(E164-G164,0)</f>
        <v>5.71428571428571</v>
      </c>
      <c r="J164" s="5" t="n">
        <f aca="false">MAX(F164-H164,0)</f>
        <v>0</v>
      </c>
      <c r="K164" s="5" t="n">
        <f aca="false">MAX(G164-E164,0)</f>
        <v>0</v>
      </c>
      <c r="L164" s="5" t="n">
        <f aca="false">MAX(H164-F164,0)</f>
        <v>3.71428571428571</v>
      </c>
      <c r="M164" s="5" t="str">
        <f aca="false">IF(AND(I164&gt;TransferMin,L164&gt;0),"OAK→HP",IF(AND(J164&gt;TransferMin,K164&gt;0),"HP→OAK","None"))</f>
        <v>OAK→HP</v>
      </c>
      <c r="N164" s="5" t="n">
        <f aca="false">IF(M164="OAK→HP",MIN(I164,L164),IF(M164="HP→OAK",MIN(J164,K164),0))</f>
        <v>3.71428571428571</v>
      </c>
      <c r="O164" s="5" t="n">
        <f aca="false">MAX(K164-IF(M164="HP→OAK",N164,0),0)</f>
        <v>0</v>
      </c>
      <c r="P164" s="5" t="n">
        <f aca="false">MAX(L164-IF(M164="OAK→HP",N164,0),0)</f>
        <v>0</v>
      </c>
      <c r="Q164" s="5" t="n">
        <f aca="false">IF(O164&gt;0,CEILING(O164,ITEM_MASTER_CLEAN!G164),0)</f>
        <v>0</v>
      </c>
      <c r="R164" s="5" t="n">
        <f aca="false">IF(P164&gt;0,CEILING(P164,ITEM_MASTER_CLEAN!G164),0)</f>
        <v>0</v>
      </c>
      <c r="S164" s="5" t="n">
        <f aca="false">IF(G164=0,0,(1-MIN(E164/MAX(G164,1),1))*50+(1-MIN(F164/MAX(H164,1),1))*50)</f>
        <v>50</v>
      </c>
    </row>
    <row r="165" customFormat="false" ht="15" hidden="false" customHeight="false" outlineLevel="0" collapsed="false">
      <c r="A165" s="5" t="n">
        <f aca="false">ITEM_MASTER_CLEAN!A165</f>
        <v>164</v>
      </c>
      <c r="B165" s="5" t="n">
        <f aca="false">ITEM_MASTER_CLEAN!B165</f>
        <v>724573</v>
      </c>
      <c r="C165" s="5" t="str">
        <f aca="false">ITEM_MASTER_CLEAN!C165</f>
        <v>BEV RED BULL 24X250ML</v>
      </c>
      <c r="D165" s="12" t="n">
        <f aca="false">ITEM_MASTER_CLEAN!F165</f>
        <v>53.39</v>
      </c>
      <c r="E165" s="5" t="n">
        <f aca="false">ITEM_MASTER_CLEAN!H165</f>
        <v>1</v>
      </c>
      <c r="F165" s="5" t="n">
        <f aca="false">ITEM_MASTER_CLEAN!I165</f>
        <v>1</v>
      </c>
      <c r="G165" s="5" t="n">
        <f aca="false">PAR_LEVELS!J165</f>
        <v>14.8571428571429</v>
      </c>
      <c r="H165" s="5" t="n">
        <f aca="false">PAR_LEVELS!K165</f>
        <v>9.28571428571429</v>
      </c>
      <c r="I165" s="5" t="n">
        <f aca="false">MAX(E165-G165,0)</f>
        <v>0</v>
      </c>
      <c r="J165" s="5" t="n">
        <f aca="false">MAX(F165-H165,0)</f>
        <v>0</v>
      </c>
      <c r="K165" s="5" t="n">
        <f aca="false">MAX(G165-E165,0)</f>
        <v>13.8571428571429</v>
      </c>
      <c r="L165" s="5" t="n">
        <f aca="false">MAX(H165-F165,0)</f>
        <v>8.28571428571429</v>
      </c>
      <c r="M165" s="5" t="str">
        <f aca="false">IF(AND(I165&gt;TransferMin,L165&gt;0),"OAK→HP",IF(AND(J165&gt;TransferMin,K165&gt;0),"HP→OAK","None"))</f>
        <v>None</v>
      </c>
      <c r="N165" s="5" t="n">
        <f aca="false">IF(M165="OAK→HP",MIN(I165,L165),IF(M165="HP→OAK",MIN(J165,K165),0))</f>
        <v>0</v>
      </c>
      <c r="O165" s="5" t="n">
        <f aca="false">MAX(K165-IF(M165="HP→OAK",N165,0),0)</f>
        <v>13.8571428571429</v>
      </c>
      <c r="P165" s="5" t="n">
        <f aca="false">MAX(L165-IF(M165="OAK→HP",N165,0),0)</f>
        <v>8.28571428571429</v>
      </c>
      <c r="Q165" s="5" t="n">
        <f aca="false">IF(O165&gt;0,CEILING(O165,ITEM_MASTER_CLEAN!G165),0)</f>
        <v>24</v>
      </c>
      <c r="R165" s="5" t="n">
        <f aca="false">IF(P165&gt;0,CEILING(P165,ITEM_MASTER_CLEAN!G165),0)</f>
        <v>24</v>
      </c>
      <c r="S165" s="5" t="n">
        <f aca="false">IF(G165=0,0,(1-MIN(E165/MAX(G165,1),1))*50+(1-MIN(F165/MAX(H165,1),1))*50)</f>
        <v>91.25</v>
      </c>
    </row>
    <row r="166" customFormat="false" ht="15" hidden="false" customHeight="false" outlineLevel="0" collapsed="false">
      <c r="A166" s="5" t="n">
        <f aca="false">ITEM_MASTER_CLEAN!A166</f>
        <v>165</v>
      </c>
      <c r="B166" s="5" t="n">
        <f aca="false">ITEM_MASTER_CLEAN!B166</f>
        <v>724571</v>
      </c>
      <c r="C166" s="5" t="str">
        <f aca="false">ITEM_MASTER_CLEAN!C166</f>
        <v>BEV RED BULL WATERMELON 24X250ML</v>
      </c>
      <c r="D166" s="12" t="n">
        <f aca="false">ITEM_MASTER_CLEAN!F166</f>
        <v>59.27</v>
      </c>
      <c r="E166" s="5" t="n">
        <f aca="false">ITEM_MASTER_CLEAN!H166</f>
        <v>22</v>
      </c>
      <c r="F166" s="5" t="n">
        <f aca="false">ITEM_MASTER_CLEAN!I166</f>
        <v>2</v>
      </c>
      <c r="G166" s="5" t="n">
        <f aca="false">PAR_LEVELS!J166</f>
        <v>13</v>
      </c>
      <c r="H166" s="5" t="n">
        <f aca="false">PAR_LEVELS!K166</f>
        <v>9.28571428571429</v>
      </c>
      <c r="I166" s="5" t="n">
        <f aca="false">MAX(E166-G166,0)</f>
        <v>9</v>
      </c>
      <c r="J166" s="5" t="n">
        <f aca="false">MAX(F166-H166,0)</f>
        <v>0</v>
      </c>
      <c r="K166" s="5" t="n">
        <f aca="false">MAX(G166-E166,0)</f>
        <v>0</v>
      </c>
      <c r="L166" s="5" t="n">
        <f aca="false">MAX(H166-F166,0)</f>
        <v>7.28571428571429</v>
      </c>
      <c r="M166" s="5" t="str">
        <f aca="false">IF(AND(I166&gt;TransferMin,L166&gt;0),"OAK→HP",IF(AND(J166&gt;TransferMin,K166&gt;0),"HP→OAK","None"))</f>
        <v>OAK→HP</v>
      </c>
      <c r="N166" s="5" t="n">
        <f aca="false">IF(M166="OAK→HP",MIN(I166,L166),IF(M166="HP→OAK",MIN(J166,K166),0))</f>
        <v>7.28571428571429</v>
      </c>
      <c r="O166" s="5" t="n">
        <f aca="false">MAX(K166-IF(M166="HP→OAK",N166,0),0)</f>
        <v>0</v>
      </c>
      <c r="P166" s="5" t="n">
        <f aca="false">MAX(L166-IF(M166="OAK→HP",N166,0),0)</f>
        <v>0</v>
      </c>
      <c r="Q166" s="5" t="n">
        <f aca="false">IF(O166&gt;0,CEILING(O166,ITEM_MASTER_CLEAN!G166),0)</f>
        <v>0</v>
      </c>
      <c r="R166" s="5" t="n">
        <f aca="false">IF(P166&gt;0,CEILING(P166,ITEM_MASTER_CLEAN!G166),0)</f>
        <v>0</v>
      </c>
      <c r="S166" s="5" t="n">
        <f aca="false">IF(G166=0,0,(1-MIN(E166/MAX(G166,1),1))*50+(1-MIN(F166/MAX(H166,1),1))*50)</f>
        <v>39.2307692307692</v>
      </c>
    </row>
    <row r="167" customFormat="false" ht="15" hidden="false" customHeight="false" outlineLevel="0" collapsed="false">
      <c r="A167" s="5" t="n">
        <f aca="false">ITEM_MASTER_CLEAN!A167</f>
        <v>166</v>
      </c>
      <c r="B167" s="5" t="n">
        <f aca="false">ITEM_MASTER_CLEAN!B167</f>
        <v>45164</v>
      </c>
      <c r="C167" s="5" t="str">
        <f aca="false">ITEM_MASTER_CLEAN!C167</f>
        <v>POPPING BOBBA MANGO 2X3.1K</v>
      </c>
      <c r="D167" s="12" t="n">
        <f aca="false">ITEM_MASTER_CLEAN!F167</f>
        <v>28.94</v>
      </c>
      <c r="E167" s="5" t="n">
        <f aca="false">ITEM_MASTER_CLEAN!H167</f>
        <v>0</v>
      </c>
      <c r="F167" s="5" t="n">
        <f aca="false">ITEM_MASTER_CLEAN!I167</f>
        <v>12</v>
      </c>
      <c r="G167" s="5" t="n">
        <f aca="false">PAR_LEVELS!J167</f>
        <v>3.71428571428571</v>
      </c>
      <c r="H167" s="5" t="n">
        <f aca="false">PAR_LEVELS!K167</f>
        <v>7.42857142857143</v>
      </c>
      <c r="I167" s="5" t="n">
        <f aca="false">MAX(E167-G167,0)</f>
        <v>0</v>
      </c>
      <c r="J167" s="5" t="n">
        <f aca="false">MAX(F167-H167,0)</f>
        <v>4.57142857142857</v>
      </c>
      <c r="K167" s="5" t="n">
        <f aca="false">MAX(G167-E167,0)</f>
        <v>3.71428571428571</v>
      </c>
      <c r="L167" s="5" t="n">
        <f aca="false">MAX(H167-F167,0)</f>
        <v>0</v>
      </c>
      <c r="M167" s="5" t="str">
        <f aca="false">IF(AND(I167&gt;TransferMin,L167&gt;0),"OAK→HP",IF(AND(J167&gt;TransferMin,K167&gt;0),"HP→OAK","None"))</f>
        <v>None</v>
      </c>
      <c r="N167" s="5" t="n">
        <f aca="false">IF(M167="OAK→HP",MIN(I167,L167),IF(M167="HP→OAK",MIN(J167,K167),0))</f>
        <v>0</v>
      </c>
      <c r="O167" s="5" t="n">
        <f aca="false">MAX(K167-IF(M167="HP→OAK",N167,0),0)</f>
        <v>3.71428571428571</v>
      </c>
      <c r="P167" s="5" t="n">
        <f aca="false">MAX(L167-IF(M167="OAK→HP",N167,0),0)</f>
        <v>0</v>
      </c>
      <c r="Q167" s="5" t="n">
        <f aca="false">IF(O167&gt;0,CEILING(O167,ITEM_MASTER_CLEAN!G167),0)</f>
        <v>4</v>
      </c>
      <c r="R167" s="5" t="n">
        <f aca="false">IF(P167&gt;0,CEILING(P167,ITEM_MASTER_CLEAN!G167),0)</f>
        <v>0</v>
      </c>
      <c r="S167" s="5" t="n">
        <f aca="false">IF(G167=0,0,(1-MIN(E167/MAX(G167,1),1))*50+(1-MIN(F167/MAX(H167,1),1))*50)</f>
        <v>50</v>
      </c>
    </row>
    <row r="168" customFormat="false" ht="15" hidden="false" customHeight="false" outlineLevel="0" collapsed="false">
      <c r="A168" s="5" t="n">
        <f aca="false">ITEM_MASTER_CLEAN!A168</f>
        <v>167</v>
      </c>
      <c r="B168" s="5" t="n">
        <f aca="false">ITEM_MASTER_CLEAN!B168</f>
        <v>52266</v>
      </c>
      <c r="C168" s="5" t="str">
        <f aca="false">ITEM_MASTER_CLEAN!C168</f>
        <v>POPPING BOBBA STRAWBERRY 2X3.1K</v>
      </c>
      <c r="D168" s="12" t="n">
        <f aca="false">ITEM_MASTER_CLEAN!F168</f>
        <v>22.17</v>
      </c>
      <c r="E168" s="5" t="n">
        <f aca="false">ITEM_MASTER_CLEAN!H168</f>
        <v>3</v>
      </c>
      <c r="F168" s="5" t="n">
        <f aca="false">ITEM_MASTER_CLEAN!I168</f>
        <v>5</v>
      </c>
      <c r="G168" s="5" t="n">
        <f aca="false">PAR_LEVELS!J168</f>
        <v>3.71428571428571</v>
      </c>
      <c r="H168" s="5" t="n">
        <f aca="false">PAR_LEVELS!K168</f>
        <v>5.57142857142857</v>
      </c>
      <c r="I168" s="5" t="n">
        <f aca="false">MAX(E168-G168,0)</f>
        <v>0</v>
      </c>
      <c r="J168" s="5" t="n">
        <f aca="false">MAX(F168-H168,0)</f>
        <v>0</v>
      </c>
      <c r="K168" s="5" t="n">
        <f aca="false">MAX(G168-E168,0)</f>
        <v>0.714285714285714</v>
      </c>
      <c r="L168" s="5" t="n">
        <f aca="false">MAX(H168-F168,0)</f>
        <v>0.571428571428571</v>
      </c>
      <c r="M168" s="5" t="str">
        <f aca="false">IF(AND(I168&gt;TransferMin,L168&gt;0),"OAK→HP",IF(AND(J168&gt;TransferMin,K168&gt;0),"HP→OAK","None"))</f>
        <v>None</v>
      </c>
      <c r="N168" s="5" t="n">
        <f aca="false">IF(M168="OAK→HP",MIN(I168,L168),IF(M168="HP→OAK",MIN(J168,K168),0))</f>
        <v>0</v>
      </c>
      <c r="O168" s="5" t="n">
        <f aca="false">MAX(K168-IF(M168="HP→OAK",N168,0),0)</f>
        <v>0.714285714285714</v>
      </c>
      <c r="P168" s="5" t="n">
        <f aca="false">MAX(L168-IF(M168="OAK→HP",N168,0),0)</f>
        <v>0.571428571428571</v>
      </c>
      <c r="Q168" s="5" t="n">
        <f aca="false">IF(O168&gt;0,CEILING(O168,ITEM_MASTER_CLEAN!G168),0)</f>
        <v>2</v>
      </c>
      <c r="R168" s="5" t="n">
        <f aca="false">IF(P168&gt;0,CEILING(P168,ITEM_MASTER_CLEAN!G168),0)</f>
        <v>2</v>
      </c>
      <c r="S168" s="5" t="n">
        <f aca="false">IF(G168=0,0,(1-MIN(E168/MAX(G168,1),1))*50+(1-MIN(F168/MAX(H168,1),1))*50)</f>
        <v>14.7435897435897</v>
      </c>
    </row>
    <row r="169" customFormat="false" ht="23.85" hidden="false" customHeight="false" outlineLevel="0" collapsed="false">
      <c r="A169" s="5" t="n">
        <f aca="false">ITEM_MASTER_CLEAN!A169</f>
        <v>168</v>
      </c>
      <c r="B169" s="5" t="n">
        <f aca="false">ITEM_MASTER_CLEAN!B169</f>
        <v>39813</v>
      </c>
      <c r="C169" s="5" t="str">
        <f aca="false">ITEM_MASTER_CLEAN!C169</f>
        <v>LADIP SMOOTH MAN/PCH(SUNRIZE)40X135</v>
      </c>
      <c r="D169" s="12" t="n">
        <f aca="false">ITEM_MASTER_CLEAN!F169</f>
        <v>25.74</v>
      </c>
      <c r="E169" s="5" t="n">
        <f aca="false">ITEM_MASTER_CLEAN!H169</f>
        <v>18</v>
      </c>
      <c r="F169" s="5" t="n">
        <f aca="false">ITEM_MASTER_CLEAN!I169</f>
        <v>0</v>
      </c>
      <c r="G169" s="5" t="n">
        <f aca="false">PAR_LEVELS!J169</f>
        <v>9.28571428571429</v>
      </c>
      <c r="H169" s="5" t="n">
        <f aca="false">PAR_LEVELS!K169</f>
        <v>1.85714285714286</v>
      </c>
      <c r="I169" s="5" t="n">
        <f aca="false">MAX(E169-G169,0)</f>
        <v>8.71428571428571</v>
      </c>
      <c r="J169" s="5" t="n">
        <f aca="false">MAX(F169-H169,0)</f>
        <v>0</v>
      </c>
      <c r="K169" s="5" t="n">
        <f aca="false">MAX(G169-E169,0)</f>
        <v>0</v>
      </c>
      <c r="L169" s="5" t="n">
        <f aca="false">MAX(H169-F169,0)</f>
        <v>1.85714285714286</v>
      </c>
      <c r="M169" s="5" t="str">
        <f aca="false">IF(AND(I169&gt;TransferMin,L169&gt;0),"OAK→HP",IF(AND(J169&gt;TransferMin,K169&gt;0),"HP→OAK","None"))</f>
        <v>OAK→HP</v>
      </c>
      <c r="N169" s="5" t="n">
        <f aca="false">IF(M169="OAK→HP",MIN(I169,L169),IF(M169="HP→OAK",MIN(J169,K169),0))</f>
        <v>1.85714285714286</v>
      </c>
      <c r="O169" s="5" t="n">
        <f aca="false">MAX(K169-IF(M169="HP→OAK",N169,0),0)</f>
        <v>0</v>
      </c>
      <c r="P169" s="5" t="n">
        <f aca="false">MAX(L169-IF(M169="OAK→HP",N169,0),0)</f>
        <v>0</v>
      </c>
      <c r="Q169" s="5" t="n">
        <f aca="false">IF(O169&gt;0,CEILING(O169,ITEM_MASTER_CLEAN!G169),0)</f>
        <v>0</v>
      </c>
      <c r="R169" s="5" t="n">
        <f aca="false">IF(P169&gt;0,CEILING(P169,ITEM_MASTER_CLEAN!G169),0)</f>
        <v>0</v>
      </c>
      <c r="S169" s="5" t="n">
        <f aca="false">IF(G169=0,0,(1-MIN(E169/MAX(G169,1),1))*50+(1-MIN(F169/MAX(H169,1),1))*50)</f>
        <v>50</v>
      </c>
    </row>
    <row r="170" customFormat="false" ht="15" hidden="false" customHeight="false" outlineLevel="0" collapsed="false">
      <c r="A170" s="5" t="n">
        <f aca="false">ITEM_MASTER_CLEAN!A170</f>
        <v>169</v>
      </c>
      <c r="B170" s="5" t="n">
        <f aca="false">ITEM_MASTER_CLEAN!B170</f>
        <v>39814</v>
      </c>
      <c r="C170" s="5" t="str">
        <f aca="false">ITEM_MASTER_CLEAN!C170</f>
        <v>LADIP SMOOTHIE MAN/KIWI(AZUR)40X135</v>
      </c>
      <c r="D170" s="12" t="n">
        <f aca="false">ITEM_MASTER_CLEAN!F170</f>
        <v>42.18</v>
      </c>
      <c r="E170" s="5" t="n">
        <f aca="false">ITEM_MASTER_CLEAN!H170</f>
        <v>3</v>
      </c>
      <c r="F170" s="5" t="n">
        <f aca="false">ITEM_MASTER_CLEAN!I170</f>
        <v>4</v>
      </c>
      <c r="G170" s="5" t="n">
        <f aca="false">PAR_LEVELS!J170</f>
        <v>3.71428571428571</v>
      </c>
      <c r="H170" s="5" t="n">
        <f aca="false">PAR_LEVELS!K170</f>
        <v>5.57142857142857</v>
      </c>
      <c r="I170" s="5" t="n">
        <f aca="false">MAX(E170-G170,0)</f>
        <v>0</v>
      </c>
      <c r="J170" s="5" t="n">
        <f aca="false">MAX(F170-H170,0)</f>
        <v>0</v>
      </c>
      <c r="K170" s="5" t="n">
        <f aca="false">MAX(G170-E170,0)</f>
        <v>0.714285714285714</v>
      </c>
      <c r="L170" s="5" t="n">
        <f aca="false">MAX(H170-F170,0)</f>
        <v>1.57142857142857</v>
      </c>
      <c r="M170" s="5" t="str">
        <f aca="false">IF(AND(I170&gt;TransferMin,L170&gt;0),"OAK→HP",IF(AND(J170&gt;TransferMin,K170&gt;0),"HP→OAK","None"))</f>
        <v>None</v>
      </c>
      <c r="N170" s="5" t="n">
        <f aca="false">IF(M170="OAK→HP",MIN(I170,L170),IF(M170="HP→OAK",MIN(J170,K170),0))</f>
        <v>0</v>
      </c>
      <c r="O170" s="5" t="n">
        <f aca="false">MAX(K170-IF(M170="HP→OAK",N170,0),0)</f>
        <v>0.714285714285714</v>
      </c>
      <c r="P170" s="5" t="n">
        <f aca="false">MAX(L170-IF(M170="OAK→HP",N170,0),0)</f>
        <v>1.57142857142857</v>
      </c>
      <c r="Q170" s="5" t="n">
        <f aca="false">IF(O170&gt;0,CEILING(O170,ITEM_MASTER_CLEAN!G170),0)</f>
        <v>40</v>
      </c>
      <c r="R170" s="5" t="n">
        <f aca="false">IF(P170&gt;0,CEILING(P170,ITEM_MASTER_CLEAN!G170),0)</f>
        <v>40</v>
      </c>
      <c r="S170" s="5" t="n">
        <f aca="false">IF(G170=0,0,(1-MIN(E170/MAX(G170,1),1))*50+(1-MIN(F170/MAX(H170,1),1))*50)</f>
        <v>23.7179487179487</v>
      </c>
    </row>
    <row r="171" customFormat="false" ht="15" hidden="false" customHeight="false" outlineLevel="0" collapsed="false">
      <c r="A171" s="5" t="n">
        <f aca="false">ITEM_MASTER_CLEAN!A171</f>
        <v>170</v>
      </c>
      <c r="B171" s="5" t="n">
        <f aca="false">ITEM_MASTER_CLEAN!B171</f>
        <v>32548</v>
      </c>
      <c r="C171" s="5" t="str">
        <f aca="false">ITEM_MASTER_CLEAN!C171</f>
        <v>JCE LEMON REALEMON K 2X3.8L</v>
      </c>
      <c r="D171" s="12" t="n">
        <f aca="false">ITEM_MASTER_CLEAN!F171</f>
        <v>39.86</v>
      </c>
      <c r="E171" s="5" t="n">
        <f aca="false">ITEM_MASTER_CLEAN!H171</f>
        <v>5</v>
      </c>
      <c r="F171" s="5" t="n">
        <f aca="false">ITEM_MASTER_CLEAN!I171</f>
        <v>2</v>
      </c>
      <c r="G171" s="5" t="n">
        <f aca="false">PAR_LEVELS!J171</f>
        <v>9.28571428571429</v>
      </c>
      <c r="H171" s="5" t="n">
        <f aca="false">PAR_LEVELS!K171</f>
        <v>3.71428571428571</v>
      </c>
      <c r="I171" s="5" t="n">
        <f aca="false">MAX(E171-G171,0)</f>
        <v>0</v>
      </c>
      <c r="J171" s="5" t="n">
        <f aca="false">MAX(F171-H171,0)</f>
        <v>0</v>
      </c>
      <c r="K171" s="5" t="n">
        <f aca="false">MAX(G171-E171,0)</f>
        <v>4.28571428571429</v>
      </c>
      <c r="L171" s="5" t="n">
        <f aca="false">MAX(H171-F171,0)</f>
        <v>1.71428571428571</v>
      </c>
      <c r="M171" s="5" t="str">
        <f aca="false">IF(AND(I171&gt;TransferMin,L171&gt;0),"OAK→HP",IF(AND(J171&gt;TransferMin,K171&gt;0),"HP→OAK","None"))</f>
        <v>None</v>
      </c>
      <c r="N171" s="5" t="n">
        <f aca="false">IF(M171="OAK→HP",MIN(I171,L171),IF(M171="HP→OAK",MIN(J171,K171),0))</f>
        <v>0</v>
      </c>
      <c r="O171" s="5" t="n">
        <f aca="false">MAX(K171-IF(M171="HP→OAK",N171,0),0)</f>
        <v>4.28571428571429</v>
      </c>
      <c r="P171" s="5" t="n">
        <f aca="false">MAX(L171-IF(M171="OAK→HP",N171,0),0)</f>
        <v>1.71428571428571</v>
      </c>
      <c r="Q171" s="5" t="n">
        <f aca="false">IF(O171&gt;0,CEILING(O171,ITEM_MASTER_CLEAN!G171),0)</f>
        <v>6</v>
      </c>
      <c r="R171" s="5" t="n">
        <f aca="false">IF(P171&gt;0,CEILING(P171,ITEM_MASTER_CLEAN!G171),0)</f>
        <v>2</v>
      </c>
      <c r="S171" s="5" t="n">
        <f aca="false">IF(G171=0,0,(1-MIN(E171/MAX(G171,1),1))*50+(1-MIN(F171/MAX(H171,1),1))*50)</f>
        <v>46.1538461538461</v>
      </c>
    </row>
    <row r="172" customFormat="false" ht="15" hidden="false" customHeight="false" outlineLevel="0" collapsed="false">
      <c r="A172" s="5" t="n">
        <f aca="false">ITEM_MASTER_CLEAN!A172</f>
        <v>171</v>
      </c>
      <c r="B172" s="5" t="n">
        <f aca="false">ITEM_MASTER_CLEAN!B172</f>
        <v>67168</v>
      </c>
      <c r="C172" s="5" t="str">
        <f aca="false">ITEM_MASTER_CLEAN!C172</f>
        <v>SYRUP MANGO M-FR032F 1L</v>
      </c>
      <c r="D172" s="12" t="n">
        <f aca="false">ITEM_MASTER_CLEAN!F172</f>
        <v>10.26</v>
      </c>
      <c r="E172" s="5" t="n">
        <f aca="false">ITEM_MASTER_CLEAN!H172</f>
        <v>1</v>
      </c>
      <c r="F172" s="5" t="n">
        <f aca="false">ITEM_MASTER_CLEAN!I172</f>
        <v>0</v>
      </c>
      <c r="G172" s="5" t="n">
        <f aca="false">PAR_LEVELS!J172</f>
        <v>5.57142857142857</v>
      </c>
      <c r="H172" s="5" t="n">
        <f aca="false">PAR_LEVELS!K172</f>
        <v>1.85714285714286</v>
      </c>
      <c r="I172" s="5" t="n">
        <f aca="false">MAX(E172-G172,0)</f>
        <v>0</v>
      </c>
      <c r="J172" s="5" t="n">
        <f aca="false">MAX(F172-H172,0)</f>
        <v>0</v>
      </c>
      <c r="K172" s="5" t="n">
        <f aca="false">MAX(G172-E172,0)</f>
        <v>4.57142857142857</v>
      </c>
      <c r="L172" s="5" t="n">
        <f aca="false">MAX(H172-F172,0)</f>
        <v>1.85714285714286</v>
      </c>
      <c r="M172" s="5" t="str">
        <f aca="false">IF(AND(I172&gt;TransferMin,L172&gt;0),"OAK→HP",IF(AND(J172&gt;TransferMin,K172&gt;0),"HP→OAK","None"))</f>
        <v>None</v>
      </c>
      <c r="N172" s="5" t="n">
        <f aca="false">IF(M172="OAK→HP",MIN(I172,L172),IF(M172="HP→OAK",MIN(J172,K172),0))</f>
        <v>0</v>
      </c>
      <c r="O172" s="5" t="n">
        <f aca="false">MAX(K172-IF(M172="HP→OAK",N172,0),0)</f>
        <v>4.57142857142857</v>
      </c>
      <c r="P172" s="5" t="n">
        <f aca="false">MAX(L172-IF(M172="OAK→HP",N172,0),0)</f>
        <v>1.85714285714286</v>
      </c>
      <c r="Q172" s="5" t="n">
        <f aca="false">IF(O172&gt;0,CEILING(O172,ITEM_MASTER_CLEAN!G172),0)</f>
        <v>5</v>
      </c>
      <c r="R172" s="5" t="n">
        <f aca="false">IF(P172&gt;0,CEILING(P172,ITEM_MASTER_CLEAN!G172),0)</f>
        <v>2</v>
      </c>
      <c r="S172" s="5" t="n">
        <f aca="false">IF(G172=0,0,(1-MIN(E172/MAX(G172,1),1))*50+(1-MIN(F172/MAX(H172,1),1))*50)</f>
        <v>91.025641025641</v>
      </c>
    </row>
    <row r="173" customFormat="false" ht="15" hidden="false" customHeight="false" outlineLevel="0" collapsed="false">
      <c r="A173" s="5" t="n">
        <f aca="false">ITEM_MASTER_CLEAN!A173</f>
        <v>172</v>
      </c>
      <c r="B173" s="5" t="n">
        <f aca="false">ITEM_MASTER_CLEAN!B173</f>
        <v>67154</v>
      </c>
      <c r="C173" s="5" t="str">
        <f aca="false">ITEM_MASTER_CLEAN!C173</f>
        <v>SYRUP PASSION FRUIT 1L</v>
      </c>
      <c r="D173" s="12" t="n">
        <f aca="false">ITEM_MASTER_CLEAN!F173</f>
        <v>10.22</v>
      </c>
      <c r="E173" s="5" t="n">
        <f aca="false">ITEM_MASTER_CLEAN!H173</f>
        <v>1</v>
      </c>
      <c r="F173" s="5" t="n">
        <f aca="false">ITEM_MASTER_CLEAN!I173</f>
        <v>9</v>
      </c>
      <c r="G173" s="5" t="n">
        <f aca="false">PAR_LEVELS!J173</f>
        <v>5.57142857142857</v>
      </c>
      <c r="H173" s="5" t="n">
        <f aca="false">PAR_LEVELS!K173</f>
        <v>5.57142857142857</v>
      </c>
      <c r="I173" s="5" t="n">
        <f aca="false">MAX(E173-G173,0)</f>
        <v>0</v>
      </c>
      <c r="J173" s="5" t="n">
        <f aca="false">MAX(F173-H173,0)</f>
        <v>3.42857142857143</v>
      </c>
      <c r="K173" s="5" t="n">
        <f aca="false">MAX(G173-E173,0)</f>
        <v>4.57142857142857</v>
      </c>
      <c r="L173" s="5" t="n">
        <f aca="false">MAX(H173-F173,0)</f>
        <v>0</v>
      </c>
      <c r="M173" s="5" t="str">
        <f aca="false">IF(AND(I173&gt;TransferMin,L173&gt;0),"OAK→HP",IF(AND(J173&gt;TransferMin,K173&gt;0),"HP→OAK","None"))</f>
        <v>None</v>
      </c>
      <c r="N173" s="5" t="n">
        <f aca="false">IF(M173="OAK→HP",MIN(I173,L173),IF(M173="HP→OAK",MIN(J173,K173),0))</f>
        <v>0</v>
      </c>
      <c r="O173" s="5" t="n">
        <f aca="false">MAX(K173-IF(M173="HP→OAK",N173,0),0)</f>
        <v>4.57142857142857</v>
      </c>
      <c r="P173" s="5" t="n">
        <f aca="false">MAX(L173-IF(M173="OAK→HP",N173,0),0)</f>
        <v>0</v>
      </c>
      <c r="Q173" s="5" t="n">
        <f aca="false">IF(O173&gt;0,CEILING(O173,ITEM_MASTER_CLEAN!G173),0)</f>
        <v>5</v>
      </c>
      <c r="R173" s="5" t="n">
        <f aca="false">IF(P173&gt;0,CEILING(P173,ITEM_MASTER_CLEAN!G173),0)</f>
        <v>0</v>
      </c>
      <c r="S173" s="5" t="n">
        <f aca="false">IF(G173=0,0,(1-MIN(E173/MAX(G173,1),1))*50+(1-MIN(F173/MAX(H173,1),1))*50)</f>
        <v>41.025641025641</v>
      </c>
    </row>
    <row r="174" customFormat="false" ht="15" hidden="false" customHeight="false" outlineLevel="0" collapsed="false">
      <c r="A174" s="5" t="n">
        <f aca="false">ITEM_MASTER_CLEAN!A174</f>
        <v>173</v>
      </c>
      <c r="B174" s="5" t="n">
        <f aca="false">ITEM_MASTER_CLEAN!B174</f>
        <v>67132</v>
      </c>
      <c r="C174" s="5" t="str">
        <f aca="false">ITEM_MASTER_CLEAN!C174</f>
        <v>SYRUP BLUE CURACAO M-AR007A  750ML</v>
      </c>
      <c r="D174" s="12" t="n">
        <f aca="false">ITEM_MASTER_CLEAN!F174</f>
        <v>12.46</v>
      </c>
      <c r="E174" s="5" t="n">
        <f aca="false">ITEM_MASTER_CLEAN!H174</f>
        <v>6</v>
      </c>
      <c r="F174" s="5" t="n">
        <f aca="false">ITEM_MASTER_CLEAN!I174</f>
        <v>3</v>
      </c>
      <c r="G174" s="5" t="n">
        <f aca="false">PAR_LEVELS!J174</f>
        <v>9.28571428571429</v>
      </c>
      <c r="H174" s="5" t="n">
        <f aca="false">PAR_LEVELS!K174</f>
        <v>5.57142857142857</v>
      </c>
      <c r="I174" s="5" t="n">
        <f aca="false">MAX(E174-G174,0)</f>
        <v>0</v>
      </c>
      <c r="J174" s="5" t="n">
        <f aca="false">MAX(F174-H174,0)</f>
        <v>0</v>
      </c>
      <c r="K174" s="5" t="n">
        <f aca="false">MAX(G174-E174,0)</f>
        <v>3.28571428571429</v>
      </c>
      <c r="L174" s="5" t="n">
        <f aca="false">MAX(H174-F174,0)</f>
        <v>2.57142857142857</v>
      </c>
      <c r="M174" s="5" t="str">
        <f aca="false">IF(AND(I174&gt;TransferMin,L174&gt;0),"OAK→HP",IF(AND(J174&gt;TransferMin,K174&gt;0),"HP→OAK","None"))</f>
        <v>None</v>
      </c>
      <c r="N174" s="5" t="n">
        <f aca="false">IF(M174="OAK→HP",MIN(I174,L174),IF(M174="HP→OAK",MIN(J174,K174),0))</f>
        <v>0</v>
      </c>
      <c r="O174" s="5" t="n">
        <f aca="false">MAX(K174-IF(M174="HP→OAK",N174,0),0)</f>
        <v>3.28571428571429</v>
      </c>
      <c r="P174" s="5" t="n">
        <f aca="false">MAX(L174-IF(M174="OAK→HP",N174,0),0)</f>
        <v>2.57142857142857</v>
      </c>
      <c r="Q174" s="5" t="n">
        <f aca="false">IF(O174&gt;0,CEILING(O174,ITEM_MASTER_CLEAN!G174),0)</f>
        <v>4</v>
      </c>
      <c r="R174" s="5" t="n">
        <f aca="false">IF(P174&gt;0,CEILING(P174,ITEM_MASTER_CLEAN!G174),0)</f>
        <v>3</v>
      </c>
      <c r="S174" s="5" t="n">
        <f aca="false">IF(G174=0,0,(1-MIN(E174/MAX(G174,1),1))*50+(1-MIN(F174/MAX(H174,1),1))*50)</f>
        <v>40.7692307692308</v>
      </c>
    </row>
    <row r="175" customFormat="false" ht="15" hidden="false" customHeight="false" outlineLevel="0" collapsed="false">
      <c r="A175" s="5" t="n">
        <f aca="false">ITEM_MASTER_CLEAN!A175</f>
        <v>174</v>
      </c>
      <c r="B175" s="5" t="n">
        <f aca="false">ITEM_MASTER_CLEAN!B175</f>
        <v>61661</v>
      </c>
      <c r="C175" s="5" t="str">
        <f aca="false">ITEM_MASTER_CLEAN!C175</f>
        <v>SYRUP RUBY RD GRFRUIT MONIN 1L</v>
      </c>
      <c r="D175" s="12" t="n">
        <f aca="false">ITEM_MASTER_CLEAN!F175</f>
        <v>14.81</v>
      </c>
      <c r="E175" s="5" t="n">
        <f aca="false">ITEM_MASTER_CLEAN!H175</f>
        <v>1</v>
      </c>
      <c r="F175" s="5" t="n">
        <f aca="false">ITEM_MASTER_CLEAN!I175</f>
        <v>3</v>
      </c>
      <c r="G175" s="5" t="n">
        <f aca="false">PAR_LEVELS!J175</f>
        <v>9.28571428571429</v>
      </c>
      <c r="H175" s="5" t="n">
        <f aca="false">PAR_LEVELS!K175</f>
        <v>1.85714285714286</v>
      </c>
      <c r="I175" s="5" t="n">
        <f aca="false">MAX(E175-G175,0)</f>
        <v>0</v>
      </c>
      <c r="J175" s="5" t="n">
        <f aca="false">MAX(F175-H175,0)</f>
        <v>1.14285714285714</v>
      </c>
      <c r="K175" s="5" t="n">
        <f aca="false">MAX(G175-E175,0)</f>
        <v>8.28571428571429</v>
      </c>
      <c r="L175" s="5" t="n">
        <f aca="false">MAX(H175-F175,0)</f>
        <v>0</v>
      </c>
      <c r="M175" s="5" t="str">
        <f aca="false">IF(AND(I175&gt;TransferMin,L175&gt;0),"OAK→HP",IF(AND(J175&gt;TransferMin,K175&gt;0),"HP→OAK","None"))</f>
        <v>None</v>
      </c>
      <c r="N175" s="5" t="n">
        <f aca="false">IF(M175="OAK→HP",MIN(I175,L175),IF(M175="HP→OAK",MIN(J175,K175),0))</f>
        <v>0</v>
      </c>
      <c r="O175" s="5" t="n">
        <f aca="false">MAX(K175-IF(M175="HP→OAK",N175,0),0)</f>
        <v>8.28571428571429</v>
      </c>
      <c r="P175" s="5" t="n">
        <f aca="false">MAX(L175-IF(M175="OAK→HP",N175,0),0)</f>
        <v>0</v>
      </c>
      <c r="Q175" s="5" t="n">
        <f aca="false">IF(O175&gt;0,CEILING(O175,ITEM_MASTER_CLEAN!G175),0)</f>
        <v>9</v>
      </c>
      <c r="R175" s="5" t="n">
        <f aca="false">IF(P175&gt;0,CEILING(P175,ITEM_MASTER_CLEAN!G175),0)</f>
        <v>0</v>
      </c>
      <c r="S175" s="5" t="n">
        <f aca="false">IF(G175=0,0,(1-MIN(E175/MAX(G175,1),1))*50+(1-MIN(F175/MAX(H175,1),1))*50)</f>
        <v>44.6153846153846</v>
      </c>
    </row>
    <row r="176" customFormat="false" ht="15" hidden="false" customHeight="false" outlineLevel="0" collapsed="false">
      <c r="A176" s="5" t="n">
        <f aca="false">ITEM_MASTER_CLEAN!A176</f>
        <v>175</v>
      </c>
      <c r="B176" s="5" t="n">
        <f aca="false">ITEM_MASTER_CLEAN!B176</f>
        <v>67085</v>
      </c>
      <c r="C176" s="5" t="str">
        <f aca="false">ITEM_MASTER_CLEAN!C176</f>
        <v>SYRUP STRAWBERRY MONIN K 750ML</v>
      </c>
      <c r="D176" s="12" t="n">
        <f aca="false">ITEM_MASTER_CLEAN!F176</f>
        <v>25.18</v>
      </c>
      <c r="E176" s="5" t="n">
        <f aca="false">ITEM_MASTER_CLEAN!H176</f>
        <v>0</v>
      </c>
      <c r="F176" s="5" t="n">
        <f aca="false">ITEM_MASTER_CLEAN!I176</f>
        <v>2</v>
      </c>
      <c r="G176" s="5" t="n">
        <f aca="false">PAR_LEVELS!J176</f>
        <v>5.57142857142857</v>
      </c>
      <c r="H176" s="5" t="n">
        <f aca="false">PAR_LEVELS!K176</f>
        <v>7.42857142857143</v>
      </c>
      <c r="I176" s="5" t="n">
        <f aca="false">MAX(E176-G176,0)</f>
        <v>0</v>
      </c>
      <c r="J176" s="5" t="n">
        <f aca="false">MAX(F176-H176,0)</f>
        <v>0</v>
      </c>
      <c r="K176" s="5" t="n">
        <f aca="false">MAX(G176-E176,0)</f>
        <v>5.57142857142857</v>
      </c>
      <c r="L176" s="5" t="n">
        <f aca="false">MAX(H176-F176,0)</f>
        <v>5.42857142857143</v>
      </c>
      <c r="M176" s="5" t="str">
        <f aca="false">IF(AND(I176&gt;TransferMin,L176&gt;0),"OAK→HP",IF(AND(J176&gt;TransferMin,K176&gt;0),"HP→OAK","None"))</f>
        <v>None</v>
      </c>
      <c r="N176" s="5" t="n">
        <f aca="false">IF(M176="OAK→HP",MIN(I176,L176),IF(M176="HP→OAK",MIN(J176,K176),0))</f>
        <v>0</v>
      </c>
      <c r="O176" s="5" t="n">
        <f aca="false">MAX(K176-IF(M176="HP→OAK",N176,0),0)</f>
        <v>5.57142857142857</v>
      </c>
      <c r="P176" s="5" t="n">
        <f aca="false">MAX(L176-IF(M176="OAK→HP",N176,0),0)</f>
        <v>5.42857142857143</v>
      </c>
      <c r="Q176" s="5" t="n">
        <f aca="false">IF(O176&gt;0,CEILING(O176,ITEM_MASTER_CLEAN!G176),0)</f>
        <v>6</v>
      </c>
      <c r="R176" s="5" t="n">
        <f aca="false">IF(P176&gt;0,CEILING(P176,ITEM_MASTER_CLEAN!G176),0)</f>
        <v>6</v>
      </c>
      <c r="S176" s="5" t="n">
        <f aca="false">IF(G176=0,0,(1-MIN(E176/MAX(G176,1),1))*50+(1-MIN(F176/MAX(H176,1),1))*50)</f>
        <v>86.5384615384615</v>
      </c>
    </row>
    <row r="177" customFormat="false" ht="15" hidden="false" customHeight="false" outlineLevel="0" collapsed="false">
      <c r="A177" s="5" t="n">
        <f aca="false">ITEM_MASTER_CLEAN!A177</f>
        <v>176</v>
      </c>
      <c r="B177" s="5" t="n">
        <f aca="false">ITEM_MASTER_CLEAN!B177</f>
        <v>67063</v>
      </c>
      <c r="C177" s="5" t="str">
        <f aca="false">ITEM_MASTER_CLEAN!C177</f>
        <v>SYRUP DRAGON FRUIT M-FR298F   1L</v>
      </c>
      <c r="D177" s="12" t="n">
        <f aca="false">ITEM_MASTER_CLEAN!F177</f>
        <v>11.65</v>
      </c>
      <c r="E177" s="5" t="n">
        <f aca="false">ITEM_MASTER_CLEAN!H177</f>
        <v>0</v>
      </c>
      <c r="F177" s="5" t="n">
        <f aca="false">ITEM_MASTER_CLEAN!I177</f>
        <v>2</v>
      </c>
      <c r="G177" s="5" t="n">
        <f aca="false">PAR_LEVELS!J177</f>
        <v>3.71428571428571</v>
      </c>
      <c r="H177" s="5" t="n">
        <f aca="false">PAR_LEVELS!K177</f>
        <v>1.85714285714286</v>
      </c>
      <c r="I177" s="5" t="n">
        <f aca="false">MAX(E177-G177,0)</f>
        <v>0</v>
      </c>
      <c r="J177" s="5" t="n">
        <f aca="false">MAX(F177-H177,0)</f>
        <v>0.142857142857143</v>
      </c>
      <c r="K177" s="5" t="n">
        <f aca="false">MAX(G177-E177,0)</f>
        <v>3.71428571428571</v>
      </c>
      <c r="L177" s="5" t="n">
        <f aca="false">MAX(H177-F177,0)</f>
        <v>0</v>
      </c>
      <c r="M177" s="5" t="str">
        <f aca="false">IF(AND(I177&gt;TransferMin,L177&gt;0),"OAK→HP",IF(AND(J177&gt;TransferMin,K177&gt;0),"HP→OAK","None"))</f>
        <v>None</v>
      </c>
      <c r="N177" s="5" t="n">
        <f aca="false">IF(M177="OAK→HP",MIN(I177,L177),IF(M177="HP→OAK",MIN(J177,K177),0))</f>
        <v>0</v>
      </c>
      <c r="O177" s="5" t="n">
        <f aca="false">MAX(K177-IF(M177="HP→OAK",N177,0),0)</f>
        <v>3.71428571428571</v>
      </c>
      <c r="P177" s="5" t="n">
        <f aca="false">MAX(L177-IF(M177="OAK→HP",N177,0),0)</f>
        <v>0</v>
      </c>
      <c r="Q177" s="5" t="n">
        <f aca="false">IF(O177&gt;0,CEILING(O177,ITEM_MASTER_CLEAN!G177),0)</f>
        <v>4</v>
      </c>
      <c r="R177" s="5" t="n">
        <f aca="false">IF(P177&gt;0,CEILING(P177,ITEM_MASTER_CLEAN!G177),0)</f>
        <v>0</v>
      </c>
      <c r="S177" s="5" t="n">
        <f aca="false">IF(G177=0,0,(1-MIN(E177/MAX(G177,1),1))*50+(1-MIN(F177/MAX(H177,1),1))*50)</f>
        <v>50</v>
      </c>
    </row>
    <row r="178" customFormat="false" ht="15" hidden="false" customHeight="false" outlineLevel="0" collapsed="false">
      <c r="A178" s="5" t="n">
        <f aca="false">ITEM_MASTER_CLEAN!A178</f>
        <v>177</v>
      </c>
      <c r="B178" s="5" t="n">
        <f aca="false">ITEM_MASTER_CLEAN!B178</f>
        <v>61739</v>
      </c>
      <c r="C178" s="5" t="str">
        <f aca="false">ITEM_MASTER_CLEAN!C178</f>
        <v>SYRUP HIBISCUS MONIN 1L</v>
      </c>
      <c r="D178" s="12" t="n">
        <f aca="false">ITEM_MASTER_CLEAN!F178</f>
        <v>14.07</v>
      </c>
      <c r="E178" s="5" t="n">
        <f aca="false">ITEM_MASTER_CLEAN!H178</f>
        <v>7</v>
      </c>
      <c r="F178" s="5" t="n">
        <f aca="false">ITEM_MASTER_CLEAN!I178</f>
        <v>1</v>
      </c>
      <c r="G178" s="5" t="n">
        <f aca="false">PAR_LEVELS!J178</f>
        <v>9.28571428571429</v>
      </c>
      <c r="H178" s="5" t="n">
        <f aca="false">PAR_LEVELS!K178</f>
        <v>1.85714285714286</v>
      </c>
      <c r="I178" s="5" t="n">
        <f aca="false">MAX(E178-G178,0)</f>
        <v>0</v>
      </c>
      <c r="J178" s="5" t="n">
        <f aca="false">MAX(F178-H178,0)</f>
        <v>0</v>
      </c>
      <c r="K178" s="5" t="n">
        <f aca="false">MAX(G178-E178,0)</f>
        <v>2.28571428571429</v>
      </c>
      <c r="L178" s="5" t="n">
        <f aca="false">MAX(H178-F178,0)</f>
        <v>0.857142857142857</v>
      </c>
      <c r="M178" s="5" t="str">
        <f aca="false">IF(AND(I178&gt;TransferMin,L178&gt;0),"OAK→HP",IF(AND(J178&gt;TransferMin,K178&gt;0),"HP→OAK","None"))</f>
        <v>None</v>
      </c>
      <c r="N178" s="5" t="n">
        <f aca="false">IF(M178="OAK→HP",MIN(I178,L178),IF(M178="HP→OAK",MIN(J178,K178),0))</f>
        <v>0</v>
      </c>
      <c r="O178" s="5" t="n">
        <f aca="false">MAX(K178-IF(M178="HP→OAK",N178,0),0)</f>
        <v>2.28571428571429</v>
      </c>
      <c r="P178" s="5" t="n">
        <f aca="false">MAX(L178-IF(M178="OAK→HP",N178,0),0)</f>
        <v>0.857142857142857</v>
      </c>
      <c r="Q178" s="5" t="n">
        <f aca="false">IF(O178&gt;0,CEILING(O178,ITEM_MASTER_CLEAN!G178),0)</f>
        <v>3</v>
      </c>
      <c r="R178" s="5" t="n">
        <f aca="false">IF(P178&gt;0,CEILING(P178,ITEM_MASTER_CLEAN!G178),0)</f>
        <v>1</v>
      </c>
      <c r="S178" s="5" t="n">
        <f aca="false">IF(G178=0,0,(1-MIN(E178/MAX(G178,1),1))*50+(1-MIN(F178/MAX(H178,1),1))*50)</f>
        <v>35.3846153846154</v>
      </c>
    </row>
    <row r="179" customFormat="false" ht="15" hidden="false" customHeight="false" outlineLevel="0" collapsed="false">
      <c r="A179" s="5" t="n">
        <f aca="false">ITEM_MASTER_CLEAN!A179</f>
        <v>178</v>
      </c>
      <c r="B179" s="5" t="n">
        <f aca="false">ITEM_MASTER_CLEAN!B179</f>
        <v>39817</v>
      </c>
      <c r="C179" s="5" t="str">
        <f aca="false">ITEM_MASTER_CLEAN!C179</f>
        <v>LADIP SMOOTH VANILLA/MAPLE 40X150G</v>
      </c>
      <c r="D179" s="12" t="n">
        <f aca="false">ITEM_MASTER_CLEAN!F179</f>
        <v>8.55</v>
      </c>
      <c r="E179" s="5" t="n">
        <f aca="false">ITEM_MASTER_CLEAN!H179</f>
        <v>3</v>
      </c>
      <c r="F179" s="5" t="n">
        <f aca="false">ITEM_MASTER_CLEAN!I179</f>
        <v>5</v>
      </c>
      <c r="G179" s="5" t="n">
        <f aca="false">PAR_LEVELS!J179</f>
        <v>5.57142857142857</v>
      </c>
      <c r="H179" s="5" t="n">
        <f aca="false">PAR_LEVELS!K179</f>
        <v>7.42857142857143</v>
      </c>
      <c r="I179" s="5" t="n">
        <f aca="false">MAX(E179-G179,0)</f>
        <v>0</v>
      </c>
      <c r="J179" s="5" t="n">
        <f aca="false">MAX(F179-H179,0)</f>
        <v>0</v>
      </c>
      <c r="K179" s="5" t="n">
        <f aca="false">MAX(G179-E179,0)</f>
        <v>2.57142857142857</v>
      </c>
      <c r="L179" s="5" t="n">
        <f aca="false">MAX(H179-F179,0)</f>
        <v>2.42857142857143</v>
      </c>
      <c r="M179" s="5" t="str">
        <f aca="false">IF(AND(I179&gt;TransferMin,L179&gt;0),"OAK→HP",IF(AND(J179&gt;TransferMin,K179&gt;0),"HP→OAK","None"))</f>
        <v>None</v>
      </c>
      <c r="N179" s="5" t="n">
        <f aca="false">IF(M179="OAK→HP",MIN(I179,L179),IF(M179="HP→OAK",MIN(J179,K179),0))</f>
        <v>0</v>
      </c>
      <c r="O179" s="5" t="n">
        <f aca="false">MAX(K179-IF(M179="HP→OAK",N179,0),0)</f>
        <v>2.57142857142857</v>
      </c>
      <c r="P179" s="5" t="n">
        <f aca="false">MAX(L179-IF(M179="OAK→HP",N179,0),0)</f>
        <v>2.42857142857143</v>
      </c>
      <c r="Q179" s="5" t="n">
        <f aca="false">IF(O179&gt;0,CEILING(O179,ITEM_MASTER_CLEAN!G179),0)</f>
        <v>40</v>
      </c>
      <c r="R179" s="5" t="n">
        <f aca="false">IF(P179&gt;0,CEILING(P179,ITEM_MASTER_CLEAN!G179),0)</f>
        <v>40</v>
      </c>
      <c r="S179" s="5" t="n">
        <f aca="false">IF(G179=0,0,(1-MIN(E179/MAX(G179,1),1))*50+(1-MIN(F179/MAX(H179,1),1))*50)</f>
        <v>39.4230769230769</v>
      </c>
    </row>
    <row r="180" customFormat="false" ht="15" hidden="false" customHeight="false" outlineLevel="0" collapsed="false">
      <c r="A180" s="5" t="n">
        <f aca="false">ITEM_MASTER_CLEAN!A180</f>
        <v>179</v>
      </c>
      <c r="B180" s="5" t="n">
        <f aca="false">ITEM_MASTER_CLEAN!B180</f>
        <v>67088</v>
      </c>
      <c r="C180" s="5" t="str">
        <f aca="false">ITEM_MASTER_CLEAN!C180</f>
        <v>SYRUP PEACH MONIN K 750ML</v>
      </c>
      <c r="D180" s="12" t="n">
        <f aca="false">ITEM_MASTER_CLEAN!F180</f>
        <v>10.39</v>
      </c>
      <c r="E180" s="5" t="n">
        <f aca="false">ITEM_MASTER_CLEAN!H180</f>
        <v>4</v>
      </c>
      <c r="F180" s="5" t="n">
        <f aca="false">ITEM_MASTER_CLEAN!I180</f>
        <v>2</v>
      </c>
      <c r="G180" s="5" t="n">
        <f aca="false">PAR_LEVELS!J180</f>
        <v>7.42857142857143</v>
      </c>
      <c r="H180" s="5" t="n">
        <f aca="false">PAR_LEVELS!K180</f>
        <v>3.71428571428571</v>
      </c>
      <c r="I180" s="5" t="n">
        <f aca="false">MAX(E180-G180,0)</f>
        <v>0</v>
      </c>
      <c r="J180" s="5" t="n">
        <f aca="false">MAX(F180-H180,0)</f>
        <v>0</v>
      </c>
      <c r="K180" s="5" t="n">
        <f aca="false">MAX(G180-E180,0)</f>
        <v>3.42857142857143</v>
      </c>
      <c r="L180" s="5" t="n">
        <f aca="false">MAX(H180-F180,0)</f>
        <v>1.71428571428571</v>
      </c>
      <c r="M180" s="5" t="str">
        <f aca="false">IF(AND(I180&gt;TransferMin,L180&gt;0),"OAK→HP",IF(AND(J180&gt;TransferMin,K180&gt;0),"HP→OAK","None"))</f>
        <v>None</v>
      </c>
      <c r="N180" s="5" t="n">
        <f aca="false">IF(M180="OAK→HP",MIN(I180,L180),IF(M180="HP→OAK",MIN(J180,K180),0))</f>
        <v>0</v>
      </c>
      <c r="O180" s="5" t="n">
        <f aca="false">MAX(K180-IF(M180="HP→OAK",N180,0),0)</f>
        <v>3.42857142857143</v>
      </c>
      <c r="P180" s="5" t="n">
        <f aca="false">MAX(L180-IF(M180="OAK→HP",N180,0),0)</f>
        <v>1.71428571428571</v>
      </c>
      <c r="Q180" s="5" t="n">
        <f aca="false">IF(O180&gt;0,CEILING(O180,ITEM_MASTER_CLEAN!G180),0)</f>
        <v>4</v>
      </c>
      <c r="R180" s="5" t="n">
        <f aca="false">IF(P180&gt;0,CEILING(P180,ITEM_MASTER_CLEAN!G180),0)</f>
        <v>2</v>
      </c>
      <c r="S180" s="5" t="n">
        <f aca="false">IF(G180=0,0,(1-MIN(E180/MAX(G180,1),1))*50+(1-MIN(F180/MAX(H180,1),1))*50)</f>
        <v>46.1538461538461</v>
      </c>
    </row>
    <row r="181" customFormat="false" ht="15" hidden="false" customHeight="false" outlineLevel="0" collapsed="false">
      <c r="A181" s="5" t="n">
        <f aca="false">ITEM_MASTER_CLEAN!A181</f>
        <v>180</v>
      </c>
      <c r="B181" s="5" t="n">
        <f aca="false">ITEM_MASTER_CLEAN!B181</f>
        <v>67094</v>
      </c>
      <c r="C181" s="5" t="str">
        <f aca="false">ITEM_MASTER_CLEAN!C181</f>
        <v>PUMP SYRUP MONIN 750ML(WHITE) 1</v>
      </c>
      <c r="D181" s="12" t="n">
        <f aca="false">ITEM_MASTER_CLEAN!F181</f>
        <v>6.87</v>
      </c>
      <c r="E181" s="5" t="n">
        <f aca="false">ITEM_MASTER_CLEAN!H181</f>
        <v>1</v>
      </c>
      <c r="F181" s="5" t="n">
        <f aca="false">ITEM_MASTER_CLEAN!I181</f>
        <v>7</v>
      </c>
      <c r="G181" s="5" t="n">
        <f aca="false">PAR_LEVELS!J181</f>
        <v>9.28571428571429</v>
      </c>
      <c r="H181" s="5" t="n">
        <f aca="false">PAR_LEVELS!K181</f>
        <v>3.71428571428571</v>
      </c>
      <c r="I181" s="5" t="n">
        <f aca="false">MAX(E181-G181,0)</f>
        <v>0</v>
      </c>
      <c r="J181" s="5" t="n">
        <f aca="false">MAX(F181-H181,0)</f>
        <v>3.28571428571429</v>
      </c>
      <c r="K181" s="5" t="n">
        <f aca="false">MAX(G181-E181,0)</f>
        <v>8.28571428571429</v>
      </c>
      <c r="L181" s="5" t="n">
        <f aca="false">MAX(H181-F181,0)</f>
        <v>0</v>
      </c>
      <c r="M181" s="5" t="str">
        <f aca="false">IF(AND(I181&gt;TransferMin,L181&gt;0),"OAK→HP",IF(AND(J181&gt;TransferMin,K181&gt;0),"HP→OAK","None"))</f>
        <v>None</v>
      </c>
      <c r="N181" s="5" t="n">
        <f aca="false">IF(M181="OAK→HP",MIN(I181,L181),IF(M181="HP→OAK",MIN(J181,K181),0))</f>
        <v>0</v>
      </c>
      <c r="O181" s="5" t="n">
        <f aca="false">MAX(K181-IF(M181="HP→OAK",N181,0),0)</f>
        <v>8.28571428571429</v>
      </c>
      <c r="P181" s="5" t="n">
        <f aca="false">MAX(L181-IF(M181="OAK→HP",N181,0),0)</f>
        <v>0</v>
      </c>
      <c r="Q181" s="5" t="n">
        <f aca="false">IF(O181&gt;0,CEILING(O181,ITEM_MASTER_CLEAN!G181),0)</f>
        <v>9</v>
      </c>
      <c r="R181" s="5" t="n">
        <f aca="false">IF(P181&gt;0,CEILING(P181,ITEM_MASTER_CLEAN!G181),0)</f>
        <v>0</v>
      </c>
      <c r="S181" s="5" t="n">
        <f aca="false">IF(G181=0,0,(1-MIN(E181/MAX(G181,1),1))*50+(1-MIN(F181/MAX(H181,1),1))*50)</f>
        <v>44.6153846153846</v>
      </c>
    </row>
    <row r="182" customFormat="false" ht="15" hidden="false" customHeight="false" outlineLevel="0" collapsed="false">
      <c r="A182" s="5" t="n">
        <f aca="false">ITEM_MASTER_CLEAN!A182</f>
        <v>181</v>
      </c>
      <c r="B182" s="5" t="n">
        <f aca="false">ITEM_MASTER_CLEAN!B182</f>
        <v>38527</v>
      </c>
      <c r="C182" s="5" t="str">
        <f aca="false">ITEM_MASTER_CLEAN!C182</f>
        <v>PUMP FOR SYRUP 1L X1</v>
      </c>
      <c r="D182" s="12" t="n">
        <f aca="false">ITEM_MASTER_CLEAN!F182</f>
        <v>5.23</v>
      </c>
      <c r="E182" s="5" t="n">
        <f aca="false">ITEM_MASTER_CLEAN!H182</f>
        <v>8</v>
      </c>
      <c r="F182" s="5" t="n">
        <f aca="false">ITEM_MASTER_CLEAN!I182</f>
        <v>12</v>
      </c>
      <c r="G182" s="5" t="n">
        <f aca="false">PAR_LEVELS!J182</f>
        <v>3.71428571428571</v>
      </c>
      <c r="H182" s="5" t="n">
        <f aca="false">PAR_LEVELS!K182</f>
        <v>5.57142857142857</v>
      </c>
      <c r="I182" s="5" t="n">
        <f aca="false">MAX(E182-G182,0)</f>
        <v>4.28571428571429</v>
      </c>
      <c r="J182" s="5" t="n">
        <f aca="false">MAX(F182-H182,0)</f>
        <v>6.42857142857143</v>
      </c>
      <c r="K182" s="5" t="n">
        <f aca="false">MAX(G182-E182,0)</f>
        <v>0</v>
      </c>
      <c r="L182" s="5" t="n">
        <f aca="false">MAX(H182-F182,0)</f>
        <v>0</v>
      </c>
      <c r="M182" s="5" t="str">
        <f aca="false">IF(AND(I182&gt;TransferMin,L182&gt;0),"OAK→HP",IF(AND(J182&gt;TransferMin,K182&gt;0),"HP→OAK","None"))</f>
        <v>None</v>
      </c>
      <c r="N182" s="5" t="n">
        <f aca="false">IF(M182="OAK→HP",MIN(I182,L182),IF(M182="HP→OAK",MIN(J182,K182),0))</f>
        <v>0</v>
      </c>
      <c r="O182" s="5" t="n">
        <f aca="false">MAX(K182-IF(M182="HP→OAK",N182,0),0)</f>
        <v>0</v>
      </c>
      <c r="P182" s="5" t="n">
        <f aca="false">MAX(L182-IF(M182="OAK→HP",N182,0),0)</f>
        <v>0</v>
      </c>
      <c r="Q182" s="5" t="n">
        <f aca="false">IF(O182&gt;0,CEILING(O182,ITEM_MASTER_CLEAN!G182),0)</f>
        <v>0</v>
      </c>
      <c r="R182" s="5" t="n">
        <f aca="false">IF(P182&gt;0,CEILING(P182,ITEM_MASTER_CLEAN!G182),0)</f>
        <v>0</v>
      </c>
      <c r="S182" s="5" t="n">
        <f aca="false">IF(G182=0,0,(1-MIN(E182/MAX(G182,1),1))*50+(1-MIN(F182/MAX(H182,1),1))*50)</f>
        <v>0</v>
      </c>
    </row>
    <row r="183" customFormat="false" ht="15" hidden="false" customHeight="false" outlineLevel="0" collapsed="false">
      <c r="A183" s="5" t="n">
        <f aca="false">ITEM_MASTER_CLEAN!A183</f>
        <v>182</v>
      </c>
      <c r="B183" s="5" t="n">
        <f aca="false">ITEM_MASTER_CLEAN!B183</f>
        <v>67112</v>
      </c>
      <c r="C183" s="5" t="str">
        <f aca="false">ITEM_MASTER_CLEAN!C183</f>
        <v>SYRUP STRAWBERRY WILD MONIN 1L</v>
      </c>
      <c r="D183" s="12" t="n">
        <f aca="false">ITEM_MASTER_CLEAN!F183</f>
        <v>25.1</v>
      </c>
      <c r="E183" s="5" t="n">
        <f aca="false">ITEM_MASTER_CLEAN!H183</f>
        <v>11</v>
      </c>
      <c r="F183" s="5" t="n">
        <f aca="false">ITEM_MASTER_CLEAN!I183</f>
        <v>0</v>
      </c>
      <c r="G183" s="5" t="n">
        <f aca="false">PAR_LEVELS!J183</f>
        <v>5.57142857142857</v>
      </c>
      <c r="H183" s="5" t="n">
        <f aca="false">PAR_LEVELS!K183</f>
        <v>5.57142857142857</v>
      </c>
      <c r="I183" s="5" t="n">
        <f aca="false">MAX(E183-G183,0)</f>
        <v>5.42857142857143</v>
      </c>
      <c r="J183" s="5" t="n">
        <f aca="false">MAX(F183-H183,0)</f>
        <v>0</v>
      </c>
      <c r="K183" s="5" t="n">
        <f aca="false">MAX(G183-E183,0)</f>
        <v>0</v>
      </c>
      <c r="L183" s="5" t="n">
        <f aca="false">MAX(H183-F183,0)</f>
        <v>5.57142857142857</v>
      </c>
      <c r="M183" s="5" t="str">
        <f aca="false">IF(AND(I183&gt;TransferMin,L183&gt;0),"OAK→HP",IF(AND(J183&gt;TransferMin,K183&gt;0),"HP→OAK","None"))</f>
        <v>OAK→HP</v>
      </c>
      <c r="N183" s="5" t="n">
        <f aca="false">IF(M183="OAK→HP",MIN(I183,L183),IF(M183="HP→OAK",MIN(J183,K183),0))</f>
        <v>5.42857142857143</v>
      </c>
      <c r="O183" s="5" t="n">
        <f aca="false">MAX(K183-IF(M183="HP→OAK",N183,0),0)</f>
        <v>0</v>
      </c>
      <c r="P183" s="5" t="n">
        <f aca="false">MAX(L183-IF(M183="OAK→HP",N183,0),0)</f>
        <v>0.142857142857142</v>
      </c>
      <c r="Q183" s="5" t="n">
        <f aca="false">IF(O183&gt;0,CEILING(O183,ITEM_MASTER_CLEAN!G183),0)</f>
        <v>0</v>
      </c>
      <c r="R183" s="5" t="n">
        <f aca="false">IF(P183&gt;0,CEILING(P183,ITEM_MASTER_CLEAN!G183),0)</f>
        <v>1</v>
      </c>
      <c r="S183" s="5" t="n">
        <f aca="false">IF(G183=0,0,(1-MIN(E183/MAX(G183,1),1))*50+(1-MIN(F183/MAX(H183,1),1))*50)</f>
        <v>50</v>
      </c>
    </row>
    <row r="184" customFormat="false" ht="15" hidden="false" customHeight="false" outlineLevel="0" collapsed="false">
      <c r="A184" s="5" t="n">
        <f aca="false">ITEM_MASTER_CLEAN!A184</f>
        <v>183</v>
      </c>
      <c r="B184" s="5" t="n">
        <f aca="false">ITEM_MASTER_CLEAN!B184</f>
        <v>61558</v>
      </c>
      <c r="C184" s="5" t="str">
        <f aca="false">ITEM_MASTER_CLEAN!C184</f>
        <v>STRAW 8.5" BBL/TEA 12MM WH/PAP 2M</v>
      </c>
      <c r="D184" s="12" t="n">
        <f aca="false">ITEM_MASTER_CLEAN!F184</f>
        <v>21.69</v>
      </c>
      <c r="E184" s="5" t="n">
        <f aca="false">ITEM_MASTER_CLEAN!H184</f>
        <v>4</v>
      </c>
      <c r="F184" s="5" t="n">
        <f aca="false">ITEM_MASTER_CLEAN!I184</f>
        <v>1</v>
      </c>
      <c r="G184" s="5" t="n">
        <f aca="false">PAR_LEVELS!J184</f>
        <v>5.57142857142857</v>
      </c>
      <c r="H184" s="5" t="n">
        <f aca="false">PAR_LEVELS!K184</f>
        <v>1.85714285714286</v>
      </c>
      <c r="I184" s="5" t="n">
        <f aca="false">MAX(E184-G184,0)</f>
        <v>0</v>
      </c>
      <c r="J184" s="5" t="n">
        <f aca="false">MAX(F184-H184,0)</f>
        <v>0</v>
      </c>
      <c r="K184" s="5" t="n">
        <f aca="false">MAX(G184-E184,0)</f>
        <v>1.57142857142857</v>
      </c>
      <c r="L184" s="5" t="n">
        <f aca="false">MAX(H184-F184,0)</f>
        <v>0.857142857142857</v>
      </c>
      <c r="M184" s="5" t="str">
        <f aca="false">IF(AND(I184&gt;TransferMin,L184&gt;0),"OAK→HP",IF(AND(J184&gt;TransferMin,K184&gt;0),"HP→OAK","None"))</f>
        <v>None</v>
      </c>
      <c r="N184" s="5" t="n">
        <f aca="false">IF(M184="OAK→HP",MIN(I184,L184),IF(M184="HP→OAK",MIN(J184,K184),0))</f>
        <v>0</v>
      </c>
      <c r="O184" s="5" t="n">
        <f aca="false">MAX(K184-IF(M184="HP→OAK",N184,0),0)</f>
        <v>1.57142857142857</v>
      </c>
      <c r="P184" s="5" t="n">
        <f aca="false">MAX(L184-IF(M184="OAK→HP",N184,0),0)</f>
        <v>0.857142857142857</v>
      </c>
      <c r="Q184" s="5" t="n">
        <f aca="false">IF(O184&gt;0,CEILING(O184,ITEM_MASTER_CLEAN!G184),0)</f>
        <v>2</v>
      </c>
      <c r="R184" s="5" t="n">
        <f aca="false">IF(P184&gt;0,CEILING(P184,ITEM_MASTER_CLEAN!G184),0)</f>
        <v>1</v>
      </c>
      <c r="S184" s="5" t="n">
        <f aca="false">IF(G184=0,0,(1-MIN(E184/MAX(G184,1),1))*50+(1-MIN(F184/MAX(H184,1),1))*50)</f>
        <v>37.1794871794872</v>
      </c>
    </row>
    <row r="185" customFormat="false" ht="15" hidden="false" customHeight="false" outlineLevel="0" collapsed="false">
      <c r="A185" s="5" t="n">
        <f aca="false">ITEM_MASTER_CLEAN!A185</f>
        <v>184</v>
      </c>
      <c r="B185" s="5" t="n">
        <f aca="false">ITEM_MASTER_CLEAN!B185</f>
        <v>50046</v>
      </c>
      <c r="C185" s="5" t="str">
        <f aca="false">ITEM_MASTER_CLEAN!C185</f>
        <v>SLUSH BASE RTU 5+1 2X4L</v>
      </c>
      <c r="D185" s="12" t="n">
        <f aca="false">ITEM_MASTER_CLEAN!F185</f>
        <v>22.91</v>
      </c>
      <c r="E185" s="5" t="n">
        <f aca="false">ITEM_MASTER_CLEAN!H185</f>
        <v>2</v>
      </c>
      <c r="F185" s="5" t="n">
        <f aca="false">ITEM_MASTER_CLEAN!I185</f>
        <v>1</v>
      </c>
      <c r="G185" s="5" t="n">
        <f aca="false">PAR_LEVELS!J185</f>
        <v>3.71428571428571</v>
      </c>
      <c r="H185" s="5" t="n">
        <f aca="false">PAR_LEVELS!K185</f>
        <v>1.85714285714286</v>
      </c>
      <c r="I185" s="5" t="n">
        <f aca="false">MAX(E185-G185,0)</f>
        <v>0</v>
      </c>
      <c r="J185" s="5" t="n">
        <f aca="false">MAX(F185-H185,0)</f>
        <v>0</v>
      </c>
      <c r="K185" s="5" t="n">
        <f aca="false">MAX(G185-E185,0)</f>
        <v>1.71428571428571</v>
      </c>
      <c r="L185" s="5" t="n">
        <f aca="false">MAX(H185-F185,0)</f>
        <v>0.857142857142857</v>
      </c>
      <c r="M185" s="5" t="str">
        <f aca="false">IF(AND(I185&gt;TransferMin,L185&gt;0),"OAK→HP",IF(AND(J185&gt;TransferMin,K185&gt;0),"HP→OAK","None"))</f>
        <v>None</v>
      </c>
      <c r="N185" s="5" t="n">
        <f aca="false">IF(M185="OAK→HP",MIN(I185,L185),IF(M185="HP→OAK",MIN(J185,K185),0))</f>
        <v>0</v>
      </c>
      <c r="O185" s="5" t="n">
        <f aca="false">MAX(K185-IF(M185="HP→OAK",N185,0),0)</f>
        <v>1.71428571428571</v>
      </c>
      <c r="P185" s="5" t="n">
        <f aca="false">MAX(L185-IF(M185="OAK→HP",N185,0),0)</f>
        <v>0.857142857142857</v>
      </c>
      <c r="Q185" s="5" t="n">
        <f aca="false">IF(O185&gt;0,CEILING(O185,ITEM_MASTER_CLEAN!G185),0)</f>
        <v>2</v>
      </c>
      <c r="R185" s="5" t="n">
        <f aca="false">IF(P185&gt;0,CEILING(P185,ITEM_MASTER_CLEAN!G185),0)</f>
        <v>2</v>
      </c>
      <c r="S185" s="5" t="n">
        <f aca="false">IF(G185=0,0,(1-MIN(E185/MAX(G185,1),1))*50+(1-MIN(F185/MAX(H185,1),1))*50)</f>
        <v>46.1538461538461</v>
      </c>
    </row>
    <row r="186" customFormat="false" ht="15" hidden="false" customHeight="false" outlineLevel="0" collapsed="false">
      <c r="A186" s="5" t="n">
        <f aca="false">ITEM_MASTER_CLEAN!A186</f>
        <v>185</v>
      </c>
      <c r="B186" s="5" t="n">
        <f aca="false">ITEM_MASTER_CLEAN!B186</f>
        <v>97477</v>
      </c>
      <c r="C186" s="5" t="str">
        <f aca="false">ITEM_MASTER_CLEAN!C186</f>
        <v>9 SLUSH CONC.BUBBLE GUM  2X4L</v>
      </c>
      <c r="D186" s="12" t="n">
        <f aca="false">ITEM_MASTER_CLEAN!F186</f>
        <v>28.54</v>
      </c>
      <c r="E186" s="5" t="n">
        <f aca="false">ITEM_MASTER_CLEAN!H186</f>
        <v>8</v>
      </c>
      <c r="F186" s="5" t="n">
        <f aca="false">ITEM_MASTER_CLEAN!I186</f>
        <v>0</v>
      </c>
      <c r="G186" s="5" t="n">
        <f aca="false">PAR_LEVELS!J186</f>
        <v>5.57142857142857</v>
      </c>
      <c r="H186" s="5" t="n">
        <f aca="false">PAR_LEVELS!K186</f>
        <v>1.85714285714286</v>
      </c>
      <c r="I186" s="5" t="n">
        <f aca="false">MAX(E186-G186,0)</f>
        <v>2.42857142857143</v>
      </c>
      <c r="J186" s="5" t="n">
        <f aca="false">MAX(F186-H186,0)</f>
        <v>0</v>
      </c>
      <c r="K186" s="5" t="n">
        <f aca="false">MAX(G186-E186,0)</f>
        <v>0</v>
      </c>
      <c r="L186" s="5" t="n">
        <f aca="false">MAX(H186-F186,0)</f>
        <v>1.85714285714286</v>
      </c>
      <c r="M186" s="5" t="str">
        <f aca="false">IF(AND(I186&gt;TransferMin,L186&gt;0),"OAK→HP",IF(AND(J186&gt;TransferMin,K186&gt;0),"HP→OAK","None"))</f>
        <v>None</v>
      </c>
      <c r="N186" s="5" t="n">
        <f aca="false">IF(M186="OAK→HP",MIN(I186,L186),IF(M186="HP→OAK",MIN(J186,K186),0))</f>
        <v>0</v>
      </c>
      <c r="O186" s="5" t="n">
        <f aca="false">MAX(K186-IF(M186="HP→OAK",N186,0),0)</f>
        <v>0</v>
      </c>
      <c r="P186" s="5" t="n">
        <f aca="false">MAX(L186-IF(M186="OAK→HP",N186,0),0)</f>
        <v>1.85714285714286</v>
      </c>
      <c r="Q186" s="5" t="n">
        <f aca="false">IF(O186&gt;0,CEILING(O186,ITEM_MASTER_CLEAN!G186),0)</f>
        <v>0</v>
      </c>
      <c r="R186" s="5" t="n">
        <f aca="false">IF(P186&gt;0,CEILING(P186,ITEM_MASTER_CLEAN!G186),0)</f>
        <v>2</v>
      </c>
      <c r="S186" s="5" t="n">
        <f aca="false">IF(G186=0,0,(1-MIN(E186/MAX(G186,1),1))*50+(1-MIN(F186/MAX(H186,1),1))*50)</f>
        <v>50</v>
      </c>
    </row>
    <row r="187" customFormat="false" ht="15" hidden="false" customHeight="false" outlineLevel="0" collapsed="false">
      <c r="A187" s="5" t="n">
        <f aca="false">ITEM_MASTER_CLEAN!A187</f>
        <v>186</v>
      </c>
      <c r="B187" s="5" t="n">
        <f aca="false">ITEM_MASTER_CLEAN!B187</f>
        <v>50142</v>
      </c>
      <c r="C187" s="5" t="str">
        <f aca="false">ITEM_MASTER_CLEAN!C187</f>
        <v>9 SLUSH CONC.PEACH 3133024 2X4L</v>
      </c>
      <c r="D187" s="12" t="n">
        <f aca="false">ITEM_MASTER_CLEAN!F187</f>
        <v>21.87</v>
      </c>
      <c r="E187" s="5" t="n">
        <f aca="false">ITEM_MASTER_CLEAN!H187</f>
        <v>8</v>
      </c>
      <c r="F187" s="5" t="n">
        <f aca="false">ITEM_MASTER_CLEAN!I187</f>
        <v>0</v>
      </c>
      <c r="G187" s="5" t="n">
        <f aca="false">PAR_LEVELS!J187</f>
        <v>5.57142857142857</v>
      </c>
      <c r="H187" s="5" t="n">
        <f aca="false">PAR_LEVELS!K187</f>
        <v>3.71428571428571</v>
      </c>
      <c r="I187" s="5" t="n">
        <f aca="false">MAX(E187-G187,0)</f>
        <v>2.42857142857143</v>
      </c>
      <c r="J187" s="5" t="n">
        <f aca="false">MAX(F187-H187,0)</f>
        <v>0</v>
      </c>
      <c r="K187" s="5" t="n">
        <f aca="false">MAX(G187-E187,0)</f>
        <v>0</v>
      </c>
      <c r="L187" s="5" t="n">
        <f aca="false">MAX(H187-F187,0)</f>
        <v>3.71428571428571</v>
      </c>
      <c r="M187" s="5" t="str">
        <f aca="false">IF(AND(I187&gt;TransferMin,L187&gt;0),"OAK→HP",IF(AND(J187&gt;TransferMin,K187&gt;0),"HP→OAK","None"))</f>
        <v>None</v>
      </c>
      <c r="N187" s="5" t="n">
        <f aca="false">IF(M187="OAK→HP",MIN(I187,L187),IF(M187="HP→OAK",MIN(J187,K187),0))</f>
        <v>0</v>
      </c>
      <c r="O187" s="5" t="n">
        <f aca="false">MAX(K187-IF(M187="HP→OAK",N187,0),0)</f>
        <v>0</v>
      </c>
      <c r="P187" s="5" t="n">
        <f aca="false">MAX(L187-IF(M187="OAK→HP",N187,0),0)</f>
        <v>3.71428571428571</v>
      </c>
      <c r="Q187" s="5" t="n">
        <f aca="false">IF(O187&gt;0,CEILING(O187,ITEM_MASTER_CLEAN!G187),0)</f>
        <v>0</v>
      </c>
      <c r="R187" s="5" t="n">
        <f aca="false">IF(P187&gt;0,CEILING(P187,ITEM_MASTER_CLEAN!G187),0)</f>
        <v>4</v>
      </c>
      <c r="S187" s="5" t="n">
        <f aca="false">IF(G187=0,0,(1-MIN(E187/MAX(G187,1),1))*50+(1-MIN(F187/MAX(H187,1),1))*50)</f>
        <v>50</v>
      </c>
    </row>
    <row r="188" customFormat="false" ht="15" hidden="false" customHeight="false" outlineLevel="0" collapsed="false">
      <c r="A188" s="5" t="n">
        <f aca="false">ITEM_MASTER_CLEAN!A188</f>
        <v>187</v>
      </c>
      <c r="B188" s="5" t="n">
        <f aca="false">ITEM_MASTER_CLEAN!B188</f>
        <v>43369</v>
      </c>
      <c r="C188" s="5" t="str">
        <f aca="false">ITEM_MASTER_CLEAN!C188</f>
        <v>DIPP BAG COOKIE GREASPRF  PTD 1M</v>
      </c>
      <c r="D188" s="12" t="n">
        <f aca="false">ITEM_MASTER_CLEAN!F188</f>
        <v>23.8</v>
      </c>
      <c r="E188" s="5" t="n">
        <f aca="false">ITEM_MASTER_CLEAN!H188</f>
        <v>2</v>
      </c>
      <c r="F188" s="5" t="n">
        <f aca="false">ITEM_MASTER_CLEAN!I188</f>
        <v>21</v>
      </c>
      <c r="G188" s="5" t="n">
        <f aca="false">PAR_LEVELS!J188</f>
        <v>13</v>
      </c>
      <c r="H188" s="5" t="n">
        <f aca="false">PAR_LEVELS!K188</f>
        <v>11.1428571428571</v>
      </c>
      <c r="I188" s="5" t="n">
        <f aca="false">MAX(E188-G188,0)</f>
        <v>0</v>
      </c>
      <c r="J188" s="5" t="n">
        <f aca="false">MAX(F188-H188,0)</f>
        <v>9.85714285714286</v>
      </c>
      <c r="K188" s="5" t="n">
        <f aca="false">MAX(G188-E188,0)</f>
        <v>11</v>
      </c>
      <c r="L188" s="5" t="n">
        <f aca="false">MAX(H188-F188,0)</f>
        <v>0</v>
      </c>
      <c r="M188" s="5" t="str">
        <f aca="false">IF(AND(I188&gt;TransferMin,L188&gt;0),"OAK→HP",IF(AND(J188&gt;TransferMin,K188&gt;0),"HP→OAK","None"))</f>
        <v>HP→OAK</v>
      </c>
      <c r="N188" s="5" t="n">
        <f aca="false">IF(M188="OAK→HP",MIN(I188,L188),IF(M188="HP→OAK",MIN(J188,K188),0))</f>
        <v>9.85714285714286</v>
      </c>
      <c r="O188" s="5" t="n">
        <f aca="false">MAX(K188-IF(M188="HP→OAK",N188,0),0)</f>
        <v>1.14285714285714</v>
      </c>
      <c r="P188" s="5" t="n">
        <f aca="false">MAX(L188-IF(M188="OAK→HP",N188,0),0)</f>
        <v>0</v>
      </c>
      <c r="Q188" s="5" t="n">
        <f aca="false">IF(O188&gt;0,CEILING(O188,ITEM_MASTER_CLEAN!G188),0)</f>
        <v>2</v>
      </c>
      <c r="R188" s="5" t="n">
        <f aca="false">IF(P188&gt;0,CEILING(P188,ITEM_MASTER_CLEAN!G188),0)</f>
        <v>0</v>
      </c>
      <c r="S188" s="5" t="n">
        <f aca="false">IF(G188=0,0,(1-MIN(E188/MAX(G188,1),1))*50+(1-MIN(F188/MAX(H188,1),1))*50)</f>
        <v>42.3076923076923</v>
      </c>
    </row>
    <row r="189" customFormat="false" ht="15" hidden="false" customHeight="false" outlineLevel="0" collapsed="false">
      <c r="A189" s="5" t="n">
        <f aca="false">ITEM_MASTER_CLEAN!A189</f>
        <v>188</v>
      </c>
      <c r="B189" s="5" t="n">
        <f aca="false">ITEM_MASTER_CLEAN!B189</f>
        <v>61763</v>
      </c>
      <c r="C189" s="5" t="str">
        <f aca="false">ITEM_MASTER_CLEAN!C189</f>
        <v>DIP BOX BLUE/DONUT 25X15X10  125</v>
      </c>
      <c r="D189" s="12" t="n">
        <f aca="false">ITEM_MASTER_CLEAN!F189</f>
        <v>38.02</v>
      </c>
      <c r="E189" s="5" t="n">
        <f aca="false">ITEM_MASTER_CLEAN!H189</f>
        <v>5</v>
      </c>
      <c r="F189" s="5" t="n">
        <f aca="false">ITEM_MASTER_CLEAN!I189</f>
        <v>3</v>
      </c>
      <c r="G189" s="5" t="n">
        <f aca="false">PAR_LEVELS!J189</f>
        <v>5.57142857142857</v>
      </c>
      <c r="H189" s="5" t="n">
        <f aca="false">PAR_LEVELS!K189</f>
        <v>3.71428571428571</v>
      </c>
      <c r="I189" s="5" t="n">
        <f aca="false">MAX(E189-G189,0)</f>
        <v>0</v>
      </c>
      <c r="J189" s="5" t="n">
        <f aca="false">MAX(F189-H189,0)</f>
        <v>0</v>
      </c>
      <c r="K189" s="5" t="n">
        <f aca="false">MAX(G189-E189,0)</f>
        <v>0.571428571428571</v>
      </c>
      <c r="L189" s="5" t="n">
        <f aca="false">MAX(H189-F189,0)</f>
        <v>0.714285714285714</v>
      </c>
      <c r="M189" s="5" t="str">
        <f aca="false">IF(AND(I189&gt;TransferMin,L189&gt;0),"OAK→HP",IF(AND(J189&gt;TransferMin,K189&gt;0),"HP→OAK","None"))</f>
        <v>None</v>
      </c>
      <c r="N189" s="5" t="n">
        <f aca="false">IF(M189="OAK→HP",MIN(I189,L189),IF(M189="HP→OAK",MIN(J189,K189),0))</f>
        <v>0</v>
      </c>
      <c r="O189" s="5" t="n">
        <f aca="false">MAX(K189-IF(M189="HP→OAK",N189,0),0)</f>
        <v>0.571428571428571</v>
      </c>
      <c r="P189" s="5" t="n">
        <f aca="false">MAX(L189-IF(M189="OAK→HP",N189,0),0)</f>
        <v>0.714285714285714</v>
      </c>
      <c r="Q189" s="5" t="n">
        <f aca="false">IF(O189&gt;0,CEILING(O189,ITEM_MASTER_CLEAN!G189),0)</f>
        <v>1</v>
      </c>
      <c r="R189" s="5" t="n">
        <f aca="false">IF(P189&gt;0,CEILING(P189,ITEM_MASTER_CLEAN!G189),0)</f>
        <v>1</v>
      </c>
      <c r="S189" s="5" t="n">
        <f aca="false">IF(G189=0,0,(1-MIN(E189/MAX(G189,1),1))*50+(1-MIN(F189/MAX(H189,1),1))*50)</f>
        <v>14.7435897435897</v>
      </c>
    </row>
    <row r="190" customFormat="false" ht="15" hidden="false" customHeight="false" outlineLevel="0" collapsed="false">
      <c r="A190" s="5" t="n">
        <f aca="false">ITEM_MASTER_CLEAN!A190</f>
        <v>189</v>
      </c>
      <c r="B190" s="5" t="n">
        <f aca="false">ITEM_MASTER_CLEAN!B190</f>
        <v>35182</v>
      </c>
      <c r="C190" s="5" t="str">
        <f aca="false">ITEM_MASTER_CLEAN!C190</f>
        <v>DIPP BOWL 6 OZ S605T-168259 1M</v>
      </c>
      <c r="D190" s="12" t="n">
        <f aca="false">ITEM_MASTER_CLEAN!F190</f>
        <v>44.69</v>
      </c>
      <c r="E190" s="5" t="n">
        <f aca="false">ITEM_MASTER_CLEAN!H190</f>
        <v>3</v>
      </c>
      <c r="F190" s="5" t="n">
        <f aca="false">ITEM_MASTER_CLEAN!I190</f>
        <v>6</v>
      </c>
      <c r="G190" s="5" t="n">
        <f aca="false">PAR_LEVELS!J190</f>
        <v>5.57142857142857</v>
      </c>
      <c r="H190" s="5" t="n">
        <f aca="false">PAR_LEVELS!K190</f>
        <v>9.28571428571429</v>
      </c>
      <c r="I190" s="5" t="n">
        <f aca="false">MAX(E190-G190,0)</f>
        <v>0</v>
      </c>
      <c r="J190" s="5" t="n">
        <f aca="false">MAX(F190-H190,0)</f>
        <v>0</v>
      </c>
      <c r="K190" s="5" t="n">
        <f aca="false">MAX(G190-E190,0)</f>
        <v>2.57142857142857</v>
      </c>
      <c r="L190" s="5" t="n">
        <f aca="false">MAX(H190-F190,0)</f>
        <v>3.28571428571429</v>
      </c>
      <c r="M190" s="5" t="str">
        <f aca="false">IF(AND(I190&gt;TransferMin,L190&gt;0),"OAK→HP",IF(AND(J190&gt;TransferMin,K190&gt;0),"HP→OAK","None"))</f>
        <v>None</v>
      </c>
      <c r="N190" s="5" t="n">
        <f aca="false">IF(M190="OAK→HP",MIN(I190,L190),IF(M190="HP→OAK",MIN(J190,K190),0))</f>
        <v>0</v>
      </c>
      <c r="O190" s="5" t="n">
        <f aca="false">MAX(K190-IF(M190="HP→OAK",N190,0),0)</f>
        <v>2.57142857142857</v>
      </c>
      <c r="P190" s="5" t="n">
        <f aca="false">MAX(L190-IF(M190="OAK→HP",N190,0),0)</f>
        <v>3.28571428571429</v>
      </c>
      <c r="Q190" s="5" t="n">
        <f aca="false">IF(O190&gt;0,CEILING(O190,ITEM_MASTER_CLEAN!G190),0)</f>
        <v>3</v>
      </c>
      <c r="R190" s="5" t="n">
        <f aca="false">IF(P190&gt;0,CEILING(P190,ITEM_MASTER_CLEAN!G190),0)</f>
        <v>4</v>
      </c>
      <c r="S190" s="5" t="n">
        <f aca="false">IF(G190=0,0,(1-MIN(E190/MAX(G190,1),1))*50+(1-MIN(F190/MAX(H190,1),1))*50)</f>
        <v>40.7692307692308</v>
      </c>
    </row>
    <row r="191" customFormat="false" ht="15" hidden="false" customHeight="false" outlineLevel="0" collapsed="false">
      <c r="A191" s="5" t="n">
        <f aca="false">ITEM_MASTER_CLEAN!A191</f>
        <v>190</v>
      </c>
      <c r="B191" s="5" t="n">
        <f aca="false">ITEM_MASTER_CLEAN!B191</f>
        <v>68687</v>
      </c>
      <c r="C191" s="5" t="str">
        <f aca="false">ITEM_MASTER_CLEAN!C191</f>
        <v>Couv 6oz</v>
      </c>
      <c r="D191" s="12" t="n">
        <f aca="false">ITEM_MASTER_CLEAN!F191</f>
        <v>20.12</v>
      </c>
      <c r="E191" s="5" t="n">
        <f aca="false">ITEM_MASTER_CLEAN!H191</f>
        <v>33</v>
      </c>
      <c r="F191" s="5" t="n">
        <f aca="false">ITEM_MASTER_CLEAN!I191</f>
        <v>7</v>
      </c>
      <c r="G191" s="5" t="n">
        <f aca="false">PAR_LEVELS!J191</f>
        <v>18.5714285714286</v>
      </c>
      <c r="H191" s="5" t="n">
        <f aca="false">PAR_LEVELS!K191</f>
        <v>3.71428571428571</v>
      </c>
      <c r="I191" s="5" t="n">
        <f aca="false">MAX(E191-G191,0)</f>
        <v>14.4285714285714</v>
      </c>
      <c r="J191" s="5" t="n">
        <f aca="false">MAX(F191-H191,0)</f>
        <v>3.28571428571429</v>
      </c>
      <c r="K191" s="5" t="n">
        <f aca="false">MAX(G191-E191,0)</f>
        <v>0</v>
      </c>
      <c r="L191" s="5" t="n">
        <f aca="false">MAX(H191-F191,0)</f>
        <v>0</v>
      </c>
      <c r="M191" s="5" t="str">
        <f aca="false">IF(AND(I191&gt;TransferMin,L191&gt;0),"OAK→HP",IF(AND(J191&gt;TransferMin,K191&gt;0),"HP→OAK","None"))</f>
        <v>None</v>
      </c>
      <c r="N191" s="5" t="n">
        <f aca="false">IF(M191="OAK→HP",MIN(I191,L191),IF(M191="HP→OAK",MIN(J191,K191),0))</f>
        <v>0</v>
      </c>
      <c r="O191" s="5" t="n">
        <f aca="false">MAX(K191-IF(M191="HP→OAK",N191,0),0)</f>
        <v>0</v>
      </c>
      <c r="P191" s="5" t="n">
        <f aca="false">MAX(L191-IF(M191="OAK→HP",N191,0),0)</f>
        <v>0</v>
      </c>
      <c r="Q191" s="5" t="n">
        <f aca="false">IF(O191&gt;0,CEILING(O191,ITEM_MASTER_CLEAN!G191),0)</f>
        <v>0</v>
      </c>
      <c r="R191" s="5" t="n">
        <f aca="false">IF(P191&gt;0,CEILING(P191,ITEM_MASTER_CLEAN!G191),0)</f>
        <v>0</v>
      </c>
      <c r="S191" s="5" t="n">
        <f aca="false">IF(G191=0,0,(1-MIN(E191/MAX(G191,1),1))*50+(1-MIN(F191/MAX(H191,1),1))*50)</f>
        <v>0</v>
      </c>
    </row>
    <row r="192" customFormat="false" ht="15" hidden="false" customHeight="false" outlineLevel="0" collapsed="false">
      <c r="A192" s="5" t="n">
        <f aca="false">ITEM_MASTER_CLEAN!A192</f>
        <v>191</v>
      </c>
      <c r="B192" s="5" t="n">
        <f aca="false">ITEM_MASTER_CLEAN!B192</f>
        <v>35171</v>
      </c>
      <c r="C192" s="5" t="str">
        <f aca="false">ITEM_MASTER_CLEAN!C192</f>
        <v>DIPP BOWL 8OZ VS608-168260 1M</v>
      </c>
      <c r="D192" s="12" t="n">
        <f aca="false">ITEM_MASTER_CLEAN!F192</f>
        <v>51.26</v>
      </c>
      <c r="E192" s="5" t="n">
        <f aca="false">ITEM_MASTER_CLEAN!H192</f>
        <v>9</v>
      </c>
      <c r="F192" s="5" t="n">
        <f aca="false">ITEM_MASTER_CLEAN!I192</f>
        <v>8</v>
      </c>
      <c r="G192" s="5" t="n">
        <f aca="false">PAR_LEVELS!J192</f>
        <v>14.8571428571429</v>
      </c>
      <c r="H192" s="5" t="n">
        <f aca="false">PAR_LEVELS!K192</f>
        <v>13</v>
      </c>
      <c r="I192" s="5" t="n">
        <f aca="false">MAX(E192-G192,0)</f>
        <v>0</v>
      </c>
      <c r="J192" s="5" t="n">
        <f aca="false">MAX(F192-H192,0)</f>
        <v>0</v>
      </c>
      <c r="K192" s="5" t="n">
        <f aca="false">MAX(G192-E192,0)</f>
        <v>5.85714285714286</v>
      </c>
      <c r="L192" s="5" t="n">
        <f aca="false">MAX(H192-F192,0)</f>
        <v>5</v>
      </c>
      <c r="M192" s="5" t="str">
        <f aca="false">IF(AND(I192&gt;TransferMin,L192&gt;0),"OAK→HP",IF(AND(J192&gt;TransferMin,K192&gt;0),"HP→OAK","None"))</f>
        <v>None</v>
      </c>
      <c r="N192" s="5" t="n">
        <f aca="false">IF(M192="OAK→HP",MIN(I192,L192),IF(M192="HP→OAK",MIN(J192,K192),0))</f>
        <v>0</v>
      </c>
      <c r="O192" s="5" t="n">
        <f aca="false">MAX(K192-IF(M192="HP→OAK",N192,0),0)</f>
        <v>5.85714285714286</v>
      </c>
      <c r="P192" s="5" t="n">
        <f aca="false">MAX(L192-IF(M192="OAK→HP",N192,0),0)</f>
        <v>5</v>
      </c>
      <c r="Q192" s="5" t="n">
        <f aca="false">IF(O192&gt;0,CEILING(O192,ITEM_MASTER_CLEAN!G192),0)</f>
        <v>6</v>
      </c>
      <c r="R192" s="5" t="n">
        <f aca="false">IF(P192&gt;0,CEILING(P192,ITEM_MASTER_CLEAN!G192),0)</f>
        <v>5</v>
      </c>
      <c r="S192" s="5" t="n">
        <f aca="false">IF(G192=0,0,(1-MIN(E192/MAX(G192,1),1))*50+(1-MIN(F192/MAX(H192,1),1))*50)</f>
        <v>38.9423076923077</v>
      </c>
    </row>
    <row r="193" customFormat="false" ht="15" hidden="false" customHeight="false" outlineLevel="0" collapsed="false">
      <c r="A193" s="5" t="n">
        <f aca="false">ITEM_MASTER_CLEAN!A193</f>
        <v>192</v>
      </c>
      <c r="B193" s="5" t="n">
        <f aca="false">ITEM_MASTER_CLEAN!B193</f>
        <v>35176</v>
      </c>
      <c r="C193" s="5" t="str">
        <f aca="false">ITEM_MASTER_CLEAN!C193</f>
        <v>couv / Lid  8oz</v>
      </c>
      <c r="D193" s="12" t="n">
        <f aca="false">ITEM_MASTER_CLEAN!F193</f>
        <v>34.53</v>
      </c>
      <c r="E193" s="5" t="n">
        <f aca="false">ITEM_MASTER_CLEAN!H193</f>
        <v>1</v>
      </c>
      <c r="F193" s="5" t="n">
        <f aca="false">ITEM_MASTER_CLEAN!I193</f>
        <v>0</v>
      </c>
      <c r="G193" s="5" t="n">
        <f aca="false">PAR_LEVELS!J193</f>
        <v>7.42857142857143</v>
      </c>
      <c r="H193" s="5" t="n">
        <f aca="false">PAR_LEVELS!K193</f>
        <v>7.42857142857143</v>
      </c>
      <c r="I193" s="5" t="n">
        <f aca="false">MAX(E193-G193,0)</f>
        <v>0</v>
      </c>
      <c r="J193" s="5" t="n">
        <f aca="false">MAX(F193-H193,0)</f>
        <v>0</v>
      </c>
      <c r="K193" s="5" t="n">
        <f aca="false">MAX(G193-E193,0)</f>
        <v>6.42857142857143</v>
      </c>
      <c r="L193" s="5" t="n">
        <f aca="false">MAX(H193-F193,0)</f>
        <v>7.42857142857143</v>
      </c>
      <c r="M193" s="5" t="str">
        <f aca="false">IF(AND(I193&gt;TransferMin,L193&gt;0),"OAK→HP",IF(AND(J193&gt;TransferMin,K193&gt;0),"HP→OAK","None"))</f>
        <v>None</v>
      </c>
      <c r="N193" s="5" t="n">
        <f aca="false">IF(M193="OAK→HP",MIN(I193,L193),IF(M193="HP→OAK",MIN(J193,K193),0))</f>
        <v>0</v>
      </c>
      <c r="O193" s="5" t="n">
        <f aca="false">MAX(K193-IF(M193="HP→OAK",N193,0),0)</f>
        <v>6.42857142857143</v>
      </c>
      <c r="P193" s="5" t="n">
        <f aca="false">MAX(L193-IF(M193="OAK→HP",N193,0),0)</f>
        <v>7.42857142857143</v>
      </c>
      <c r="Q193" s="5" t="n">
        <f aca="false">IF(O193&gt;0,CEILING(O193,ITEM_MASTER_CLEAN!G193),0)</f>
        <v>7</v>
      </c>
      <c r="R193" s="5" t="n">
        <f aca="false">IF(P193&gt;0,CEILING(P193,ITEM_MASTER_CLEAN!G193),0)</f>
        <v>8</v>
      </c>
      <c r="S193" s="5" t="n">
        <f aca="false">IF(G193=0,0,(1-MIN(E193/MAX(G193,1),1))*50+(1-MIN(F193/MAX(H193,1),1))*50)</f>
        <v>93.2692307692308</v>
      </c>
    </row>
    <row r="194" customFormat="false" ht="15" hidden="false" customHeight="false" outlineLevel="0" collapsed="false">
      <c r="A194" s="5" t="n">
        <f aca="false">ITEM_MASTER_CLEAN!A194</f>
        <v>193</v>
      </c>
      <c r="B194" s="5" t="n">
        <f aca="false">ITEM_MASTER_CLEAN!B194</f>
        <v>35026</v>
      </c>
      <c r="C194" s="5" t="str">
        <f aca="false">ITEM_MASTER_CLEAN!C194</f>
        <v>Dipp Bowl 12oz 1M</v>
      </c>
      <c r="D194" s="12" t="n">
        <f aca="false">ITEM_MASTER_CLEAN!F194</f>
        <v>29.98</v>
      </c>
      <c r="E194" s="5" t="n">
        <f aca="false">ITEM_MASTER_CLEAN!H194</f>
        <v>19</v>
      </c>
      <c r="F194" s="5" t="n">
        <f aca="false">ITEM_MASTER_CLEAN!I194</f>
        <v>1</v>
      </c>
      <c r="G194" s="5" t="n">
        <f aca="false">PAR_LEVELS!J194</f>
        <v>9.28571428571429</v>
      </c>
      <c r="H194" s="5" t="n">
        <f aca="false">PAR_LEVELS!K194</f>
        <v>7.42857142857143</v>
      </c>
      <c r="I194" s="5" t="n">
        <f aca="false">MAX(E194-G194,0)</f>
        <v>9.71428571428571</v>
      </c>
      <c r="J194" s="5" t="n">
        <f aca="false">MAX(F194-H194,0)</f>
        <v>0</v>
      </c>
      <c r="K194" s="5" t="n">
        <f aca="false">MAX(G194-E194,0)</f>
        <v>0</v>
      </c>
      <c r="L194" s="5" t="n">
        <f aca="false">MAX(H194-F194,0)</f>
        <v>6.42857142857143</v>
      </c>
      <c r="M194" s="5" t="str">
        <f aca="false">IF(AND(I194&gt;TransferMin,L194&gt;0),"OAK→HP",IF(AND(J194&gt;TransferMin,K194&gt;0),"HP→OAK","None"))</f>
        <v>OAK→HP</v>
      </c>
      <c r="N194" s="5" t="n">
        <f aca="false">IF(M194="OAK→HP",MIN(I194,L194),IF(M194="HP→OAK",MIN(J194,K194),0))</f>
        <v>6.42857142857143</v>
      </c>
      <c r="O194" s="5" t="n">
        <f aca="false">MAX(K194-IF(M194="HP→OAK",N194,0),0)</f>
        <v>0</v>
      </c>
      <c r="P194" s="5" t="n">
        <f aca="false">MAX(L194-IF(M194="OAK→HP",N194,0),0)</f>
        <v>0</v>
      </c>
      <c r="Q194" s="5" t="n">
        <f aca="false">IF(O194&gt;0,CEILING(O194,ITEM_MASTER_CLEAN!G194),0)</f>
        <v>0</v>
      </c>
      <c r="R194" s="5" t="n">
        <f aca="false">IF(P194&gt;0,CEILING(P194,ITEM_MASTER_CLEAN!G194),0)</f>
        <v>0</v>
      </c>
      <c r="S194" s="5" t="n">
        <f aca="false">IF(G194=0,0,(1-MIN(E194/MAX(G194,1),1))*50+(1-MIN(F194/MAX(H194,1),1))*50)</f>
        <v>43.2692307692308</v>
      </c>
    </row>
    <row r="195" customFormat="false" ht="15" hidden="false" customHeight="false" outlineLevel="0" collapsed="false">
      <c r="A195" s="5" t="n">
        <f aca="false">ITEM_MASTER_CLEAN!A195</f>
        <v>194</v>
      </c>
      <c r="B195" s="5" t="n">
        <f aca="false">ITEM_MASTER_CLEAN!B195</f>
        <v>35226</v>
      </c>
      <c r="C195" s="5" t="str">
        <f aca="false">ITEM_MASTER_CLEAN!C195</f>
        <v>Lid for 12oz Bowl</v>
      </c>
      <c r="D195" s="12" t="n">
        <f aca="false">ITEM_MASTER_CLEAN!F195</f>
        <v>21.95</v>
      </c>
      <c r="E195" s="5" t="n">
        <f aca="false">ITEM_MASTER_CLEAN!H195</f>
        <v>1</v>
      </c>
      <c r="F195" s="5" t="n">
        <f aca="false">ITEM_MASTER_CLEAN!I195</f>
        <v>16</v>
      </c>
      <c r="G195" s="5" t="n">
        <f aca="false">PAR_LEVELS!J195</f>
        <v>7.42857142857143</v>
      </c>
      <c r="H195" s="5" t="n">
        <f aca="false">PAR_LEVELS!K195</f>
        <v>9.28571428571429</v>
      </c>
      <c r="I195" s="5" t="n">
        <f aca="false">MAX(E195-G195,0)</f>
        <v>0</v>
      </c>
      <c r="J195" s="5" t="n">
        <f aca="false">MAX(F195-H195,0)</f>
        <v>6.71428571428571</v>
      </c>
      <c r="K195" s="5" t="n">
        <f aca="false">MAX(G195-E195,0)</f>
        <v>6.42857142857143</v>
      </c>
      <c r="L195" s="5" t="n">
        <f aca="false">MAX(H195-F195,0)</f>
        <v>0</v>
      </c>
      <c r="M195" s="5" t="str">
        <f aca="false">IF(AND(I195&gt;TransferMin,L195&gt;0),"OAK→HP",IF(AND(J195&gt;TransferMin,K195&gt;0),"HP→OAK","None"))</f>
        <v>HP→OAK</v>
      </c>
      <c r="N195" s="5" t="n">
        <f aca="false">IF(M195="OAK→HP",MIN(I195,L195),IF(M195="HP→OAK",MIN(J195,K195),0))</f>
        <v>6.42857142857143</v>
      </c>
      <c r="O195" s="5" t="n">
        <f aca="false">MAX(K195-IF(M195="HP→OAK",N195,0),0)</f>
        <v>0</v>
      </c>
      <c r="P195" s="5" t="n">
        <f aca="false">MAX(L195-IF(M195="OAK→HP",N195,0),0)</f>
        <v>0</v>
      </c>
      <c r="Q195" s="5" t="n">
        <f aca="false">IF(O195&gt;0,CEILING(O195,ITEM_MASTER_CLEAN!G195),0)</f>
        <v>0</v>
      </c>
      <c r="R195" s="5" t="n">
        <f aca="false">IF(P195&gt;0,CEILING(P195,ITEM_MASTER_CLEAN!G195),0)</f>
        <v>0</v>
      </c>
      <c r="S195" s="5" t="n">
        <f aca="false">IF(G195=0,0,(1-MIN(E195/MAX(G195,1),1))*50+(1-MIN(F195/MAX(H195,1),1))*50)</f>
        <v>43.2692307692308</v>
      </c>
    </row>
    <row r="196" customFormat="false" ht="15" hidden="false" customHeight="false" outlineLevel="0" collapsed="false">
      <c r="A196" s="5" t="n">
        <f aca="false">ITEM_MASTER_CLEAN!A196</f>
        <v>195</v>
      </c>
      <c r="B196" s="5" t="n">
        <f aca="false">ITEM_MASTER_CLEAN!B196</f>
        <v>33728</v>
      </c>
      <c r="C196" s="5" t="str">
        <f aca="false">ITEM_MASTER_CLEAN!C196</f>
        <v>DIPP CUP 10 OZ PAP RAZZLE PRT  1M</v>
      </c>
      <c r="D196" s="12" t="n">
        <f aca="false">ITEM_MASTER_CLEAN!F196</f>
        <v>40.71</v>
      </c>
      <c r="E196" s="5" t="n">
        <f aca="false">ITEM_MASTER_CLEAN!H196</f>
        <v>2</v>
      </c>
      <c r="F196" s="5" t="n">
        <f aca="false">ITEM_MASTER_CLEAN!I196</f>
        <v>1</v>
      </c>
      <c r="G196" s="5" t="n">
        <f aca="false">PAR_LEVELS!J196</f>
        <v>5.57142857142857</v>
      </c>
      <c r="H196" s="5" t="n">
        <f aca="false">PAR_LEVELS!K196</f>
        <v>3.71428571428571</v>
      </c>
      <c r="I196" s="5" t="n">
        <f aca="false">MAX(E196-G196,0)</f>
        <v>0</v>
      </c>
      <c r="J196" s="5" t="n">
        <f aca="false">MAX(F196-H196,0)</f>
        <v>0</v>
      </c>
      <c r="K196" s="5" t="n">
        <f aca="false">MAX(G196-E196,0)</f>
        <v>3.57142857142857</v>
      </c>
      <c r="L196" s="5" t="n">
        <f aca="false">MAX(H196-F196,0)</f>
        <v>2.71428571428571</v>
      </c>
      <c r="M196" s="5" t="str">
        <f aca="false">IF(AND(I196&gt;TransferMin,L196&gt;0),"OAK→HP",IF(AND(J196&gt;TransferMin,K196&gt;0),"HP→OAK","None"))</f>
        <v>None</v>
      </c>
      <c r="N196" s="5" t="n">
        <f aca="false">IF(M196="OAK→HP",MIN(I196,L196),IF(M196="HP→OAK",MIN(J196,K196),0))</f>
        <v>0</v>
      </c>
      <c r="O196" s="5" t="n">
        <f aca="false">MAX(K196-IF(M196="HP→OAK",N196,0),0)</f>
        <v>3.57142857142857</v>
      </c>
      <c r="P196" s="5" t="n">
        <f aca="false">MAX(L196-IF(M196="OAK→HP",N196,0),0)</f>
        <v>2.71428571428571</v>
      </c>
      <c r="Q196" s="5" t="n">
        <f aca="false">IF(O196&gt;0,CEILING(O196,ITEM_MASTER_CLEAN!G196),0)</f>
        <v>4</v>
      </c>
      <c r="R196" s="5" t="n">
        <f aca="false">IF(P196&gt;0,CEILING(P196,ITEM_MASTER_CLEAN!G196),0)</f>
        <v>3</v>
      </c>
      <c r="S196" s="5" t="n">
        <f aca="false">IF(G196=0,0,(1-MIN(E196/MAX(G196,1),1))*50+(1-MIN(F196/MAX(H196,1),1))*50)</f>
        <v>68.5897435897436</v>
      </c>
    </row>
    <row r="197" customFormat="false" ht="15" hidden="false" customHeight="false" outlineLevel="0" collapsed="false">
      <c r="A197" s="5" t="n">
        <f aca="false">ITEM_MASTER_CLEAN!A197</f>
        <v>196</v>
      </c>
      <c r="B197" s="5" t="n">
        <f aca="false">ITEM_MASTER_CLEAN!B197</f>
        <v>33729</v>
      </c>
      <c r="C197" s="5" t="str">
        <f aca="false">ITEM_MASTER_CLEAN!C197</f>
        <v>Lid Razzle/Coffee  white 1000</v>
      </c>
      <c r="D197" s="12" t="n">
        <f aca="false">ITEM_MASTER_CLEAN!F197</f>
        <v>43.4</v>
      </c>
      <c r="E197" s="5" t="n">
        <f aca="false">ITEM_MASTER_CLEAN!H197</f>
        <v>18</v>
      </c>
      <c r="F197" s="5" t="n">
        <f aca="false">ITEM_MASTER_CLEAN!I197</f>
        <v>16</v>
      </c>
      <c r="G197" s="5" t="n">
        <f aca="false">PAR_LEVELS!J197</f>
        <v>11.1428571428571</v>
      </c>
      <c r="H197" s="5" t="n">
        <f aca="false">PAR_LEVELS!K197</f>
        <v>7.42857142857143</v>
      </c>
      <c r="I197" s="5" t="n">
        <f aca="false">MAX(E197-G197,0)</f>
        <v>6.85714285714286</v>
      </c>
      <c r="J197" s="5" t="n">
        <f aca="false">MAX(F197-H197,0)</f>
        <v>8.57142857142857</v>
      </c>
      <c r="K197" s="5" t="n">
        <f aca="false">MAX(G197-E197,0)</f>
        <v>0</v>
      </c>
      <c r="L197" s="5" t="n">
        <f aca="false">MAX(H197-F197,0)</f>
        <v>0</v>
      </c>
      <c r="M197" s="5" t="str">
        <f aca="false">IF(AND(I197&gt;TransferMin,L197&gt;0),"OAK→HP",IF(AND(J197&gt;TransferMin,K197&gt;0),"HP→OAK","None"))</f>
        <v>None</v>
      </c>
      <c r="N197" s="5" t="n">
        <f aca="false">IF(M197="OAK→HP",MIN(I197,L197),IF(M197="HP→OAK",MIN(J197,K197),0))</f>
        <v>0</v>
      </c>
      <c r="O197" s="5" t="n">
        <f aca="false">MAX(K197-IF(M197="HP→OAK",N197,0),0)</f>
        <v>0</v>
      </c>
      <c r="P197" s="5" t="n">
        <f aca="false">MAX(L197-IF(M197="OAK→HP",N197,0),0)</f>
        <v>0</v>
      </c>
      <c r="Q197" s="5" t="n">
        <f aca="false">IF(O197&gt;0,CEILING(O197,ITEM_MASTER_CLEAN!G197),0)</f>
        <v>0</v>
      </c>
      <c r="R197" s="5" t="n">
        <f aca="false">IF(P197&gt;0,CEILING(P197,ITEM_MASTER_CLEAN!G197),0)</f>
        <v>0</v>
      </c>
      <c r="S197" s="5" t="n">
        <f aca="false">IF(G197=0,0,(1-MIN(E197/MAX(G197,1),1))*50+(1-MIN(F197/MAX(H197,1),1))*50)</f>
        <v>0</v>
      </c>
    </row>
    <row r="198" customFormat="false" ht="15" hidden="false" customHeight="false" outlineLevel="0" collapsed="false">
      <c r="A198" s="5" t="n">
        <f aca="false">ITEM_MASTER_CLEAN!A198</f>
        <v>197</v>
      </c>
      <c r="B198" s="5" t="n">
        <f aca="false">ITEM_MASTER_CLEAN!B198</f>
        <v>66985</v>
      </c>
      <c r="C198" s="5" t="str">
        <f aca="false">ITEM_MASTER_CLEAN!C198</f>
        <v>Lid Razzle Dome Clr 1000</v>
      </c>
      <c r="D198" s="12" t="n">
        <f aca="false">ITEM_MASTER_CLEAN!F198</f>
        <v>46.37</v>
      </c>
      <c r="E198" s="5" t="n">
        <f aca="false">ITEM_MASTER_CLEAN!H198</f>
        <v>4</v>
      </c>
      <c r="F198" s="5" t="n">
        <f aca="false">ITEM_MASTER_CLEAN!I198</f>
        <v>4</v>
      </c>
      <c r="G198" s="5" t="n">
        <f aca="false">PAR_LEVELS!J198</f>
        <v>7.42857142857143</v>
      </c>
      <c r="H198" s="5" t="n">
        <f aca="false">PAR_LEVELS!K198</f>
        <v>5.57142857142857</v>
      </c>
      <c r="I198" s="5" t="n">
        <f aca="false">MAX(E198-G198,0)</f>
        <v>0</v>
      </c>
      <c r="J198" s="5" t="n">
        <f aca="false">MAX(F198-H198,0)</f>
        <v>0</v>
      </c>
      <c r="K198" s="5" t="n">
        <f aca="false">MAX(G198-E198,0)</f>
        <v>3.42857142857143</v>
      </c>
      <c r="L198" s="5" t="n">
        <f aca="false">MAX(H198-F198,0)</f>
        <v>1.57142857142857</v>
      </c>
      <c r="M198" s="5" t="str">
        <f aca="false">IF(AND(I198&gt;TransferMin,L198&gt;0),"OAK→HP",IF(AND(J198&gt;TransferMin,K198&gt;0),"HP→OAK","None"))</f>
        <v>None</v>
      </c>
      <c r="N198" s="5" t="n">
        <f aca="false">IF(M198="OAK→HP",MIN(I198,L198),IF(M198="HP→OAK",MIN(J198,K198),0))</f>
        <v>0</v>
      </c>
      <c r="O198" s="5" t="n">
        <f aca="false">MAX(K198-IF(M198="HP→OAK",N198,0),0)</f>
        <v>3.42857142857143</v>
      </c>
      <c r="P198" s="5" t="n">
        <f aca="false">MAX(L198-IF(M198="OAK→HP",N198,0),0)</f>
        <v>1.57142857142857</v>
      </c>
      <c r="Q198" s="5" t="n">
        <f aca="false">IF(O198&gt;0,CEILING(O198,ITEM_MASTER_CLEAN!G198),0)</f>
        <v>4</v>
      </c>
      <c r="R198" s="5" t="n">
        <f aca="false">IF(P198&gt;0,CEILING(P198,ITEM_MASTER_CLEAN!G198),0)</f>
        <v>2</v>
      </c>
      <c r="S198" s="5" t="n">
        <f aca="false">IF(G198=0,0,(1-MIN(E198/MAX(G198,1),1))*50+(1-MIN(F198/MAX(H198,1),1))*50)</f>
        <v>37.1794871794872</v>
      </c>
    </row>
    <row r="199" customFormat="false" ht="15" hidden="false" customHeight="false" outlineLevel="0" collapsed="false">
      <c r="A199" s="5" t="n">
        <f aca="false">ITEM_MASTER_CLEAN!A199</f>
        <v>198</v>
      </c>
      <c r="B199" s="5" t="n">
        <f aca="false">ITEM_MASTER_CLEAN!B199</f>
        <v>63343</v>
      </c>
      <c r="C199" s="5" t="str">
        <f aca="false">ITEM_MASTER_CLEAN!C199</f>
        <v>CAKE DOME COMBO CLR 10"X5" 100</v>
      </c>
      <c r="D199" s="12" t="n">
        <f aca="false">ITEM_MASTER_CLEAN!F199</f>
        <v>27.4</v>
      </c>
      <c r="E199" s="5" t="n">
        <f aca="false">ITEM_MASTER_CLEAN!H199</f>
        <v>0</v>
      </c>
      <c r="F199" s="5" t="n">
        <f aca="false">ITEM_MASTER_CLEAN!I199</f>
        <v>1</v>
      </c>
      <c r="G199" s="5" t="n">
        <f aca="false">PAR_LEVELS!J199</f>
        <v>3.71428571428571</v>
      </c>
      <c r="H199" s="5" t="n">
        <f aca="false">PAR_LEVELS!K199</f>
        <v>7.42857142857143</v>
      </c>
      <c r="I199" s="5" t="n">
        <f aca="false">MAX(E199-G199,0)</f>
        <v>0</v>
      </c>
      <c r="J199" s="5" t="n">
        <f aca="false">MAX(F199-H199,0)</f>
        <v>0</v>
      </c>
      <c r="K199" s="5" t="n">
        <f aca="false">MAX(G199-E199,0)</f>
        <v>3.71428571428571</v>
      </c>
      <c r="L199" s="5" t="n">
        <f aca="false">MAX(H199-F199,0)</f>
        <v>6.42857142857143</v>
      </c>
      <c r="M199" s="5" t="str">
        <f aca="false">IF(AND(I199&gt;TransferMin,L199&gt;0),"OAK→HP",IF(AND(J199&gt;TransferMin,K199&gt;0),"HP→OAK","None"))</f>
        <v>None</v>
      </c>
      <c r="N199" s="5" t="n">
        <f aca="false">IF(M199="OAK→HP",MIN(I199,L199),IF(M199="HP→OAK",MIN(J199,K199),0))</f>
        <v>0</v>
      </c>
      <c r="O199" s="5" t="n">
        <f aca="false">MAX(K199-IF(M199="HP→OAK",N199,0),0)</f>
        <v>3.71428571428571</v>
      </c>
      <c r="P199" s="5" t="n">
        <f aca="false">MAX(L199-IF(M199="OAK→HP",N199,0),0)</f>
        <v>6.42857142857143</v>
      </c>
      <c r="Q199" s="5" t="n">
        <f aca="false">IF(O199&gt;0,CEILING(O199,ITEM_MASTER_CLEAN!G199),0)</f>
        <v>4</v>
      </c>
      <c r="R199" s="5" t="n">
        <f aca="false">IF(P199&gt;0,CEILING(P199,ITEM_MASTER_CLEAN!G199),0)</f>
        <v>7</v>
      </c>
      <c r="S199" s="5" t="n">
        <f aca="false">IF(G199=0,0,(1-MIN(E199/MAX(G199,1),1))*50+(1-MIN(F199/MAX(H199,1),1))*50)</f>
        <v>93.2692307692308</v>
      </c>
    </row>
    <row r="200" customFormat="false" ht="15" hidden="false" customHeight="false" outlineLevel="0" collapsed="false">
      <c r="A200" s="5" t="n">
        <f aca="false">ITEM_MASTER_CLEAN!A200</f>
        <v>199</v>
      </c>
      <c r="B200" s="5" t="n">
        <f aca="false">ITEM_MASTER_CLEAN!B200</f>
        <v>35113</v>
      </c>
      <c r="C200" s="5" t="str">
        <f aca="false">ITEM_MASTER_CLEAN!C200</f>
        <v>STICKS POPSICLE WOOD  1X1M</v>
      </c>
      <c r="D200" s="12" t="n">
        <f aca="false">ITEM_MASTER_CLEAN!F200</f>
        <v>11.64</v>
      </c>
      <c r="E200" s="5" t="n">
        <f aca="false">ITEM_MASTER_CLEAN!H200</f>
        <v>2</v>
      </c>
      <c r="F200" s="5" t="n">
        <f aca="false">ITEM_MASTER_CLEAN!I200</f>
        <v>0</v>
      </c>
      <c r="G200" s="5" t="n">
        <f aca="false">PAR_LEVELS!J200</f>
        <v>9.28571428571429</v>
      </c>
      <c r="H200" s="5" t="n">
        <f aca="false">PAR_LEVELS!K200</f>
        <v>3.71428571428571</v>
      </c>
      <c r="I200" s="5" t="n">
        <f aca="false">MAX(E200-G200,0)</f>
        <v>0</v>
      </c>
      <c r="J200" s="5" t="n">
        <f aca="false">MAX(F200-H200,0)</f>
        <v>0</v>
      </c>
      <c r="K200" s="5" t="n">
        <f aca="false">MAX(G200-E200,0)</f>
        <v>7.28571428571429</v>
      </c>
      <c r="L200" s="5" t="n">
        <f aca="false">MAX(H200-F200,0)</f>
        <v>3.71428571428571</v>
      </c>
      <c r="M200" s="5" t="str">
        <f aca="false">IF(AND(I200&gt;TransferMin,L200&gt;0),"OAK→HP",IF(AND(J200&gt;TransferMin,K200&gt;0),"HP→OAK","None"))</f>
        <v>None</v>
      </c>
      <c r="N200" s="5" t="n">
        <f aca="false">IF(M200="OAK→HP",MIN(I200,L200),IF(M200="HP→OAK",MIN(J200,K200),0))</f>
        <v>0</v>
      </c>
      <c r="O200" s="5" t="n">
        <f aca="false">MAX(K200-IF(M200="HP→OAK",N200,0),0)</f>
        <v>7.28571428571429</v>
      </c>
      <c r="P200" s="5" t="n">
        <f aca="false">MAX(L200-IF(M200="OAK→HP",N200,0),0)</f>
        <v>3.71428571428571</v>
      </c>
      <c r="Q200" s="5" t="n">
        <f aca="false">IF(O200&gt;0,CEILING(O200,ITEM_MASTER_CLEAN!G200),0)</f>
        <v>8</v>
      </c>
      <c r="R200" s="5" t="n">
        <f aca="false">IF(P200&gt;0,CEILING(P200,ITEM_MASTER_CLEAN!G200),0)</f>
        <v>4</v>
      </c>
      <c r="S200" s="5" t="n">
        <f aca="false">IF(G200=0,0,(1-MIN(E200/MAX(G200,1),1))*50+(1-MIN(F200/MAX(H200,1),1))*50)</f>
        <v>89.2307692307692</v>
      </c>
    </row>
    <row r="201" customFormat="false" ht="15" hidden="false" customHeight="false" outlineLevel="0" collapsed="false">
      <c r="A201" s="5" t="n">
        <f aca="false">ITEM_MASTER_CLEAN!A201</f>
        <v>200</v>
      </c>
      <c r="B201" s="5" t="n">
        <f aca="false">ITEM_MASTER_CLEAN!B201</f>
        <v>26324</v>
      </c>
      <c r="C201" s="5" t="str">
        <f aca="false">ITEM_MASTER_CLEAN!C201</f>
        <v>Cont Gauffre 6x6 500 units</v>
      </c>
      <c r="D201" s="12" t="n">
        <f aca="false">ITEM_MASTER_CLEAN!F201</f>
        <v>13.28</v>
      </c>
      <c r="E201" s="5" t="n">
        <f aca="false">ITEM_MASTER_CLEAN!H201</f>
        <v>1</v>
      </c>
      <c r="F201" s="5" t="n">
        <f aca="false">ITEM_MASTER_CLEAN!I201</f>
        <v>1</v>
      </c>
      <c r="G201" s="5" t="n">
        <f aca="false">PAR_LEVELS!J201</f>
        <v>5.57142857142857</v>
      </c>
      <c r="H201" s="5" t="n">
        <f aca="false">PAR_LEVELS!K201</f>
        <v>7.42857142857143</v>
      </c>
      <c r="I201" s="5" t="n">
        <f aca="false">MAX(E201-G201,0)</f>
        <v>0</v>
      </c>
      <c r="J201" s="5" t="n">
        <f aca="false">MAX(F201-H201,0)</f>
        <v>0</v>
      </c>
      <c r="K201" s="5" t="n">
        <f aca="false">MAX(G201-E201,0)</f>
        <v>4.57142857142857</v>
      </c>
      <c r="L201" s="5" t="n">
        <f aca="false">MAX(H201-F201,0)</f>
        <v>6.42857142857143</v>
      </c>
      <c r="M201" s="5" t="str">
        <f aca="false">IF(AND(I201&gt;TransferMin,L201&gt;0),"OAK→HP",IF(AND(J201&gt;TransferMin,K201&gt;0),"HP→OAK","None"))</f>
        <v>None</v>
      </c>
      <c r="N201" s="5" t="n">
        <f aca="false">IF(M201="OAK→HP",MIN(I201,L201),IF(M201="HP→OAK",MIN(J201,K201),0))</f>
        <v>0</v>
      </c>
      <c r="O201" s="5" t="n">
        <f aca="false">MAX(K201-IF(M201="HP→OAK",N201,0),0)</f>
        <v>4.57142857142857</v>
      </c>
      <c r="P201" s="5" t="n">
        <f aca="false">MAX(L201-IF(M201="OAK→HP",N201,0),0)</f>
        <v>6.42857142857143</v>
      </c>
      <c r="Q201" s="5" t="n">
        <f aca="false">IF(O201&gt;0,CEILING(O201,ITEM_MASTER_CLEAN!G201),0)</f>
        <v>5</v>
      </c>
      <c r="R201" s="5" t="n">
        <f aca="false">IF(P201&gt;0,CEILING(P201,ITEM_MASTER_CLEAN!G201),0)</f>
        <v>7</v>
      </c>
      <c r="S201" s="5" t="n">
        <f aca="false">IF(G201=0,0,(1-MIN(E201/MAX(G201,1),1))*50+(1-MIN(F201/MAX(H201,1),1))*50)</f>
        <v>84.2948717948718</v>
      </c>
    </row>
    <row r="202" customFormat="false" ht="15" hidden="false" customHeight="false" outlineLevel="0" collapsed="false">
      <c r="A202" s="5" t="n">
        <f aca="false">ITEM_MASTER_CLEAN!A202</f>
        <v>201</v>
      </c>
      <c r="B202" s="5" t="n">
        <f aca="false">ITEM_MASTER_CLEAN!B202</f>
        <v>26325</v>
      </c>
      <c r="C202" s="5" t="str">
        <f aca="false">ITEM_MASTER_CLEAN!C202</f>
        <v>Cont crepe 9"x6"x3"  250 units</v>
      </c>
      <c r="D202" s="12" t="n">
        <f aca="false">ITEM_MASTER_CLEAN!F202</f>
        <v>24.89</v>
      </c>
      <c r="E202" s="5" t="n">
        <f aca="false">ITEM_MASTER_CLEAN!H202</f>
        <v>0</v>
      </c>
      <c r="F202" s="5" t="n">
        <f aca="false">ITEM_MASTER_CLEAN!I202</f>
        <v>1</v>
      </c>
      <c r="G202" s="5" t="n">
        <f aca="false">PAR_LEVELS!J202</f>
        <v>7.42857142857143</v>
      </c>
      <c r="H202" s="5" t="n">
        <f aca="false">PAR_LEVELS!K202</f>
        <v>5.57142857142857</v>
      </c>
      <c r="I202" s="5" t="n">
        <f aca="false">MAX(E202-G202,0)</f>
        <v>0</v>
      </c>
      <c r="J202" s="5" t="n">
        <f aca="false">MAX(F202-H202,0)</f>
        <v>0</v>
      </c>
      <c r="K202" s="5" t="n">
        <f aca="false">MAX(G202-E202,0)</f>
        <v>7.42857142857143</v>
      </c>
      <c r="L202" s="5" t="n">
        <f aca="false">MAX(H202-F202,0)</f>
        <v>4.57142857142857</v>
      </c>
      <c r="M202" s="5" t="str">
        <f aca="false">IF(AND(I202&gt;TransferMin,L202&gt;0),"OAK→HP",IF(AND(J202&gt;TransferMin,K202&gt;0),"HP→OAK","None"))</f>
        <v>None</v>
      </c>
      <c r="N202" s="5" t="n">
        <f aca="false">IF(M202="OAK→HP",MIN(I202,L202),IF(M202="HP→OAK",MIN(J202,K202),0))</f>
        <v>0</v>
      </c>
      <c r="O202" s="5" t="n">
        <f aca="false">MAX(K202-IF(M202="HP→OAK",N202,0),0)</f>
        <v>7.42857142857143</v>
      </c>
      <c r="P202" s="5" t="n">
        <f aca="false">MAX(L202-IF(M202="OAK→HP",N202,0),0)</f>
        <v>4.57142857142857</v>
      </c>
      <c r="Q202" s="5" t="n">
        <f aca="false">IF(O202&gt;0,CEILING(O202,ITEM_MASTER_CLEAN!G202),0)</f>
        <v>8</v>
      </c>
      <c r="R202" s="5" t="n">
        <f aca="false">IF(P202&gt;0,CEILING(P202,ITEM_MASTER_CLEAN!G202),0)</f>
        <v>5</v>
      </c>
      <c r="S202" s="5" t="n">
        <f aca="false">IF(G202=0,0,(1-MIN(E202/MAX(G202,1),1))*50+(1-MIN(F202/MAX(H202,1),1))*50)</f>
        <v>91.025641025641</v>
      </c>
    </row>
    <row r="203" customFormat="false" ht="15" hidden="false" customHeight="false" outlineLevel="0" collapsed="false">
      <c r="A203" s="5" t="n">
        <f aca="false">ITEM_MASTER_CLEAN!A203</f>
        <v>202</v>
      </c>
      <c r="B203" s="5" t="n">
        <f aca="false">ITEM_MASTER_CLEAN!B203</f>
        <v>17159</v>
      </c>
      <c r="C203" s="5" t="str">
        <f aca="false">ITEM_MASTER_CLEAN!C203</f>
        <v>Cont ChsCake slc tray 800un</v>
      </c>
      <c r="D203" s="12" t="n">
        <f aca="false">ITEM_MASTER_CLEAN!F203</f>
        <v>34.13</v>
      </c>
      <c r="E203" s="5" t="n">
        <f aca="false">ITEM_MASTER_CLEAN!H203</f>
        <v>1</v>
      </c>
      <c r="F203" s="5" t="n">
        <f aca="false">ITEM_MASTER_CLEAN!I203</f>
        <v>0</v>
      </c>
      <c r="G203" s="5" t="n">
        <f aca="false">PAR_LEVELS!J203</f>
        <v>9.28571428571429</v>
      </c>
      <c r="H203" s="5" t="n">
        <f aca="false">PAR_LEVELS!K203</f>
        <v>3.71428571428571</v>
      </c>
      <c r="I203" s="5" t="n">
        <f aca="false">MAX(E203-G203,0)</f>
        <v>0</v>
      </c>
      <c r="J203" s="5" t="n">
        <f aca="false">MAX(F203-H203,0)</f>
        <v>0</v>
      </c>
      <c r="K203" s="5" t="n">
        <f aca="false">MAX(G203-E203,0)</f>
        <v>8.28571428571429</v>
      </c>
      <c r="L203" s="5" t="n">
        <f aca="false">MAX(H203-F203,0)</f>
        <v>3.71428571428571</v>
      </c>
      <c r="M203" s="5" t="str">
        <f aca="false">IF(AND(I203&gt;TransferMin,L203&gt;0),"OAK→HP",IF(AND(J203&gt;TransferMin,K203&gt;0),"HP→OAK","None"))</f>
        <v>None</v>
      </c>
      <c r="N203" s="5" t="n">
        <f aca="false">IF(M203="OAK→HP",MIN(I203,L203),IF(M203="HP→OAK",MIN(J203,K203),0))</f>
        <v>0</v>
      </c>
      <c r="O203" s="5" t="n">
        <f aca="false">MAX(K203-IF(M203="HP→OAK",N203,0),0)</f>
        <v>8.28571428571429</v>
      </c>
      <c r="P203" s="5" t="n">
        <f aca="false">MAX(L203-IF(M203="OAK→HP",N203,0),0)</f>
        <v>3.71428571428571</v>
      </c>
      <c r="Q203" s="5" t="n">
        <f aca="false">IF(O203&gt;0,CEILING(O203,ITEM_MASTER_CLEAN!G203),0)</f>
        <v>9</v>
      </c>
      <c r="R203" s="5" t="n">
        <f aca="false">IF(P203&gt;0,CEILING(P203,ITEM_MASTER_CLEAN!G203),0)</f>
        <v>4</v>
      </c>
      <c r="S203" s="5" t="n">
        <f aca="false">IF(G203=0,0,(1-MIN(E203/MAX(G203,1),1))*50+(1-MIN(F203/MAX(H203,1),1))*50)</f>
        <v>94.6153846153846</v>
      </c>
    </row>
    <row r="204" customFormat="false" ht="15" hidden="false" customHeight="false" outlineLevel="0" collapsed="false">
      <c r="A204" s="5" t="n">
        <f aca="false">ITEM_MASTER_CLEAN!A204</f>
        <v>203</v>
      </c>
      <c r="B204" s="5" t="n">
        <f aca="false">ITEM_MASTER_CLEAN!B204</f>
        <v>17160</v>
      </c>
      <c r="C204" s="5" t="str">
        <f aca="false">ITEM_MASTER_CLEAN!C204</f>
        <v>Lid  ChsCake slc 800un</v>
      </c>
      <c r="D204" s="12" t="n">
        <f aca="false">ITEM_MASTER_CLEAN!F204</f>
        <v>19.6</v>
      </c>
      <c r="E204" s="5" t="n">
        <f aca="false">ITEM_MASTER_CLEAN!H204</f>
        <v>18</v>
      </c>
      <c r="F204" s="5" t="n">
        <f aca="false">ITEM_MASTER_CLEAN!I204</f>
        <v>0</v>
      </c>
      <c r="G204" s="5" t="n">
        <f aca="false">PAR_LEVELS!J204</f>
        <v>11.1428571428571</v>
      </c>
      <c r="H204" s="5" t="n">
        <f aca="false">PAR_LEVELS!K204</f>
        <v>3.71428571428571</v>
      </c>
      <c r="I204" s="5" t="n">
        <f aca="false">MAX(E204-G204,0)</f>
        <v>6.85714285714286</v>
      </c>
      <c r="J204" s="5" t="n">
        <f aca="false">MAX(F204-H204,0)</f>
        <v>0</v>
      </c>
      <c r="K204" s="5" t="n">
        <f aca="false">MAX(G204-E204,0)</f>
        <v>0</v>
      </c>
      <c r="L204" s="5" t="n">
        <f aca="false">MAX(H204-F204,0)</f>
        <v>3.71428571428571</v>
      </c>
      <c r="M204" s="5" t="str">
        <f aca="false">IF(AND(I204&gt;TransferMin,L204&gt;0),"OAK→HP",IF(AND(J204&gt;TransferMin,K204&gt;0),"HP→OAK","None"))</f>
        <v>OAK→HP</v>
      </c>
      <c r="N204" s="5" t="n">
        <f aca="false">IF(M204="OAK→HP",MIN(I204,L204),IF(M204="HP→OAK",MIN(J204,K204),0))</f>
        <v>3.71428571428571</v>
      </c>
      <c r="O204" s="5" t="n">
        <f aca="false">MAX(K204-IF(M204="HP→OAK",N204,0),0)</f>
        <v>0</v>
      </c>
      <c r="P204" s="5" t="n">
        <f aca="false">MAX(L204-IF(M204="OAK→HP",N204,0),0)</f>
        <v>0</v>
      </c>
      <c r="Q204" s="5" t="n">
        <f aca="false">IF(O204&gt;0,CEILING(O204,ITEM_MASTER_CLEAN!G204),0)</f>
        <v>0</v>
      </c>
      <c r="R204" s="5" t="n">
        <f aca="false">IF(P204&gt;0,CEILING(P204,ITEM_MASTER_CLEAN!G204),0)</f>
        <v>0</v>
      </c>
      <c r="S204" s="5" t="n">
        <f aca="false">IF(G204=0,0,(1-MIN(E204/MAX(G204,1),1))*50+(1-MIN(F204/MAX(H204,1),1))*50)</f>
        <v>50</v>
      </c>
    </row>
    <row r="205" customFormat="false" ht="15" hidden="false" customHeight="false" outlineLevel="0" collapsed="false">
      <c r="A205" s="5" t="n">
        <f aca="false">ITEM_MASTER_CLEAN!A205</f>
        <v>204</v>
      </c>
      <c r="B205" s="5" t="n">
        <f aca="false">ITEM_MASTER_CLEAN!B205</f>
        <v>59752</v>
      </c>
      <c r="C205" s="5" t="str">
        <f aca="false">ITEM_MASTER_CLEAN!C205</f>
        <v>CONT CAKE SLICE PETE 6X6.3 X2.9 240</v>
      </c>
      <c r="D205" s="12" t="n">
        <f aca="false">ITEM_MASTER_CLEAN!F205</f>
        <v>20.21</v>
      </c>
      <c r="E205" s="5" t="n">
        <f aca="false">ITEM_MASTER_CLEAN!H205</f>
        <v>14</v>
      </c>
      <c r="F205" s="5" t="n">
        <f aca="false">ITEM_MASTER_CLEAN!I205</f>
        <v>0</v>
      </c>
      <c r="G205" s="5" t="n">
        <f aca="false">PAR_LEVELS!J205</f>
        <v>9.28571428571429</v>
      </c>
      <c r="H205" s="5" t="n">
        <f aca="false">PAR_LEVELS!K205</f>
        <v>7.42857142857143</v>
      </c>
      <c r="I205" s="5" t="n">
        <f aca="false">MAX(E205-G205,0)</f>
        <v>4.71428571428571</v>
      </c>
      <c r="J205" s="5" t="n">
        <f aca="false">MAX(F205-H205,0)</f>
        <v>0</v>
      </c>
      <c r="K205" s="5" t="n">
        <f aca="false">MAX(G205-E205,0)</f>
        <v>0</v>
      </c>
      <c r="L205" s="5" t="n">
        <f aca="false">MAX(H205-F205,0)</f>
        <v>7.42857142857143</v>
      </c>
      <c r="M205" s="5" t="str">
        <f aca="false">IF(AND(I205&gt;TransferMin,L205&gt;0),"OAK→HP",IF(AND(J205&gt;TransferMin,K205&gt;0),"HP→OAK","None"))</f>
        <v>None</v>
      </c>
      <c r="N205" s="5" t="n">
        <f aca="false">IF(M205="OAK→HP",MIN(I205,L205),IF(M205="HP→OAK",MIN(J205,K205),0))</f>
        <v>0</v>
      </c>
      <c r="O205" s="5" t="n">
        <f aca="false">MAX(K205-IF(M205="HP→OAK",N205,0),0)</f>
        <v>0</v>
      </c>
      <c r="P205" s="5" t="n">
        <f aca="false">MAX(L205-IF(M205="OAK→HP",N205,0),0)</f>
        <v>7.42857142857143</v>
      </c>
      <c r="Q205" s="5" t="n">
        <f aca="false">IF(O205&gt;0,CEILING(O205,ITEM_MASTER_CLEAN!G205),0)</f>
        <v>0</v>
      </c>
      <c r="R205" s="5" t="n">
        <f aca="false">IF(P205&gt;0,CEILING(P205,ITEM_MASTER_CLEAN!G205),0)</f>
        <v>8</v>
      </c>
      <c r="S205" s="5" t="n">
        <f aca="false">IF(G205=0,0,(1-MIN(E205/MAX(G205,1),1))*50+(1-MIN(F205/MAX(H205,1),1))*50)</f>
        <v>50</v>
      </c>
    </row>
    <row r="206" customFormat="false" ht="15" hidden="false" customHeight="false" outlineLevel="0" collapsed="false">
      <c r="A206" s="5" t="n">
        <f aca="false">ITEM_MASTER_CLEAN!A206</f>
        <v>205</v>
      </c>
      <c r="B206" s="5" t="n">
        <f aca="false">ITEM_MASTER_CLEAN!B206</f>
        <v>41216</v>
      </c>
      <c r="C206" s="5" t="str">
        <f aca="false">ITEM_MASTER_CLEAN!C206</f>
        <v>CONT PORT 2 OZ PLASTIC PP* 125UN</v>
      </c>
      <c r="D206" s="12" t="n">
        <f aca="false">ITEM_MASTER_CLEAN!F206</f>
        <v>22.51</v>
      </c>
      <c r="E206" s="5" t="n">
        <f aca="false">ITEM_MASTER_CLEAN!H206</f>
        <v>1</v>
      </c>
      <c r="F206" s="5" t="n">
        <f aca="false">ITEM_MASTER_CLEAN!I206</f>
        <v>1</v>
      </c>
      <c r="G206" s="5" t="n">
        <f aca="false">PAR_LEVELS!J206</f>
        <v>5.57142857142857</v>
      </c>
      <c r="H206" s="5" t="n">
        <f aca="false">PAR_LEVELS!K206</f>
        <v>3.71428571428571</v>
      </c>
      <c r="I206" s="5" t="n">
        <f aca="false">MAX(E206-G206,0)</f>
        <v>0</v>
      </c>
      <c r="J206" s="5" t="n">
        <f aca="false">MAX(F206-H206,0)</f>
        <v>0</v>
      </c>
      <c r="K206" s="5" t="n">
        <f aca="false">MAX(G206-E206,0)</f>
        <v>4.57142857142857</v>
      </c>
      <c r="L206" s="5" t="n">
        <f aca="false">MAX(H206-F206,0)</f>
        <v>2.71428571428571</v>
      </c>
      <c r="M206" s="5" t="str">
        <f aca="false">IF(AND(I206&gt;TransferMin,L206&gt;0),"OAK→HP",IF(AND(J206&gt;TransferMin,K206&gt;0),"HP→OAK","None"))</f>
        <v>None</v>
      </c>
      <c r="N206" s="5" t="n">
        <f aca="false">IF(M206="OAK→HP",MIN(I206,L206),IF(M206="HP→OAK",MIN(J206,K206),0))</f>
        <v>0</v>
      </c>
      <c r="O206" s="5" t="n">
        <f aca="false">MAX(K206-IF(M206="HP→OAK",N206,0),0)</f>
        <v>4.57142857142857</v>
      </c>
      <c r="P206" s="5" t="n">
        <f aca="false">MAX(L206-IF(M206="OAK→HP",N206,0),0)</f>
        <v>2.71428571428571</v>
      </c>
      <c r="Q206" s="5" t="n">
        <f aca="false">IF(O206&gt;0,CEILING(O206,ITEM_MASTER_CLEAN!G206),0)</f>
        <v>5</v>
      </c>
      <c r="R206" s="5" t="n">
        <f aca="false">IF(P206&gt;0,CEILING(P206,ITEM_MASTER_CLEAN!G206),0)</f>
        <v>3</v>
      </c>
      <c r="S206" s="5" t="n">
        <f aca="false">IF(G206=0,0,(1-MIN(E206/MAX(G206,1),1))*50+(1-MIN(F206/MAX(H206,1),1))*50)</f>
        <v>77.5641025641026</v>
      </c>
    </row>
    <row r="207" customFormat="false" ht="15" hidden="false" customHeight="false" outlineLevel="0" collapsed="false">
      <c r="A207" s="5" t="n">
        <f aca="false">ITEM_MASTER_CLEAN!A207</f>
        <v>206</v>
      </c>
      <c r="B207" s="5" t="n">
        <f aca="false">ITEM_MASTER_CLEAN!B207</f>
        <v>41217</v>
      </c>
      <c r="C207" s="5" t="str">
        <f aca="false">ITEM_MASTER_CLEAN!C207</f>
        <v>LID PORTION 2 OZ PL 125UN</v>
      </c>
      <c r="D207" s="12" t="n">
        <f aca="false">ITEM_MASTER_CLEAN!F207</f>
        <v>28.07</v>
      </c>
      <c r="E207" s="5" t="n">
        <f aca="false">ITEM_MASTER_CLEAN!H207</f>
        <v>4</v>
      </c>
      <c r="F207" s="5" t="n">
        <f aca="false">ITEM_MASTER_CLEAN!I207</f>
        <v>6</v>
      </c>
      <c r="G207" s="5" t="n">
        <f aca="false">PAR_LEVELS!J207</f>
        <v>5.57142857142857</v>
      </c>
      <c r="H207" s="5" t="n">
        <f aca="false">PAR_LEVELS!K207</f>
        <v>7.42857142857143</v>
      </c>
      <c r="I207" s="5" t="n">
        <f aca="false">MAX(E207-G207,0)</f>
        <v>0</v>
      </c>
      <c r="J207" s="5" t="n">
        <f aca="false">MAX(F207-H207,0)</f>
        <v>0</v>
      </c>
      <c r="K207" s="5" t="n">
        <f aca="false">MAX(G207-E207,0)</f>
        <v>1.57142857142857</v>
      </c>
      <c r="L207" s="5" t="n">
        <f aca="false">MAX(H207-F207,0)</f>
        <v>1.42857142857143</v>
      </c>
      <c r="M207" s="5" t="str">
        <f aca="false">IF(AND(I207&gt;TransferMin,L207&gt;0),"OAK→HP",IF(AND(J207&gt;TransferMin,K207&gt;0),"HP→OAK","None"))</f>
        <v>None</v>
      </c>
      <c r="N207" s="5" t="n">
        <f aca="false">IF(M207="OAK→HP",MIN(I207,L207),IF(M207="HP→OAK",MIN(J207,K207),0))</f>
        <v>0</v>
      </c>
      <c r="O207" s="5" t="n">
        <f aca="false">MAX(K207-IF(M207="HP→OAK",N207,0),0)</f>
        <v>1.57142857142857</v>
      </c>
      <c r="P207" s="5" t="n">
        <f aca="false">MAX(L207-IF(M207="OAK→HP",N207,0),0)</f>
        <v>1.42857142857143</v>
      </c>
      <c r="Q207" s="5" t="n">
        <f aca="false">IF(O207&gt;0,CEILING(O207,ITEM_MASTER_CLEAN!G207),0)</f>
        <v>2</v>
      </c>
      <c r="R207" s="5" t="n">
        <f aca="false">IF(P207&gt;0,CEILING(P207,ITEM_MASTER_CLEAN!G207),0)</f>
        <v>2</v>
      </c>
      <c r="S207" s="5" t="n">
        <f aca="false">IF(G207=0,0,(1-MIN(E207/MAX(G207,1),1))*50+(1-MIN(F207/MAX(H207,1),1))*50)</f>
        <v>23.7179487179487</v>
      </c>
    </row>
    <row r="208" customFormat="false" ht="15" hidden="false" customHeight="false" outlineLevel="0" collapsed="false">
      <c r="A208" s="5" t="n">
        <f aca="false">ITEM_MASTER_CLEAN!A208</f>
        <v>207</v>
      </c>
      <c r="B208" s="5" t="n">
        <f aca="false">ITEM_MASTER_CLEAN!B208</f>
        <v>66908</v>
      </c>
      <c r="C208" s="5" t="str">
        <f aca="false">ITEM_MASTER_CLEAN!C208</f>
        <v>CUTL KNIFE WOOD TI80691 1M</v>
      </c>
      <c r="D208" s="12" t="n">
        <f aca="false">ITEM_MASTER_CLEAN!F208</f>
        <v>13.23</v>
      </c>
      <c r="E208" s="5" t="n">
        <f aca="false">ITEM_MASTER_CLEAN!H208</f>
        <v>11</v>
      </c>
      <c r="F208" s="5" t="n">
        <f aca="false">ITEM_MASTER_CLEAN!I208</f>
        <v>7</v>
      </c>
      <c r="G208" s="5" t="n">
        <f aca="false">PAR_LEVELS!J208</f>
        <v>5.57142857142857</v>
      </c>
      <c r="H208" s="5" t="n">
        <f aca="false">PAR_LEVELS!K208</f>
        <v>3.71428571428571</v>
      </c>
      <c r="I208" s="5" t="n">
        <f aca="false">MAX(E208-G208,0)</f>
        <v>5.42857142857143</v>
      </c>
      <c r="J208" s="5" t="n">
        <f aca="false">MAX(F208-H208,0)</f>
        <v>3.28571428571429</v>
      </c>
      <c r="K208" s="5" t="n">
        <f aca="false">MAX(G208-E208,0)</f>
        <v>0</v>
      </c>
      <c r="L208" s="5" t="n">
        <f aca="false">MAX(H208-F208,0)</f>
        <v>0</v>
      </c>
      <c r="M208" s="5" t="str">
        <f aca="false">IF(AND(I208&gt;TransferMin,L208&gt;0),"OAK→HP",IF(AND(J208&gt;TransferMin,K208&gt;0),"HP→OAK","None"))</f>
        <v>None</v>
      </c>
      <c r="N208" s="5" t="n">
        <f aca="false">IF(M208="OAK→HP",MIN(I208,L208),IF(M208="HP→OAK",MIN(J208,K208),0))</f>
        <v>0</v>
      </c>
      <c r="O208" s="5" t="n">
        <f aca="false">MAX(K208-IF(M208="HP→OAK",N208,0),0)</f>
        <v>0</v>
      </c>
      <c r="P208" s="5" t="n">
        <f aca="false">MAX(L208-IF(M208="OAK→HP",N208,0),0)</f>
        <v>0</v>
      </c>
      <c r="Q208" s="5" t="n">
        <f aca="false">IF(O208&gt;0,CEILING(O208,ITEM_MASTER_CLEAN!G208),0)</f>
        <v>0</v>
      </c>
      <c r="R208" s="5" t="n">
        <f aca="false">IF(P208&gt;0,CEILING(P208,ITEM_MASTER_CLEAN!G208),0)</f>
        <v>0</v>
      </c>
      <c r="S208" s="5" t="n">
        <f aca="false">IF(G208=0,0,(1-MIN(E208/MAX(G208,1),1))*50+(1-MIN(F208/MAX(H208,1),1))*50)</f>
        <v>0</v>
      </c>
    </row>
    <row r="209" customFormat="false" ht="15" hidden="false" customHeight="false" outlineLevel="0" collapsed="false">
      <c r="A209" s="5" t="n">
        <f aca="false">ITEM_MASTER_CLEAN!A209</f>
        <v>208</v>
      </c>
      <c r="B209" s="5" t="n">
        <f aca="false">ITEM_MASTER_CLEAN!B209</f>
        <v>44099</v>
      </c>
      <c r="C209" s="5" t="str">
        <f aca="false">ITEM_MASTER_CLEAN!C209</f>
        <v>CUTLERY KNIVE POL WH MED PYL PP* 1M</v>
      </c>
      <c r="D209" s="12" t="n">
        <f aca="false">ITEM_MASTER_CLEAN!F209</f>
        <v>26.37</v>
      </c>
      <c r="E209" s="5" t="n">
        <f aca="false">ITEM_MASTER_CLEAN!H209</f>
        <v>12</v>
      </c>
      <c r="F209" s="5" t="n">
        <f aca="false">ITEM_MASTER_CLEAN!I209</f>
        <v>4</v>
      </c>
      <c r="G209" s="5" t="n">
        <f aca="false">PAR_LEVELS!J209</f>
        <v>5.57142857142857</v>
      </c>
      <c r="H209" s="5" t="n">
        <f aca="false">PAR_LEVELS!K209</f>
        <v>1.85714285714286</v>
      </c>
      <c r="I209" s="5" t="n">
        <f aca="false">MAX(E209-G209,0)</f>
        <v>6.42857142857143</v>
      </c>
      <c r="J209" s="5" t="n">
        <f aca="false">MAX(F209-H209,0)</f>
        <v>2.14285714285714</v>
      </c>
      <c r="K209" s="5" t="n">
        <f aca="false">MAX(G209-E209,0)</f>
        <v>0</v>
      </c>
      <c r="L209" s="5" t="n">
        <f aca="false">MAX(H209-F209,0)</f>
        <v>0</v>
      </c>
      <c r="M209" s="5" t="str">
        <f aca="false">IF(AND(I209&gt;TransferMin,L209&gt;0),"OAK→HP",IF(AND(J209&gt;TransferMin,K209&gt;0),"HP→OAK","None"))</f>
        <v>None</v>
      </c>
      <c r="N209" s="5" t="n">
        <f aca="false">IF(M209="OAK→HP",MIN(I209,L209),IF(M209="HP→OAK",MIN(J209,K209),0))</f>
        <v>0</v>
      </c>
      <c r="O209" s="5" t="n">
        <f aca="false">MAX(K209-IF(M209="HP→OAK",N209,0),0)</f>
        <v>0</v>
      </c>
      <c r="P209" s="5" t="n">
        <f aca="false">MAX(L209-IF(M209="OAK→HP",N209,0),0)</f>
        <v>0</v>
      </c>
      <c r="Q209" s="5" t="n">
        <f aca="false">IF(O209&gt;0,CEILING(O209,ITEM_MASTER_CLEAN!G209),0)</f>
        <v>0</v>
      </c>
      <c r="R209" s="5" t="n">
        <f aca="false">IF(P209&gt;0,CEILING(P209,ITEM_MASTER_CLEAN!G209),0)</f>
        <v>0</v>
      </c>
      <c r="S209" s="5" t="n">
        <f aca="false">IF(G209=0,0,(1-MIN(E209/MAX(G209,1),1))*50+(1-MIN(F209/MAX(H209,1),1))*50)</f>
        <v>0</v>
      </c>
    </row>
    <row r="210" customFormat="false" ht="23.85" hidden="false" customHeight="false" outlineLevel="0" collapsed="false">
      <c r="A210" s="5" t="n">
        <f aca="false">ITEM_MASTER_CLEAN!A210</f>
        <v>209</v>
      </c>
      <c r="B210" s="5" t="n">
        <f aca="false">ITEM_MASTER_CLEAN!B210</f>
        <v>41623</v>
      </c>
      <c r="C210" s="5" t="str">
        <f aca="false">ITEM_MASTER_CLEAN!C210</f>
        <v>CUTLERY SPOON POL TEA WH PYL PP* 1M</v>
      </c>
      <c r="D210" s="12" t="n">
        <f aca="false">ITEM_MASTER_CLEAN!F210</f>
        <v>27.96</v>
      </c>
      <c r="E210" s="5" t="n">
        <f aca="false">ITEM_MASTER_CLEAN!H210</f>
        <v>3</v>
      </c>
      <c r="F210" s="5" t="n">
        <f aca="false">ITEM_MASTER_CLEAN!I210</f>
        <v>4</v>
      </c>
      <c r="G210" s="5" t="n">
        <f aca="false">PAR_LEVELS!J210</f>
        <v>3.71428571428571</v>
      </c>
      <c r="H210" s="5" t="n">
        <f aca="false">PAR_LEVELS!K210</f>
        <v>5.57142857142857</v>
      </c>
      <c r="I210" s="5" t="n">
        <f aca="false">MAX(E210-G210,0)</f>
        <v>0</v>
      </c>
      <c r="J210" s="5" t="n">
        <f aca="false">MAX(F210-H210,0)</f>
        <v>0</v>
      </c>
      <c r="K210" s="5" t="n">
        <f aca="false">MAX(G210-E210,0)</f>
        <v>0.714285714285714</v>
      </c>
      <c r="L210" s="5" t="n">
        <f aca="false">MAX(H210-F210,0)</f>
        <v>1.57142857142857</v>
      </c>
      <c r="M210" s="5" t="str">
        <f aca="false">IF(AND(I210&gt;TransferMin,L210&gt;0),"OAK→HP",IF(AND(J210&gt;TransferMin,K210&gt;0),"HP→OAK","None"))</f>
        <v>None</v>
      </c>
      <c r="N210" s="5" t="n">
        <f aca="false">IF(M210="OAK→HP",MIN(I210,L210),IF(M210="HP→OAK",MIN(J210,K210),0))</f>
        <v>0</v>
      </c>
      <c r="O210" s="5" t="n">
        <f aca="false">MAX(K210-IF(M210="HP→OAK",N210,0),0)</f>
        <v>0.714285714285714</v>
      </c>
      <c r="P210" s="5" t="n">
        <f aca="false">MAX(L210-IF(M210="OAK→HP",N210,0),0)</f>
        <v>1.57142857142857</v>
      </c>
      <c r="Q210" s="5" t="n">
        <f aca="false">IF(O210&gt;0,CEILING(O210,ITEM_MASTER_CLEAN!G210),0)</f>
        <v>1</v>
      </c>
      <c r="R210" s="5" t="n">
        <f aca="false">IF(P210&gt;0,CEILING(P210,ITEM_MASTER_CLEAN!G210),0)</f>
        <v>2</v>
      </c>
      <c r="S210" s="5" t="n">
        <f aca="false">IF(G210=0,0,(1-MIN(E210/MAX(G210,1),1))*50+(1-MIN(F210/MAX(H210,1),1))*50)</f>
        <v>23.7179487179487</v>
      </c>
    </row>
    <row r="211" customFormat="false" ht="15" hidden="false" customHeight="false" outlineLevel="0" collapsed="false">
      <c r="A211" s="5" t="n">
        <f aca="false">ITEM_MASTER_CLEAN!A211</f>
        <v>210</v>
      </c>
      <c r="B211" s="5" t="n">
        <f aca="false">ITEM_MASTER_CLEAN!B211</f>
        <v>66910</v>
      </c>
      <c r="C211" s="5" t="str">
        <f aca="false">ITEM_MASTER_CLEAN!C211</f>
        <v>CUTL SPOON WOOD TI80692 1M</v>
      </c>
      <c r="D211" s="12" t="n">
        <f aca="false">ITEM_MASTER_CLEAN!F211</f>
        <v>27.17</v>
      </c>
      <c r="E211" s="5" t="n">
        <f aca="false">ITEM_MASTER_CLEAN!H211</f>
        <v>0</v>
      </c>
      <c r="F211" s="5" t="n">
        <f aca="false">ITEM_MASTER_CLEAN!I211</f>
        <v>7</v>
      </c>
      <c r="G211" s="5" t="n">
        <f aca="false">PAR_LEVELS!J211</f>
        <v>3.71428571428571</v>
      </c>
      <c r="H211" s="5" t="n">
        <f aca="false">PAR_LEVELS!K211</f>
        <v>3.71428571428571</v>
      </c>
      <c r="I211" s="5" t="n">
        <f aca="false">MAX(E211-G211,0)</f>
        <v>0</v>
      </c>
      <c r="J211" s="5" t="n">
        <f aca="false">MAX(F211-H211,0)</f>
        <v>3.28571428571429</v>
      </c>
      <c r="K211" s="5" t="n">
        <f aca="false">MAX(G211-E211,0)</f>
        <v>3.71428571428571</v>
      </c>
      <c r="L211" s="5" t="n">
        <f aca="false">MAX(H211-F211,0)</f>
        <v>0</v>
      </c>
      <c r="M211" s="5" t="str">
        <f aca="false">IF(AND(I211&gt;TransferMin,L211&gt;0),"OAK→HP",IF(AND(J211&gt;TransferMin,K211&gt;0),"HP→OAK","None"))</f>
        <v>None</v>
      </c>
      <c r="N211" s="5" t="n">
        <f aca="false">IF(M211="OAK→HP",MIN(I211,L211),IF(M211="HP→OAK",MIN(J211,K211),0))</f>
        <v>0</v>
      </c>
      <c r="O211" s="5" t="n">
        <f aca="false">MAX(K211-IF(M211="HP→OAK",N211,0),0)</f>
        <v>3.71428571428571</v>
      </c>
      <c r="P211" s="5" t="n">
        <f aca="false">MAX(L211-IF(M211="OAK→HP",N211,0),0)</f>
        <v>0</v>
      </c>
      <c r="Q211" s="5" t="n">
        <f aca="false">IF(O211&gt;0,CEILING(O211,ITEM_MASTER_CLEAN!G211),0)</f>
        <v>10</v>
      </c>
      <c r="R211" s="5" t="n">
        <f aca="false">IF(P211&gt;0,CEILING(P211,ITEM_MASTER_CLEAN!G211),0)</f>
        <v>0</v>
      </c>
      <c r="S211" s="5" t="n">
        <f aca="false">IF(G211=0,0,(1-MIN(E211/MAX(G211,1),1))*50+(1-MIN(F211/MAX(H211,1),1))*50)</f>
        <v>50</v>
      </c>
    </row>
    <row r="212" customFormat="false" ht="15" hidden="false" customHeight="false" outlineLevel="0" collapsed="false">
      <c r="A212" s="5" t="n">
        <f aca="false">ITEM_MASTER_CLEAN!A212</f>
        <v>211</v>
      </c>
      <c r="B212" s="5" t="n">
        <f aca="false">ITEM_MASTER_CLEAN!B212</f>
        <v>43703</v>
      </c>
      <c r="C212" s="5" t="str">
        <f aca="false">ITEM_MASTER_CLEAN!C212</f>
        <v>CUTLERY FORK POL WH MED PYL PP* 1M</v>
      </c>
      <c r="D212" s="12" t="n">
        <f aca="false">ITEM_MASTER_CLEAN!F212</f>
        <v>5.57</v>
      </c>
      <c r="E212" s="5" t="n">
        <f aca="false">ITEM_MASTER_CLEAN!H212</f>
        <v>0</v>
      </c>
      <c r="F212" s="5" t="n">
        <f aca="false">ITEM_MASTER_CLEAN!I212</f>
        <v>7</v>
      </c>
      <c r="G212" s="5" t="n">
        <f aca="false">PAR_LEVELS!J212</f>
        <v>9.28571428571429</v>
      </c>
      <c r="H212" s="5" t="n">
        <f aca="false">PAR_LEVELS!K212</f>
        <v>3.71428571428571</v>
      </c>
      <c r="I212" s="5" t="n">
        <f aca="false">MAX(E212-G212,0)</f>
        <v>0</v>
      </c>
      <c r="J212" s="5" t="n">
        <f aca="false">MAX(F212-H212,0)</f>
        <v>3.28571428571429</v>
      </c>
      <c r="K212" s="5" t="n">
        <f aca="false">MAX(G212-E212,0)</f>
        <v>9.28571428571429</v>
      </c>
      <c r="L212" s="5" t="n">
        <f aca="false">MAX(H212-F212,0)</f>
        <v>0</v>
      </c>
      <c r="M212" s="5" t="str">
        <f aca="false">IF(AND(I212&gt;TransferMin,L212&gt;0),"OAK→HP",IF(AND(J212&gt;TransferMin,K212&gt;0),"HP→OAK","None"))</f>
        <v>None</v>
      </c>
      <c r="N212" s="5" t="n">
        <f aca="false">IF(M212="OAK→HP",MIN(I212,L212),IF(M212="HP→OAK",MIN(J212,K212),0))</f>
        <v>0</v>
      </c>
      <c r="O212" s="5" t="n">
        <f aca="false">MAX(K212-IF(M212="HP→OAK",N212,0),0)</f>
        <v>9.28571428571429</v>
      </c>
      <c r="P212" s="5" t="n">
        <f aca="false">MAX(L212-IF(M212="OAK→HP",N212,0),0)</f>
        <v>0</v>
      </c>
      <c r="Q212" s="5" t="n">
        <f aca="false">IF(O212&gt;0,CEILING(O212,ITEM_MASTER_CLEAN!G212),0)</f>
        <v>10</v>
      </c>
      <c r="R212" s="5" t="n">
        <f aca="false">IF(P212&gt;0,CEILING(P212,ITEM_MASTER_CLEAN!G212),0)</f>
        <v>0</v>
      </c>
      <c r="S212" s="5" t="n">
        <f aca="false">IF(G212=0,0,(1-MIN(E212/MAX(G212,1),1))*50+(1-MIN(F212/MAX(H212,1),1))*50)</f>
        <v>50</v>
      </c>
    </row>
    <row r="213" customFormat="false" ht="15" hidden="false" customHeight="false" outlineLevel="0" collapsed="false">
      <c r="A213" s="5" t="n">
        <f aca="false">ITEM_MASTER_CLEAN!A213</f>
        <v>212</v>
      </c>
      <c r="B213" s="5" t="n">
        <f aca="false">ITEM_MASTER_CLEAN!B213</f>
        <v>66909</v>
      </c>
      <c r="C213" s="5" t="str">
        <f aca="false">ITEM_MASTER_CLEAN!C213</f>
        <v>CUTL FORK WOOD TI80690 1M</v>
      </c>
      <c r="D213" s="12" t="n">
        <f aca="false">ITEM_MASTER_CLEAN!F213</f>
        <v>21.06</v>
      </c>
      <c r="E213" s="5" t="n">
        <f aca="false">ITEM_MASTER_CLEAN!H213</f>
        <v>9</v>
      </c>
      <c r="F213" s="5" t="n">
        <f aca="false">ITEM_MASTER_CLEAN!I213</f>
        <v>15</v>
      </c>
      <c r="G213" s="5" t="n">
        <f aca="false">PAR_LEVELS!J213</f>
        <v>3.71428571428571</v>
      </c>
      <c r="H213" s="5" t="n">
        <f aca="false">PAR_LEVELS!K213</f>
        <v>7.42857142857143</v>
      </c>
      <c r="I213" s="5" t="n">
        <f aca="false">MAX(E213-G213,0)</f>
        <v>5.28571428571429</v>
      </c>
      <c r="J213" s="5" t="n">
        <f aca="false">MAX(F213-H213,0)</f>
        <v>7.57142857142857</v>
      </c>
      <c r="K213" s="5" t="n">
        <f aca="false">MAX(G213-E213,0)</f>
        <v>0</v>
      </c>
      <c r="L213" s="5" t="n">
        <f aca="false">MAX(H213-F213,0)</f>
        <v>0</v>
      </c>
      <c r="M213" s="5" t="str">
        <f aca="false">IF(AND(I213&gt;TransferMin,L213&gt;0),"OAK→HP",IF(AND(J213&gt;TransferMin,K213&gt;0),"HP→OAK","None"))</f>
        <v>None</v>
      </c>
      <c r="N213" s="5" t="n">
        <f aca="false">IF(M213="OAK→HP",MIN(I213,L213),IF(M213="HP→OAK",MIN(J213,K213),0))</f>
        <v>0</v>
      </c>
      <c r="O213" s="5" t="n">
        <f aca="false">MAX(K213-IF(M213="HP→OAK",N213,0),0)</f>
        <v>0</v>
      </c>
      <c r="P213" s="5" t="n">
        <f aca="false">MAX(L213-IF(M213="OAK→HP",N213,0),0)</f>
        <v>0</v>
      </c>
      <c r="Q213" s="5" t="n">
        <f aca="false">IF(O213&gt;0,CEILING(O213,ITEM_MASTER_CLEAN!G213),0)</f>
        <v>0</v>
      </c>
      <c r="R213" s="5" t="n">
        <f aca="false">IF(P213&gt;0,CEILING(P213,ITEM_MASTER_CLEAN!G213),0)</f>
        <v>0</v>
      </c>
      <c r="S213" s="5" t="n">
        <f aca="false">IF(G213=0,0,(1-MIN(E213/MAX(G213,1),1))*50+(1-MIN(F213/MAX(H213,1),1))*50)</f>
        <v>0</v>
      </c>
    </row>
    <row r="214" customFormat="false" ht="15" hidden="false" customHeight="false" outlineLevel="0" collapsed="false">
      <c r="A214" s="5" t="n">
        <f aca="false">ITEM_MASTER_CLEAN!A214</f>
        <v>213</v>
      </c>
      <c r="B214" s="5" t="n">
        <f aca="false">ITEM_MASTER_CLEAN!B214</f>
        <v>12562</v>
      </c>
      <c r="C214" s="5" t="str">
        <f aca="false">ITEM_MASTER_CLEAN!C214</f>
        <v>SPOON WOOD TASTER WRP 1M</v>
      </c>
      <c r="D214" s="12" t="n">
        <f aca="false">ITEM_MASTER_CLEAN!F214</f>
        <v>12.9</v>
      </c>
      <c r="E214" s="5" t="n">
        <f aca="false">ITEM_MASTER_CLEAN!H214</f>
        <v>3</v>
      </c>
      <c r="F214" s="5" t="n">
        <f aca="false">ITEM_MASTER_CLEAN!I214</f>
        <v>1</v>
      </c>
      <c r="G214" s="5" t="n">
        <f aca="false">PAR_LEVELS!J214</f>
        <v>5.57142857142857</v>
      </c>
      <c r="H214" s="5" t="n">
        <f aca="false">PAR_LEVELS!K214</f>
        <v>1.85714285714286</v>
      </c>
      <c r="I214" s="5" t="n">
        <f aca="false">MAX(E214-G214,0)</f>
        <v>0</v>
      </c>
      <c r="J214" s="5" t="n">
        <f aca="false">MAX(F214-H214,0)</f>
        <v>0</v>
      </c>
      <c r="K214" s="5" t="n">
        <f aca="false">MAX(G214-E214,0)</f>
        <v>2.57142857142857</v>
      </c>
      <c r="L214" s="5" t="n">
        <f aca="false">MAX(H214-F214,0)</f>
        <v>0.857142857142857</v>
      </c>
      <c r="M214" s="5" t="str">
        <f aca="false">IF(AND(I214&gt;TransferMin,L214&gt;0),"OAK→HP",IF(AND(J214&gt;TransferMin,K214&gt;0),"HP→OAK","None"))</f>
        <v>None</v>
      </c>
      <c r="N214" s="5" t="n">
        <f aca="false">IF(M214="OAK→HP",MIN(I214,L214),IF(M214="HP→OAK",MIN(J214,K214),0))</f>
        <v>0</v>
      </c>
      <c r="O214" s="5" t="n">
        <f aca="false">MAX(K214-IF(M214="HP→OAK",N214,0),0)</f>
        <v>2.57142857142857</v>
      </c>
      <c r="P214" s="5" t="n">
        <f aca="false">MAX(L214-IF(M214="OAK→HP",N214,0),0)</f>
        <v>0.857142857142857</v>
      </c>
      <c r="Q214" s="5" t="n">
        <f aca="false">IF(O214&gt;0,CEILING(O214,ITEM_MASTER_CLEAN!G214),0)</f>
        <v>3</v>
      </c>
      <c r="R214" s="5" t="n">
        <f aca="false">IF(P214&gt;0,CEILING(P214,ITEM_MASTER_CLEAN!G214),0)</f>
        <v>1</v>
      </c>
      <c r="S214" s="5" t="n">
        <f aca="false">IF(G214=0,0,(1-MIN(E214/MAX(G214,1),1))*50+(1-MIN(F214/MAX(H214,1),1))*50)</f>
        <v>46.1538461538461</v>
      </c>
    </row>
    <row r="215" customFormat="false" ht="23.85" hidden="false" customHeight="false" outlineLevel="0" collapsed="false">
      <c r="A215" s="5" t="n">
        <f aca="false">ITEM_MASTER_CLEAN!A215</f>
        <v>214</v>
      </c>
      <c r="B215" s="5" t="n">
        <f aca="false">ITEM_MASTER_CLEAN!B215</f>
        <v>66915</v>
      </c>
      <c r="C215" s="5" t="str">
        <f aca="false">ITEM_MASTER_CLEAN!C215</f>
        <v>MTY CUTLERY SPOON SODA 7.2" WOOD 1M</v>
      </c>
      <c r="D215" s="12" t="n">
        <f aca="false">ITEM_MASTER_CLEAN!F215</f>
        <v>33.04</v>
      </c>
      <c r="E215" s="5" t="n">
        <f aca="false">ITEM_MASTER_CLEAN!H215</f>
        <v>2</v>
      </c>
      <c r="F215" s="5" t="n">
        <f aca="false">ITEM_MASTER_CLEAN!I215</f>
        <v>6</v>
      </c>
      <c r="G215" s="5" t="n">
        <f aca="false">PAR_LEVELS!J215</f>
        <v>3.71428571428571</v>
      </c>
      <c r="H215" s="5" t="n">
        <f aca="false">PAR_LEVELS!K215</f>
        <v>7.42857142857143</v>
      </c>
      <c r="I215" s="5" t="n">
        <f aca="false">MAX(E215-G215,0)</f>
        <v>0</v>
      </c>
      <c r="J215" s="5" t="n">
        <f aca="false">MAX(F215-H215,0)</f>
        <v>0</v>
      </c>
      <c r="K215" s="5" t="n">
        <f aca="false">MAX(G215-E215,0)</f>
        <v>1.71428571428571</v>
      </c>
      <c r="L215" s="5" t="n">
        <f aca="false">MAX(H215-F215,0)</f>
        <v>1.42857142857143</v>
      </c>
      <c r="M215" s="5" t="str">
        <f aca="false">IF(AND(I215&gt;TransferMin,L215&gt;0),"OAK→HP",IF(AND(J215&gt;TransferMin,K215&gt;0),"HP→OAK","None"))</f>
        <v>None</v>
      </c>
      <c r="N215" s="5" t="n">
        <f aca="false">IF(M215="OAK→HP",MIN(I215,L215),IF(M215="HP→OAK",MIN(J215,K215),0))</f>
        <v>0</v>
      </c>
      <c r="O215" s="5" t="n">
        <f aca="false">MAX(K215-IF(M215="HP→OAK",N215,0),0)</f>
        <v>1.71428571428571</v>
      </c>
      <c r="P215" s="5" t="n">
        <f aca="false">MAX(L215-IF(M215="OAK→HP",N215,0),0)</f>
        <v>1.42857142857143</v>
      </c>
      <c r="Q215" s="5" t="n">
        <f aca="false">IF(O215&gt;0,CEILING(O215,ITEM_MASTER_CLEAN!G215),0)</f>
        <v>2</v>
      </c>
      <c r="R215" s="5" t="n">
        <f aca="false">IF(P215&gt;0,CEILING(P215,ITEM_MASTER_CLEAN!G215),0)</f>
        <v>2</v>
      </c>
      <c r="S215" s="5" t="n">
        <f aca="false">IF(G215=0,0,(1-MIN(E215/MAX(G215,1),1))*50+(1-MIN(F215/MAX(H215,1),1))*50)</f>
        <v>32.6923076923077</v>
      </c>
    </row>
    <row r="216" customFormat="false" ht="15" hidden="false" customHeight="false" outlineLevel="0" collapsed="false">
      <c r="A216" s="5" t="n">
        <f aca="false">ITEM_MASTER_CLEAN!A216</f>
        <v>215</v>
      </c>
      <c r="B216" s="5" t="n">
        <f aca="false">ITEM_MASTER_CLEAN!B216</f>
        <v>33725</v>
      </c>
      <c r="C216" s="5" t="str">
        <f aca="false">ITEM_MASTER_CLEAN!C216</f>
        <v>TRAY 4CUP CARRIER 8-32OZ  300</v>
      </c>
      <c r="D216" s="12" t="n">
        <f aca="false">ITEM_MASTER_CLEAN!F216</f>
        <v>30.73</v>
      </c>
      <c r="E216" s="5" t="n">
        <f aca="false">ITEM_MASTER_CLEAN!H216</f>
        <v>5</v>
      </c>
      <c r="F216" s="5" t="n">
        <f aca="false">ITEM_MASTER_CLEAN!I216</f>
        <v>1</v>
      </c>
      <c r="G216" s="5" t="n">
        <f aca="false">PAR_LEVELS!J216</f>
        <v>5.57142857142857</v>
      </c>
      <c r="H216" s="5" t="n">
        <f aca="false">PAR_LEVELS!K216</f>
        <v>1.85714285714286</v>
      </c>
      <c r="I216" s="5" t="n">
        <f aca="false">MAX(E216-G216,0)</f>
        <v>0</v>
      </c>
      <c r="J216" s="5" t="n">
        <f aca="false">MAX(F216-H216,0)</f>
        <v>0</v>
      </c>
      <c r="K216" s="5" t="n">
        <f aca="false">MAX(G216-E216,0)</f>
        <v>0.571428571428571</v>
      </c>
      <c r="L216" s="5" t="n">
        <f aca="false">MAX(H216-F216,0)</f>
        <v>0.857142857142857</v>
      </c>
      <c r="M216" s="5" t="str">
        <f aca="false">IF(AND(I216&gt;TransferMin,L216&gt;0),"OAK→HP",IF(AND(J216&gt;TransferMin,K216&gt;0),"HP→OAK","None"))</f>
        <v>None</v>
      </c>
      <c r="N216" s="5" t="n">
        <f aca="false">IF(M216="OAK→HP",MIN(I216,L216),IF(M216="HP→OAK",MIN(J216,K216),0))</f>
        <v>0</v>
      </c>
      <c r="O216" s="5" t="n">
        <f aca="false">MAX(K216-IF(M216="HP→OAK",N216,0),0)</f>
        <v>0.571428571428571</v>
      </c>
      <c r="P216" s="5" t="n">
        <f aca="false">MAX(L216-IF(M216="OAK→HP",N216,0),0)</f>
        <v>0.857142857142857</v>
      </c>
      <c r="Q216" s="5" t="n">
        <f aca="false">IF(O216&gt;0,CEILING(O216,ITEM_MASTER_CLEAN!G216),0)</f>
        <v>1</v>
      </c>
      <c r="R216" s="5" t="n">
        <f aca="false">IF(P216&gt;0,CEILING(P216,ITEM_MASTER_CLEAN!G216),0)</f>
        <v>1</v>
      </c>
      <c r="S216" s="5" t="n">
        <f aca="false">IF(G216=0,0,(1-MIN(E216/MAX(G216,1),1))*50+(1-MIN(F216/MAX(H216,1),1))*50)</f>
        <v>28.2051282051282</v>
      </c>
    </row>
    <row r="217" customFormat="false" ht="15" hidden="false" customHeight="false" outlineLevel="0" collapsed="false">
      <c r="A217" s="5" t="n">
        <f aca="false">ITEM_MASTER_CLEAN!A217</f>
        <v>216</v>
      </c>
      <c r="B217" s="5" t="n">
        <f aca="false">ITEM_MASTER_CLEAN!B217</f>
        <v>47498</v>
      </c>
      <c r="C217" s="5" t="str">
        <f aca="false">ITEM_MASTER_CLEAN!C217</f>
        <v>ROLL CASH THERMAL 3 1/8 X 210'   50</v>
      </c>
      <c r="D217" s="12" t="n">
        <f aca="false">ITEM_MASTER_CLEAN!F217</f>
        <v>29.06</v>
      </c>
      <c r="E217" s="5" t="n">
        <f aca="false">ITEM_MASTER_CLEAN!H217</f>
        <v>11</v>
      </c>
      <c r="F217" s="5" t="n">
        <f aca="false">ITEM_MASTER_CLEAN!I217</f>
        <v>0</v>
      </c>
      <c r="G217" s="5" t="n">
        <f aca="false">PAR_LEVELS!J217</f>
        <v>7.42857142857143</v>
      </c>
      <c r="H217" s="5" t="n">
        <f aca="false">PAR_LEVELS!K217</f>
        <v>3.71428571428571</v>
      </c>
      <c r="I217" s="5" t="n">
        <f aca="false">MAX(E217-G217,0)</f>
        <v>3.57142857142857</v>
      </c>
      <c r="J217" s="5" t="n">
        <f aca="false">MAX(F217-H217,0)</f>
        <v>0</v>
      </c>
      <c r="K217" s="5" t="n">
        <f aca="false">MAX(G217-E217,0)</f>
        <v>0</v>
      </c>
      <c r="L217" s="5" t="n">
        <f aca="false">MAX(H217-F217,0)</f>
        <v>3.71428571428571</v>
      </c>
      <c r="M217" s="5" t="str">
        <f aca="false">IF(AND(I217&gt;TransferMin,L217&gt;0),"OAK→HP",IF(AND(J217&gt;TransferMin,K217&gt;0),"HP→OAK","None"))</f>
        <v>None</v>
      </c>
      <c r="N217" s="5" t="n">
        <f aca="false">IF(M217="OAK→HP",MIN(I217,L217),IF(M217="HP→OAK",MIN(J217,K217),0))</f>
        <v>0</v>
      </c>
      <c r="O217" s="5" t="n">
        <f aca="false">MAX(K217-IF(M217="HP→OAK",N217,0),0)</f>
        <v>0</v>
      </c>
      <c r="P217" s="5" t="n">
        <f aca="false">MAX(L217-IF(M217="OAK→HP",N217,0),0)</f>
        <v>3.71428571428571</v>
      </c>
      <c r="Q217" s="5" t="n">
        <f aca="false">IF(O217&gt;0,CEILING(O217,ITEM_MASTER_CLEAN!G217),0)</f>
        <v>0</v>
      </c>
      <c r="R217" s="5" t="n">
        <f aca="false">IF(P217&gt;0,CEILING(P217,ITEM_MASTER_CLEAN!G217),0)</f>
        <v>50</v>
      </c>
      <c r="S217" s="5" t="n">
        <f aca="false">IF(G217=0,0,(1-MIN(E217/MAX(G217,1),1))*50+(1-MIN(F217/MAX(H217,1),1))*50)</f>
        <v>50</v>
      </c>
    </row>
    <row r="218" customFormat="false" ht="15" hidden="false" customHeight="false" outlineLevel="0" collapsed="false">
      <c r="A218" s="5" t="n">
        <f aca="false">ITEM_MASTER_CLEAN!A218</f>
        <v>217</v>
      </c>
      <c r="B218" s="5" t="n">
        <f aca="false">ITEM_MASTER_CLEAN!B218</f>
        <v>12609</v>
      </c>
      <c r="C218" s="5" t="str">
        <f aca="false">ITEM_MASTER_CLEAN!C218</f>
        <v>BAGS GROCERY BROWN  8LB 500</v>
      </c>
      <c r="D218" s="12" t="n">
        <f aca="false">ITEM_MASTER_CLEAN!F218</f>
        <v>9.86</v>
      </c>
      <c r="E218" s="5" t="n">
        <f aca="false">ITEM_MASTER_CLEAN!H218</f>
        <v>0</v>
      </c>
      <c r="F218" s="5" t="n">
        <f aca="false">ITEM_MASTER_CLEAN!I218</f>
        <v>0</v>
      </c>
      <c r="G218" s="5" t="n">
        <f aca="false">PAR_LEVELS!J218</f>
        <v>11.1428571428571</v>
      </c>
      <c r="H218" s="5" t="n">
        <f aca="false">PAR_LEVELS!K218</f>
        <v>5.57142857142857</v>
      </c>
      <c r="I218" s="5" t="n">
        <f aca="false">MAX(E218-G218,0)</f>
        <v>0</v>
      </c>
      <c r="J218" s="5" t="n">
        <f aca="false">MAX(F218-H218,0)</f>
        <v>0</v>
      </c>
      <c r="K218" s="5" t="n">
        <f aca="false">MAX(G218-E218,0)</f>
        <v>11.1428571428571</v>
      </c>
      <c r="L218" s="5" t="n">
        <f aca="false">MAX(H218-F218,0)</f>
        <v>5.57142857142857</v>
      </c>
      <c r="M218" s="5" t="str">
        <f aca="false">IF(AND(I218&gt;TransferMin,L218&gt;0),"OAK→HP",IF(AND(J218&gt;TransferMin,K218&gt;0),"HP→OAK","None"))</f>
        <v>None</v>
      </c>
      <c r="N218" s="5" t="n">
        <f aca="false">IF(M218="OAK→HP",MIN(I218,L218),IF(M218="HP→OAK",MIN(J218,K218),0))</f>
        <v>0</v>
      </c>
      <c r="O218" s="5" t="n">
        <f aca="false">MAX(K218-IF(M218="HP→OAK",N218,0),0)</f>
        <v>11.1428571428571</v>
      </c>
      <c r="P218" s="5" t="n">
        <f aca="false">MAX(L218-IF(M218="OAK→HP",N218,0),0)</f>
        <v>5.57142857142857</v>
      </c>
      <c r="Q218" s="5" t="n">
        <f aca="false">IF(O218&gt;0,CEILING(O218,ITEM_MASTER_CLEAN!G218),0)</f>
        <v>12</v>
      </c>
      <c r="R218" s="5" t="n">
        <f aca="false">IF(P218&gt;0,CEILING(P218,ITEM_MASTER_CLEAN!G218),0)</f>
        <v>6</v>
      </c>
      <c r="S218" s="5" t="n">
        <f aca="false">IF(G218=0,0,(1-MIN(E218/MAX(G218,1),1))*50+(1-MIN(F218/MAX(H218,1),1))*50)</f>
        <v>100</v>
      </c>
    </row>
    <row r="219" customFormat="false" ht="15" hidden="false" customHeight="false" outlineLevel="0" collapsed="false">
      <c r="A219" s="5" t="n">
        <f aca="false">ITEM_MASTER_CLEAN!A219</f>
        <v>218</v>
      </c>
      <c r="B219" s="5" t="n">
        <f aca="false">ITEM_MASTER_CLEAN!B219</f>
        <v>12617</v>
      </c>
      <c r="C219" s="5" t="str">
        <f aca="false">ITEM_MASTER_CLEAN!C219</f>
        <v>BAGS GROCERY BROWN 10LB 500</v>
      </c>
      <c r="D219" s="12" t="n">
        <f aca="false">ITEM_MASTER_CLEAN!F219</f>
        <v>12.28</v>
      </c>
      <c r="E219" s="5" t="n">
        <f aca="false">ITEM_MASTER_CLEAN!H219</f>
        <v>0</v>
      </c>
      <c r="F219" s="5" t="n">
        <f aca="false">ITEM_MASTER_CLEAN!I219</f>
        <v>0</v>
      </c>
      <c r="G219" s="5" t="n">
        <f aca="false">PAR_LEVELS!J219</f>
        <v>5.57142857142857</v>
      </c>
      <c r="H219" s="5" t="n">
        <f aca="false">PAR_LEVELS!K219</f>
        <v>1.85714285714286</v>
      </c>
      <c r="I219" s="5" t="n">
        <f aca="false">MAX(E219-G219,0)</f>
        <v>0</v>
      </c>
      <c r="J219" s="5" t="n">
        <f aca="false">MAX(F219-H219,0)</f>
        <v>0</v>
      </c>
      <c r="K219" s="5" t="n">
        <f aca="false">MAX(G219-E219,0)</f>
        <v>5.57142857142857</v>
      </c>
      <c r="L219" s="5" t="n">
        <f aca="false">MAX(H219-F219,0)</f>
        <v>1.85714285714286</v>
      </c>
      <c r="M219" s="5" t="str">
        <f aca="false">IF(AND(I219&gt;TransferMin,L219&gt;0),"OAK→HP",IF(AND(J219&gt;TransferMin,K219&gt;0),"HP→OAK","None"))</f>
        <v>None</v>
      </c>
      <c r="N219" s="5" t="n">
        <f aca="false">IF(M219="OAK→HP",MIN(I219,L219),IF(M219="HP→OAK",MIN(J219,K219),0))</f>
        <v>0</v>
      </c>
      <c r="O219" s="5" t="n">
        <f aca="false">MAX(K219-IF(M219="HP→OAK",N219,0),0)</f>
        <v>5.57142857142857</v>
      </c>
      <c r="P219" s="5" t="n">
        <f aca="false">MAX(L219-IF(M219="OAK→HP",N219,0),0)</f>
        <v>1.85714285714286</v>
      </c>
      <c r="Q219" s="5" t="n">
        <f aca="false">IF(O219&gt;0,CEILING(O219,ITEM_MASTER_CLEAN!G219),0)</f>
        <v>6</v>
      </c>
      <c r="R219" s="5" t="n">
        <f aca="false">IF(P219&gt;0,CEILING(P219,ITEM_MASTER_CLEAN!G219),0)</f>
        <v>2</v>
      </c>
      <c r="S219" s="5" t="n">
        <f aca="false">IF(G219=0,0,(1-MIN(E219/MAX(G219,1),1))*50+(1-MIN(F219/MAX(H219,1),1))*50)</f>
        <v>100</v>
      </c>
    </row>
    <row r="220" customFormat="false" ht="15" hidden="false" customHeight="false" outlineLevel="0" collapsed="false">
      <c r="A220" s="5" t="n">
        <f aca="false">ITEM_MASTER_CLEAN!A220</f>
        <v>219</v>
      </c>
      <c r="B220" s="5" t="n">
        <f aca="false">ITEM_MASTER_CLEAN!B220</f>
        <v>12633</v>
      </c>
      <c r="C220" s="5" t="str">
        <f aca="false">ITEM_MASTER_CLEAN!C220</f>
        <v>BAGS GROCERY BROWN 14LB 500</v>
      </c>
      <c r="D220" s="12" t="n">
        <f aca="false">ITEM_MASTER_CLEAN!F220</f>
        <v>11.84</v>
      </c>
      <c r="E220" s="5" t="n">
        <f aca="false">ITEM_MASTER_CLEAN!H220</f>
        <v>14</v>
      </c>
      <c r="F220" s="5" t="n">
        <f aca="false">ITEM_MASTER_CLEAN!I220</f>
        <v>1</v>
      </c>
      <c r="G220" s="5" t="n">
        <f aca="false">PAR_LEVELS!J220</f>
        <v>7.42857142857143</v>
      </c>
      <c r="H220" s="5" t="n">
        <f aca="false">PAR_LEVELS!K220</f>
        <v>5.57142857142857</v>
      </c>
      <c r="I220" s="5" t="n">
        <f aca="false">MAX(E220-G220,0)</f>
        <v>6.57142857142857</v>
      </c>
      <c r="J220" s="5" t="n">
        <f aca="false">MAX(F220-H220,0)</f>
        <v>0</v>
      </c>
      <c r="K220" s="5" t="n">
        <f aca="false">MAX(G220-E220,0)</f>
        <v>0</v>
      </c>
      <c r="L220" s="5" t="n">
        <f aca="false">MAX(H220-F220,0)</f>
        <v>4.57142857142857</v>
      </c>
      <c r="M220" s="5" t="str">
        <f aca="false">IF(AND(I220&gt;TransferMin,L220&gt;0),"OAK→HP",IF(AND(J220&gt;TransferMin,K220&gt;0),"HP→OAK","None"))</f>
        <v>OAK→HP</v>
      </c>
      <c r="N220" s="5" t="n">
        <f aca="false">IF(M220="OAK→HP",MIN(I220,L220),IF(M220="HP→OAK",MIN(J220,K220),0))</f>
        <v>4.57142857142857</v>
      </c>
      <c r="O220" s="5" t="n">
        <f aca="false">MAX(K220-IF(M220="HP→OAK",N220,0),0)</f>
        <v>0</v>
      </c>
      <c r="P220" s="5" t="n">
        <f aca="false">MAX(L220-IF(M220="OAK→HP",N220,0),0)</f>
        <v>0</v>
      </c>
      <c r="Q220" s="5" t="n">
        <f aca="false">IF(O220&gt;0,CEILING(O220,ITEM_MASTER_CLEAN!G220),0)</f>
        <v>0</v>
      </c>
      <c r="R220" s="5" t="n">
        <f aca="false">IF(P220&gt;0,CEILING(P220,ITEM_MASTER_CLEAN!G220),0)</f>
        <v>0</v>
      </c>
      <c r="S220" s="5" t="n">
        <f aca="false">IF(G220=0,0,(1-MIN(E220/MAX(G220,1),1))*50+(1-MIN(F220/MAX(H220,1),1))*50)</f>
        <v>41.025641025641</v>
      </c>
    </row>
    <row r="221" customFormat="false" ht="15" hidden="false" customHeight="false" outlineLevel="0" collapsed="false">
      <c r="A221" s="5" t="n">
        <f aca="false">ITEM_MASTER_CLEAN!A221</f>
        <v>220</v>
      </c>
      <c r="B221" s="5" t="n">
        <f aca="false">ITEM_MASTER_CLEAN!B221</f>
        <v>12585</v>
      </c>
      <c r="C221" s="5" t="str">
        <f aca="false">ITEM_MASTER_CLEAN!C221</f>
        <v>BAGS GROCERY  30LB  DD50  500UN</v>
      </c>
      <c r="D221" s="12" t="n">
        <f aca="false">ITEM_MASTER_CLEAN!F221</f>
        <v>9.18</v>
      </c>
      <c r="E221" s="5" t="n">
        <f aca="false">ITEM_MASTER_CLEAN!H221</f>
        <v>1</v>
      </c>
      <c r="F221" s="5" t="n">
        <f aca="false">ITEM_MASTER_CLEAN!I221</f>
        <v>1</v>
      </c>
      <c r="G221" s="5" t="n">
        <f aca="false">PAR_LEVELS!J221</f>
        <v>5.57142857142857</v>
      </c>
      <c r="H221" s="5" t="n">
        <f aca="false">PAR_LEVELS!K221</f>
        <v>3.71428571428571</v>
      </c>
      <c r="I221" s="5" t="n">
        <f aca="false">MAX(E221-G221,0)</f>
        <v>0</v>
      </c>
      <c r="J221" s="5" t="n">
        <f aca="false">MAX(F221-H221,0)</f>
        <v>0</v>
      </c>
      <c r="K221" s="5" t="n">
        <f aca="false">MAX(G221-E221,0)</f>
        <v>4.57142857142857</v>
      </c>
      <c r="L221" s="5" t="n">
        <f aca="false">MAX(H221-F221,0)</f>
        <v>2.71428571428571</v>
      </c>
      <c r="M221" s="5" t="str">
        <f aca="false">IF(AND(I221&gt;TransferMin,L221&gt;0),"OAK→HP",IF(AND(J221&gt;TransferMin,K221&gt;0),"HP→OAK","None"))</f>
        <v>None</v>
      </c>
      <c r="N221" s="5" t="n">
        <f aca="false">IF(M221="OAK→HP",MIN(I221,L221),IF(M221="HP→OAK",MIN(J221,K221),0))</f>
        <v>0</v>
      </c>
      <c r="O221" s="5" t="n">
        <f aca="false">MAX(K221-IF(M221="HP→OAK",N221,0),0)</f>
        <v>4.57142857142857</v>
      </c>
      <c r="P221" s="5" t="n">
        <f aca="false">MAX(L221-IF(M221="OAK→HP",N221,0),0)</f>
        <v>2.71428571428571</v>
      </c>
      <c r="Q221" s="5" t="n">
        <f aca="false">IF(O221&gt;0,CEILING(O221,ITEM_MASTER_CLEAN!G221),0)</f>
        <v>5</v>
      </c>
      <c r="R221" s="5" t="n">
        <f aca="false">IF(P221&gt;0,CEILING(P221,ITEM_MASTER_CLEAN!G221),0)</f>
        <v>3</v>
      </c>
      <c r="S221" s="5" t="n">
        <f aca="false">IF(G221=0,0,(1-MIN(E221/MAX(G221,1),1))*50+(1-MIN(F221/MAX(H221,1),1))*50)</f>
        <v>77.5641025641026</v>
      </c>
    </row>
    <row r="222" customFormat="false" ht="15" hidden="false" customHeight="false" outlineLevel="0" collapsed="false">
      <c r="A222" s="5" t="n">
        <f aca="false">ITEM_MASTER_CLEAN!A222</f>
        <v>221</v>
      </c>
      <c r="B222" s="5" t="n">
        <f aca="false">ITEM_MASTER_CLEAN!B222</f>
        <v>22573</v>
      </c>
      <c r="C222" s="5" t="str">
        <f aca="false">ITEM_MASTER_CLEAN!C222</f>
        <v>BAG KFT W/HANDLE 14X10X16  200</v>
      </c>
      <c r="D222" s="12" t="n">
        <f aca="false">ITEM_MASTER_CLEAN!F222</f>
        <v>7.64</v>
      </c>
      <c r="E222" s="5" t="n">
        <f aca="false">ITEM_MASTER_CLEAN!H222</f>
        <v>10</v>
      </c>
      <c r="F222" s="5" t="n">
        <f aca="false">ITEM_MASTER_CLEAN!I222</f>
        <v>1</v>
      </c>
      <c r="G222" s="5" t="n">
        <f aca="false">PAR_LEVELS!J222</f>
        <v>5.57142857142857</v>
      </c>
      <c r="H222" s="5" t="n">
        <f aca="false">PAR_LEVELS!K222</f>
        <v>5.57142857142857</v>
      </c>
      <c r="I222" s="5" t="n">
        <f aca="false">MAX(E222-G222,0)</f>
        <v>4.42857142857143</v>
      </c>
      <c r="J222" s="5" t="n">
        <f aca="false">MAX(F222-H222,0)</f>
        <v>0</v>
      </c>
      <c r="K222" s="5" t="n">
        <f aca="false">MAX(G222-E222,0)</f>
        <v>0</v>
      </c>
      <c r="L222" s="5" t="n">
        <f aca="false">MAX(H222-F222,0)</f>
        <v>4.57142857142857</v>
      </c>
      <c r="M222" s="5" t="str">
        <f aca="false">IF(AND(I222&gt;TransferMin,L222&gt;0),"OAK→HP",IF(AND(J222&gt;TransferMin,K222&gt;0),"HP→OAK","None"))</f>
        <v>None</v>
      </c>
      <c r="N222" s="5" t="n">
        <f aca="false">IF(M222="OAK→HP",MIN(I222,L222),IF(M222="HP→OAK",MIN(J222,K222),0))</f>
        <v>0</v>
      </c>
      <c r="O222" s="5" t="n">
        <f aca="false">MAX(K222-IF(M222="HP→OAK",N222,0),0)</f>
        <v>0</v>
      </c>
      <c r="P222" s="5" t="n">
        <f aca="false">MAX(L222-IF(M222="OAK→HP",N222,0),0)</f>
        <v>4.57142857142857</v>
      </c>
      <c r="Q222" s="5" t="n">
        <f aca="false">IF(O222&gt;0,CEILING(O222,ITEM_MASTER_CLEAN!G222),0)</f>
        <v>0</v>
      </c>
      <c r="R222" s="5" t="n">
        <f aca="false">IF(P222&gt;0,CEILING(P222,ITEM_MASTER_CLEAN!G222),0)</f>
        <v>5</v>
      </c>
      <c r="S222" s="5" t="n">
        <f aca="false">IF(G222=0,0,(1-MIN(E222/MAX(G222,1),1))*50+(1-MIN(F222/MAX(H222,1),1))*50)</f>
        <v>41.025641025641</v>
      </c>
    </row>
    <row r="223" customFormat="false" ht="15" hidden="false" customHeight="false" outlineLevel="0" collapsed="false">
      <c r="A223" s="5" t="n">
        <f aca="false">ITEM_MASTER_CLEAN!A223</f>
        <v>222</v>
      </c>
      <c r="B223" s="5" t="n">
        <f aca="false">ITEM_MASTER_CLEAN!B223</f>
        <v>28466</v>
      </c>
      <c r="C223" s="5" t="str">
        <f aca="false">ITEM_MASTER_CLEAN!C223</f>
        <v>NAPKIN COCTAIL 4M</v>
      </c>
      <c r="D223" s="12" t="n">
        <f aca="false">ITEM_MASTER_CLEAN!F223</f>
        <v>13.49</v>
      </c>
      <c r="E223" s="5" t="n">
        <f aca="false">ITEM_MASTER_CLEAN!H223</f>
        <v>0</v>
      </c>
      <c r="F223" s="5" t="n">
        <f aca="false">ITEM_MASTER_CLEAN!I223</f>
        <v>1</v>
      </c>
      <c r="G223" s="5" t="n">
        <f aca="false">PAR_LEVELS!J223</f>
        <v>7.42857142857143</v>
      </c>
      <c r="H223" s="5" t="n">
        <f aca="false">PAR_LEVELS!K223</f>
        <v>3.71428571428571</v>
      </c>
      <c r="I223" s="5" t="n">
        <f aca="false">MAX(E223-G223,0)</f>
        <v>0</v>
      </c>
      <c r="J223" s="5" t="n">
        <f aca="false">MAX(F223-H223,0)</f>
        <v>0</v>
      </c>
      <c r="K223" s="5" t="n">
        <f aca="false">MAX(G223-E223,0)</f>
        <v>7.42857142857143</v>
      </c>
      <c r="L223" s="5" t="n">
        <f aca="false">MAX(H223-F223,0)</f>
        <v>2.71428571428571</v>
      </c>
      <c r="M223" s="5" t="str">
        <f aca="false">IF(AND(I223&gt;TransferMin,L223&gt;0),"OAK→HP",IF(AND(J223&gt;TransferMin,K223&gt;0),"HP→OAK","None"))</f>
        <v>None</v>
      </c>
      <c r="N223" s="5" t="n">
        <f aca="false">IF(M223="OAK→HP",MIN(I223,L223),IF(M223="HP→OAK",MIN(J223,K223),0))</f>
        <v>0</v>
      </c>
      <c r="O223" s="5" t="n">
        <f aca="false">MAX(K223-IF(M223="HP→OAK",N223,0),0)</f>
        <v>7.42857142857143</v>
      </c>
      <c r="P223" s="5" t="n">
        <f aca="false">MAX(L223-IF(M223="OAK→HP",N223,0),0)</f>
        <v>2.71428571428571</v>
      </c>
      <c r="Q223" s="5" t="n">
        <f aca="false">IF(O223&gt;0,CEILING(O223,ITEM_MASTER_CLEAN!G223),0)</f>
        <v>8</v>
      </c>
      <c r="R223" s="5" t="n">
        <f aca="false">IF(P223&gt;0,CEILING(P223,ITEM_MASTER_CLEAN!G223),0)</f>
        <v>3</v>
      </c>
      <c r="S223" s="5" t="n">
        <f aca="false">IF(G223=0,0,(1-MIN(E223/MAX(G223,1),1))*50+(1-MIN(F223/MAX(H223,1),1))*50)</f>
        <v>86.5384615384615</v>
      </c>
    </row>
    <row r="224" customFormat="false" ht="15" hidden="false" customHeight="false" outlineLevel="0" collapsed="false">
      <c r="A224" s="5" t="n">
        <f aca="false">ITEM_MASTER_CLEAN!A224</f>
        <v>223</v>
      </c>
      <c r="B224" s="5" t="n">
        <f aca="false">ITEM_MASTER_CLEAN!B224</f>
        <v>31649</v>
      </c>
      <c r="C224" s="5" t="str">
        <f aca="false">ITEM_MASTER_CLEAN!C224</f>
        <v>NAPKIN MEALMATES 1PL KRAFT 12X300</v>
      </c>
      <c r="D224" s="12" t="n">
        <f aca="false">ITEM_MASTER_CLEAN!F224</f>
        <v>9.12</v>
      </c>
      <c r="E224" s="5" t="n">
        <f aca="false">ITEM_MASTER_CLEAN!H224</f>
        <v>1</v>
      </c>
      <c r="F224" s="5" t="n">
        <f aca="false">ITEM_MASTER_CLEAN!I224</f>
        <v>5</v>
      </c>
      <c r="G224" s="5" t="n">
        <f aca="false">PAR_LEVELS!J224</f>
        <v>9.28571428571429</v>
      </c>
      <c r="H224" s="5" t="n">
        <f aca="false">PAR_LEVELS!K224</f>
        <v>3.71428571428571</v>
      </c>
      <c r="I224" s="5" t="n">
        <f aca="false">MAX(E224-G224,0)</f>
        <v>0</v>
      </c>
      <c r="J224" s="5" t="n">
        <f aca="false">MAX(F224-H224,0)</f>
        <v>1.28571428571429</v>
      </c>
      <c r="K224" s="5" t="n">
        <f aca="false">MAX(G224-E224,0)</f>
        <v>8.28571428571429</v>
      </c>
      <c r="L224" s="5" t="n">
        <f aca="false">MAX(H224-F224,0)</f>
        <v>0</v>
      </c>
      <c r="M224" s="5" t="str">
        <f aca="false">IF(AND(I224&gt;TransferMin,L224&gt;0),"OAK→HP",IF(AND(J224&gt;TransferMin,K224&gt;0),"HP→OAK","None"))</f>
        <v>None</v>
      </c>
      <c r="N224" s="5" t="n">
        <f aca="false">IF(M224="OAK→HP",MIN(I224,L224),IF(M224="HP→OAK",MIN(J224,K224),0))</f>
        <v>0</v>
      </c>
      <c r="O224" s="5" t="n">
        <f aca="false">MAX(K224-IF(M224="HP→OAK",N224,0),0)</f>
        <v>8.28571428571429</v>
      </c>
      <c r="P224" s="5" t="n">
        <f aca="false">MAX(L224-IF(M224="OAK→HP",N224,0),0)</f>
        <v>0</v>
      </c>
      <c r="Q224" s="5" t="n">
        <f aca="false">IF(O224&gt;0,CEILING(O224,ITEM_MASTER_CLEAN!G224),0)</f>
        <v>12</v>
      </c>
      <c r="R224" s="5" t="n">
        <f aca="false">IF(P224&gt;0,CEILING(P224,ITEM_MASTER_CLEAN!G224),0)</f>
        <v>0</v>
      </c>
      <c r="S224" s="5" t="n">
        <f aca="false">IF(G224=0,0,(1-MIN(E224/MAX(G224,1),1))*50+(1-MIN(F224/MAX(H224,1),1))*50)</f>
        <v>44.6153846153846</v>
      </c>
    </row>
    <row r="225" customFormat="false" ht="15" hidden="false" customHeight="false" outlineLevel="0" collapsed="false">
      <c r="A225" s="5" t="n">
        <f aca="false">ITEM_MASTER_CLEAN!A225</f>
        <v>224</v>
      </c>
      <c r="B225" s="5" t="n">
        <f aca="false">ITEM_MASTER_CLEAN!B225</f>
        <v>66712</v>
      </c>
      <c r="C225" s="5" t="str">
        <f aca="false">ITEM_MASTER_CLEAN!C225</f>
        <v>SANITIZER STERA SHEEN 010425 1UN</v>
      </c>
      <c r="D225" s="12" t="n">
        <f aca="false">ITEM_MASTER_CLEAN!F225</f>
        <v>18.63</v>
      </c>
      <c r="E225" s="5" t="n">
        <f aca="false">ITEM_MASTER_CLEAN!H225</f>
        <v>1</v>
      </c>
      <c r="F225" s="5" t="n">
        <f aca="false">ITEM_MASTER_CLEAN!I225</f>
        <v>1</v>
      </c>
      <c r="G225" s="5" t="n">
        <f aca="false">PAR_LEVELS!J225</f>
        <v>5.57142857142857</v>
      </c>
      <c r="H225" s="5" t="n">
        <f aca="false">PAR_LEVELS!K225</f>
        <v>1.85714285714286</v>
      </c>
      <c r="I225" s="5" t="n">
        <f aca="false">MAX(E225-G225,0)</f>
        <v>0</v>
      </c>
      <c r="J225" s="5" t="n">
        <f aca="false">MAX(F225-H225,0)</f>
        <v>0</v>
      </c>
      <c r="K225" s="5" t="n">
        <f aca="false">MAX(G225-E225,0)</f>
        <v>4.57142857142857</v>
      </c>
      <c r="L225" s="5" t="n">
        <f aca="false">MAX(H225-F225,0)</f>
        <v>0.857142857142857</v>
      </c>
      <c r="M225" s="5" t="str">
        <f aca="false">IF(AND(I225&gt;TransferMin,L225&gt;0),"OAK→HP",IF(AND(J225&gt;TransferMin,K225&gt;0),"HP→OAK","None"))</f>
        <v>None</v>
      </c>
      <c r="N225" s="5" t="n">
        <f aca="false">IF(M225="OAK→HP",MIN(I225,L225),IF(M225="HP→OAK",MIN(J225,K225),0))</f>
        <v>0</v>
      </c>
      <c r="O225" s="5" t="n">
        <f aca="false">MAX(K225-IF(M225="HP→OAK",N225,0),0)</f>
        <v>4.57142857142857</v>
      </c>
      <c r="P225" s="5" t="n">
        <f aca="false">MAX(L225-IF(M225="OAK→HP",N225,0),0)</f>
        <v>0.857142857142857</v>
      </c>
      <c r="Q225" s="5" t="n">
        <f aca="false">IF(O225&gt;0,CEILING(O225,ITEM_MASTER_CLEAN!G225),0)</f>
        <v>5</v>
      </c>
      <c r="R225" s="5" t="n">
        <f aca="false">IF(P225&gt;0,CEILING(P225,ITEM_MASTER_CLEAN!G225),0)</f>
        <v>1</v>
      </c>
      <c r="S225" s="5" t="n">
        <f aca="false">IF(G225=0,0,(1-MIN(E225/MAX(G225,1),1))*50+(1-MIN(F225/MAX(H225,1),1))*50)</f>
        <v>64.1025641025641</v>
      </c>
    </row>
    <row r="226" customFormat="false" ht="15" hidden="false" customHeight="false" outlineLevel="0" collapsed="false">
      <c r="A226" s="5" t="n">
        <f aca="false">ITEM_MASTER_CLEAN!A226</f>
        <v>225</v>
      </c>
      <c r="B226" s="5" t="n">
        <f aca="false">ITEM_MASTER_CLEAN!B226</f>
        <v>66713</v>
      </c>
      <c r="C226" s="5" t="str">
        <f aca="false">ITEM_MASTER_CLEAN!C226</f>
        <v>LUBRICANT 047518 X1UN</v>
      </c>
      <c r="D226" s="12" t="n">
        <f aca="false">ITEM_MASTER_CLEAN!F226</f>
        <v>12.28</v>
      </c>
      <c r="E226" s="5" t="n">
        <f aca="false">ITEM_MASTER_CLEAN!H226</f>
        <v>0</v>
      </c>
      <c r="F226" s="5" t="n">
        <f aca="false">ITEM_MASTER_CLEAN!I226</f>
        <v>0</v>
      </c>
      <c r="G226" s="5" t="n">
        <f aca="false">PAR_LEVELS!J226</f>
        <v>1.85714285714286</v>
      </c>
      <c r="H226" s="5" t="n">
        <f aca="false">PAR_LEVELS!K226</f>
        <v>5.57142857142857</v>
      </c>
      <c r="I226" s="5" t="n">
        <f aca="false">MAX(E226-G226,0)</f>
        <v>0</v>
      </c>
      <c r="J226" s="5" t="n">
        <f aca="false">MAX(F226-H226,0)</f>
        <v>0</v>
      </c>
      <c r="K226" s="5" t="n">
        <f aca="false">MAX(G226-E226,0)</f>
        <v>1.85714285714286</v>
      </c>
      <c r="L226" s="5" t="n">
        <f aca="false">MAX(H226-F226,0)</f>
        <v>5.57142857142857</v>
      </c>
      <c r="M226" s="5" t="str">
        <f aca="false">IF(AND(I226&gt;TransferMin,L226&gt;0),"OAK→HP",IF(AND(J226&gt;TransferMin,K226&gt;0),"HP→OAK","None"))</f>
        <v>None</v>
      </c>
      <c r="N226" s="5" t="n">
        <f aca="false">IF(M226="OAK→HP",MIN(I226,L226),IF(M226="HP→OAK",MIN(J226,K226),0))</f>
        <v>0</v>
      </c>
      <c r="O226" s="5" t="n">
        <f aca="false">MAX(K226-IF(M226="HP→OAK",N226,0),0)</f>
        <v>1.85714285714286</v>
      </c>
      <c r="P226" s="5" t="n">
        <f aca="false">MAX(L226-IF(M226="OAK→HP",N226,0),0)</f>
        <v>5.57142857142857</v>
      </c>
      <c r="Q226" s="5" t="n">
        <f aca="false">IF(O226&gt;0,CEILING(O226,ITEM_MASTER_CLEAN!G226),0)</f>
        <v>2</v>
      </c>
      <c r="R226" s="5" t="n">
        <f aca="false">IF(P226&gt;0,CEILING(P226,ITEM_MASTER_CLEAN!G226),0)</f>
        <v>6</v>
      </c>
      <c r="S226" s="5" t="n">
        <f aca="false">IF(G226=0,0,(1-MIN(E226/MAX(G226,1),1))*50+(1-MIN(F226/MAX(H226,1),1))*50)</f>
        <v>100</v>
      </c>
    </row>
    <row r="227" customFormat="false" ht="15" hidden="false" customHeight="false" outlineLevel="0" collapsed="false">
      <c r="A227" s="5" t="n">
        <f aca="false">ITEM_MASTER_CLEAN!A227</f>
        <v>226</v>
      </c>
      <c r="B227" s="5" t="n">
        <f aca="false">ITEM_MASTER_CLEAN!B227</f>
        <v>49215</v>
      </c>
      <c r="C227" s="5" t="str">
        <f aca="false">ITEM_MASTER_CLEAN!C227</f>
        <v>TOWEL ROLL 8"X205' WHITE  24RL</v>
      </c>
      <c r="D227" s="12" t="n">
        <f aca="false">ITEM_MASTER_CLEAN!F227</f>
        <v>18.84</v>
      </c>
      <c r="E227" s="5" t="n">
        <f aca="false">ITEM_MASTER_CLEAN!H227</f>
        <v>1</v>
      </c>
      <c r="F227" s="5" t="n">
        <f aca="false">ITEM_MASTER_CLEAN!I227</f>
        <v>1</v>
      </c>
      <c r="G227" s="5" t="n">
        <f aca="false">PAR_LEVELS!J227</f>
        <v>5.57142857142857</v>
      </c>
      <c r="H227" s="5" t="n">
        <f aca="false">PAR_LEVELS!K227</f>
        <v>1.85714285714286</v>
      </c>
      <c r="I227" s="5" t="n">
        <f aca="false">MAX(E227-G227,0)</f>
        <v>0</v>
      </c>
      <c r="J227" s="5" t="n">
        <f aca="false">MAX(F227-H227,0)</f>
        <v>0</v>
      </c>
      <c r="K227" s="5" t="n">
        <f aca="false">MAX(G227-E227,0)</f>
        <v>4.57142857142857</v>
      </c>
      <c r="L227" s="5" t="n">
        <f aca="false">MAX(H227-F227,0)</f>
        <v>0.857142857142857</v>
      </c>
      <c r="M227" s="5" t="str">
        <f aca="false">IF(AND(I227&gt;TransferMin,L227&gt;0),"OAK→HP",IF(AND(J227&gt;TransferMin,K227&gt;0),"HP→OAK","None"))</f>
        <v>None</v>
      </c>
      <c r="N227" s="5" t="n">
        <f aca="false">IF(M227="OAK→HP",MIN(I227,L227),IF(M227="HP→OAK",MIN(J227,K227),0))</f>
        <v>0</v>
      </c>
      <c r="O227" s="5" t="n">
        <f aca="false">MAX(K227-IF(M227="HP→OAK",N227,0),0)</f>
        <v>4.57142857142857</v>
      </c>
      <c r="P227" s="5" t="n">
        <f aca="false">MAX(L227-IF(M227="OAK→HP",N227,0),0)</f>
        <v>0.857142857142857</v>
      </c>
      <c r="Q227" s="5" t="n">
        <f aca="false">IF(O227&gt;0,CEILING(O227,ITEM_MASTER_CLEAN!G227),0)</f>
        <v>5</v>
      </c>
      <c r="R227" s="5" t="n">
        <f aca="false">IF(P227&gt;0,CEILING(P227,ITEM_MASTER_CLEAN!G227),0)</f>
        <v>1</v>
      </c>
      <c r="S227" s="5" t="n">
        <f aca="false">IF(G227=0,0,(1-MIN(E227/MAX(G227,1),1))*50+(1-MIN(F227/MAX(H227,1),1))*50)</f>
        <v>64.1025641025641</v>
      </c>
    </row>
    <row r="228" customFormat="false" ht="15" hidden="false" customHeight="false" outlineLevel="0" collapsed="false">
      <c r="A228" s="5" t="n">
        <f aca="false">ITEM_MASTER_CLEAN!A228</f>
        <v>227</v>
      </c>
      <c r="B228" s="5" t="n">
        <f aca="false">ITEM_MASTER_CLEAN!B228</f>
        <v>62330</v>
      </c>
      <c r="C228" s="5" t="str">
        <f aca="false">ITEM_MASTER_CLEAN!C228</f>
        <v>TOWEL ROLL WHITE 2 PLY 24X1RL</v>
      </c>
      <c r="D228" s="12" t="n">
        <f aca="false">ITEM_MASTER_CLEAN!F228</f>
        <v>23.89</v>
      </c>
      <c r="E228" s="5" t="n">
        <f aca="false">ITEM_MASTER_CLEAN!H228</f>
        <v>1</v>
      </c>
      <c r="F228" s="5" t="n">
        <f aca="false">ITEM_MASTER_CLEAN!I228</f>
        <v>1</v>
      </c>
      <c r="G228" s="5" t="n">
        <f aca="false">PAR_LEVELS!J228</f>
        <v>1.85714285714286</v>
      </c>
      <c r="H228" s="5" t="n">
        <f aca="false">PAR_LEVELS!K228</f>
        <v>1.85714285714286</v>
      </c>
      <c r="I228" s="5" t="n">
        <f aca="false">MAX(E228-G228,0)</f>
        <v>0</v>
      </c>
      <c r="J228" s="5" t="n">
        <f aca="false">MAX(F228-H228,0)</f>
        <v>0</v>
      </c>
      <c r="K228" s="5" t="n">
        <f aca="false">MAX(G228-E228,0)</f>
        <v>0.857142857142857</v>
      </c>
      <c r="L228" s="5" t="n">
        <f aca="false">MAX(H228-F228,0)</f>
        <v>0.857142857142857</v>
      </c>
      <c r="M228" s="5" t="str">
        <f aca="false">IF(AND(I228&gt;TransferMin,L228&gt;0),"OAK→HP",IF(AND(J228&gt;TransferMin,K228&gt;0),"HP→OAK","None"))</f>
        <v>None</v>
      </c>
      <c r="N228" s="5" t="n">
        <f aca="false">IF(M228="OAK→HP",MIN(I228,L228),IF(M228="HP→OAK",MIN(J228,K228),0))</f>
        <v>0</v>
      </c>
      <c r="O228" s="5" t="n">
        <f aca="false">MAX(K228-IF(M228="HP→OAK",N228,0),0)</f>
        <v>0.857142857142857</v>
      </c>
      <c r="P228" s="5" t="n">
        <f aca="false">MAX(L228-IF(M228="OAK→HP",N228,0),0)</f>
        <v>0.857142857142857</v>
      </c>
      <c r="Q228" s="5" t="n">
        <f aca="false">IF(O228&gt;0,CEILING(O228,ITEM_MASTER_CLEAN!G228),0)</f>
        <v>24</v>
      </c>
      <c r="R228" s="5" t="n">
        <f aca="false">IF(P228&gt;0,CEILING(P228,ITEM_MASTER_CLEAN!G228),0)</f>
        <v>24</v>
      </c>
      <c r="S228" s="5" t="n">
        <f aca="false">IF(G228=0,0,(1-MIN(E228/MAX(G228,1),1))*50+(1-MIN(F228/MAX(H228,1),1))*50)</f>
        <v>46.1538461538461</v>
      </c>
    </row>
    <row r="229" customFormat="false" ht="15" hidden="false" customHeight="false" outlineLevel="0" collapsed="false">
      <c r="A229" s="5" t="n">
        <f aca="false">ITEM_MASTER_CLEAN!A229</f>
        <v>228</v>
      </c>
      <c r="B229" s="5" t="n">
        <f aca="false">ITEM_MASTER_CLEAN!B229</f>
        <v>63324</v>
      </c>
      <c r="C229" s="5" t="str">
        <f aca="false">ITEM_MASTER_CLEAN!C229</f>
        <v>NET FOR BEARD BROWN POLYESTER 100</v>
      </c>
      <c r="D229" s="12" t="n">
        <f aca="false">ITEM_MASTER_CLEAN!F229</f>
        <v>7.27</v>
      </c>
      <c r="E229" s="5" t="n">
        <f aca="false">ITEM_MASTER_CLEAN!H229</f>
        <v>1</v>
      </c>
      <c r="F229" s="5" t="n">
        <f aca="false">ITEM_MASTER_CLEAN!I229</f>
        <v>1</v>
      </c>
      <c r="G229" s="5" t="n">
        <f aca="false">PAR_LEVELS!J229</f>
        <v>1.85714285714286</v>
      </c>
      <c r="H229" s="5" t="n">
        <f aca="false">PAR_LEVELS!K229</f>
        <v>5.57142857142857</v>
      </c>
      <c r="I229" s="5" t="n">
        <f aca="false">MAX(E229-G229,0)</f>
        <v>0</v>
      </c>
      <c r="J229" s="5" t="n">
        <f aca="false">MAX(F229-H229,0)</f>
        <v>0</v>
      </c>
      <c r="K229" s="5" t="n">
        <f aca="false">MAX(G229-E229,0)</f>
        <v>0.857142857142857</v>
      </c>
      <c r="L229" s="5" t="n">
        <f aca="false">MAX(H229-F229,0)</f>
        <v>4.57142857142857</v>
      </c>
      <c r="M229" s="5" t="str">
        <f aca="false">IF(AND(I229&gt;TransferMin,L229&gt;0),"OAK→HP",IF(AND(J229&gt;TransferMin,K229&gt;0),"HP→OAK","None"))</f>
        <v>None</v>
      </c>
      <c r="N229" s="5" t="n">
        <f aca="false">IF(M229="OAK→HP",MIN(I229,L229),IF(M229="HP→OAK",MIN(J229,K229),0))</f>
        <v>0</v>
      </c>
      <c r="O229" s="5" t="n">
        <f aca="false">MAX(K229-IF(M229="HP→OAK",N229,0),0)</f>
        <v>0.857142857142857</v>
      </c>
      <c r="P229" s="5" t="n">
        <f aca="false">MAX(L229-IF(M229="OAK→HP",N229,0),0)</f>
        <v>4.57142857142857</v>
      </c>
      <c r="Q229" s="5" t="n">
        <f aca="false">IF(O229&gt;0,CEILING(O229,ITEM_MASTER_CLEAN!G229),0)</f>
        <v>1</v>
      </c>
      <c r="R229" s="5" t="n">
        <f aca="false">IF(P229&gt;0,CEILING(P229,ITEM_MASTER_CLEAN!G229),0)</f>
        <v>5</v>
      </c>
      <c r="S229" s="5" t="n">
        <f aca="false">IF(G229=0,0,(1-MIN(E229/MAX(G229,1),1))*50+(1-MIN(F229/MAX(H229,1),1))*50)</f>
        <v>64.1025641025641</v>
      </c>
    </row>
    <row r="230" customFormat="false" ht="15" hidden="false" customHeight="false" outlineLevel="0" collapsed="false">
      <c r="A230" s="5" t="n">
        <f aca="false">ITEM_MASTER_CLEAN!A230</f>
        <v>229</v>
      </c>
      <c r="B230" s="5" t="n">
        <f aca="false">ITEM_MASTER_CLEAN!B230</f>
        <v>63341</v>
      </c>
      <c r="C230" s="5" t="str">
        <f aca="false">ITEM_MASTER_CLEAN!C230</f>
        <v>HAIRNET INVISIBLE 89-420 1X144UN</v>
      </c>
      <c r="D230" s="12" t="n">
        <f aca="false">ITEM_MASTER_CLEAN!F230</f>
        <v>4.11</v>
      </c>
      <c r="E230" s="5" t="n">
        <f aca="false">ITEM_MASTER_CLEAN!H230</f>
        <v>4</v>
      </c>
      <c r="F230" s="5" t="n">
        <f aca="false">ITEM_MASTER_CLEAN!I230</f>
        <v>4</v>
      </c>
      <c r="G230" s="5" t="n">
        <f aca="false">PAR_LEVELS!J230</f>
        <v>1.85714285714286</v>
      </c>
      <c r="H230" s="5" t="n">
        <f aca="false">PAR_LEVELS!K230</f>
        <v>1.85714285714286</v>
      </c>
      <c r="I230" s="5" t="n">
        <f aca="false">MAX(E230-G230,0)</f>
        <v>2.14285714285714</v>
      </c>
      <c r="J230" s="5" t="n">
        <f aca="false">MAX(F230-H230,0)</f>
        <v>2.14285714285714</v>
      </c>
      <c r="K230" s="5" t="n">
        <f aca="false">MAX(G230-E230,0)</f>
        <v>0</v>
      </c>
      <c r="L230" s="5" t="n">
        <f aca="false">MAX(H230-F230,0)</f>
        <v>0</v>
      </c>
      <c r="M230" s="5" t="str">
        <f aca="false">IF(AND(I230&gt;TransferMin,L230&gt;0),"OAK→HP",IF(AND(J230&gt;TransferMin,K230&gt;0),"HP→OAK","None"))</f>
        <v>None</v>
      </c>
      <c r="N230" s="5" t="n">
        <f aca="false">IF(M230="OAK→HP",MIN(I230,L230),IF(M230="HP→OAK",MIN(J230,K230),0))</f>
        <v>0</v>
      </c>
      <c r="O230" s="5" t="n">
        <f aca="false">MAX(K230-IF(M230="HP→OAK",N230,0),0)</f>
        <v>0</v>
      </c>
      <c r="P230" s="5" t="n">
        <f aca="false">MAX(L230-IF(M230="OAK→HP",N230,0),0)</f>
        <v>0</v>
      </c>
      <c r="Q230" s="5" t="n">
        <f aca="false">IF(O230&gt;0,CEILING(O230,ITEM_MASTER_CLEAN!G230),0)</f>
        <v>0</v>
      </c>
      <c r="R230" s="5" t="n">
        <f aca="false">IF(P230&gt;0,CEILING(P230,ITEM_MASTER_CLEAN!G230),0)</f>
        <v>0</v>
      </c>
      <c r="S230" s="5" t="n">
        <f aca="false">IF(G230=0,0,(1-MIN(E230/MAX(G230,1),1))*50+(1-MIN(F230/MAX(H230,1),1))*50)</f>
        <v>0</v>
      </c>
    </row>
    <row r="231" customFormat="false" ht="15" hidden="false" customHeight="false" outlineLevel="0" collapsed="false">
      <c r="A231" s="5" t="n">
        <f aca="false">ITEM_MASTER_CLEAN!A231</f>
        <v>230</v>
      </c>
      <c r="B231" s="5" t="n">
        <f aca="false">ITEM_MASTER_CLEAN!B231</f>
        <v>62749</v>
      </c>
      <c r="C231" s="5" t="str">
        <f aca="false">ITEM_MASTER_CLEAN!C231</f>
        <v>MASK DISP BLUE MEDICAL DISTECH 50UN</v>
      </c>
      <c r="D231" s="12" t="n">
        <f aca="false">ITEM_MASTER_CLEAN!F231</f>
        <v>6.38</v>
      </c>
      <c r="E231" s="5" t="n">
        <f aca="false">ITEM_MASTER_CLEAN!H231</f>
        <v>3</v>
      </c>
      <c r="F231" s="5" t="n">
        <f aca="false">ITEM_MASTER_CLEAN!I231</f>
        <v>1</v>
      </c>
      <c r="G231" s="5" t="n">
        <f aca="false">PAR_LEVELS!J231</f>
        <v>3.71428571428571</v>
      </c>
      <c r="H231" s="5" t="n">
        <f aca="false">PAR_LEVELS!K231</f>
        <v>5.57142857142857</v>
      </c>
      <c r="I231" s="5" t="n">
        <f aca="false">MAX(E231-G231,0)</f>
        <v>0</v>
      </c>
      <c r="J231" s="5" t="n">
        <f aca="false">MAX(F231-H231,0)</f>
        <v>0</v>
      </c>
      <c r="K231" s="5" t="n">
        <f aca="false">MAX(G231-E231,0)</f>
        <v>0.714285714285714</v>
      </c>
      <c r="L231" s="5" t="n">
        <f aca="false">MAX(H231-F231,0)</f>
        <v>4.57142857142857</v>
      </c>
      <c r="M231" s="5" t="str">
        <f aca="false">IF(AND(I231&gt;TransferMin,L231&gt;0),"OAK→HP",IF(AND(J231&gt;TransferMin,K231&gt;0),"HP→OAK","None"))</f>
        <v>None</v>
      </c>
      <c r="N231" s="5" t="n">
        <f aca="false">IF(M231="OAK→HP",MIN(I231,L231),IF(M231="HP→OAK",MIN(J231,K231),0))</f>
        <v>0</v>
      </c>
      <c r="O231" s="5" t="n">
        <f aca="false">MAX(K231-IF(M231="HP→OAK",N231,0),0)</f>
        <v>0.714285714285714</v>
      </c>
      <c r="P231" s="5" t="n">
        <f aca="false">MAX(L231-IF(M231="OAK→HP",N231,0),0)</f>
        <v>4.57142857142857</v>
      </c>
      <c r="Q231" s="5" t="n">
        <f aca="false">IF(O231&gt;0,CEILING(O231,ITEM_MASTER_CLEAN!G231),0)</f>
        <v>50</v>
      </c>
      <c r="R231" s="5" t="n">
        <f aca="false">IF(P231&gt;0,CEILING(P231,ITEM_MASTER_CLEAN!G231),0)</f>
        <v>50</v>
      </c>
      <c r="S231" s="5" t="n">
        <f aca="false">IF(G231=0,0,(1-MIN(E231/MAX(G231,1),1))*50+(1-MIN(F231/MAX(H231,1),1))*50)</f>
        <v>50.6410256410256</v>
      </c>
    </row>
    <row r="232" customFormat="false" ht="15" hidden="false" customHeight="false" outlineLevel="0" collapsed="false">
      <c r="A232" s="5" t="n">
        <f aca="false">ITEM_MASTER_CLEAN!A232</f>
        <v>231</v>
      </c>
      <c r="B232" s="5" t="n">
        <f aca="false">ITEM_MASTER_CLEAN!B232</f>
        <v>62819</v>
      </c>
      <c r="C232" s="5" t="str">
        <f aca="false">ITEM_MASTER_CLEAN!C232</f>
        <v>GLOVES TPE CLR PDR FREE SM 100UN</v>
      </c>
      <c r="D232" s="12" t="n">
        <f aca="false">ITEM_MASTER_CLEAN!F232</f>
        <v>6.54</v>
      </c>
      <c r="E232" s="5" t="n">
        <f aca="false">ITEM_MASTER_CLEAN!H232</f>
        <v>0</v>
      </c>
      <c r="F232" s="5" t="n">
        <f aca="false">ITEM_MASTER_CLEAN!I232</f>
        <v>0</v>
      </c>
      <c r="G232" s="5" t="n">
        <f aca="false">PAR_LEVELS!J232</f>
        <v>3.71428571428571</v>
      </c>
      <c r="H232" s="5" t="n">
        <f aca="false">PAR_LEVELS!K232</f>
        <v>5.57142857142857</v>
      </c>
      <c r="I232" s="5" t="n">
        <f aca="false">MAX(E232-G232,0)</f>
        <v>0</v>
      </c>
      <c r="J232" s="5" t="n">
        <f aca="false">MAX(F232-H232,0)</f>
        <v>0</v>
      </c>
      <c r="K232" s="5" t="n">
        <f aca="false">MAX(G232-E232,0)</f>
        <v>3.71428571428571</v>
      </c>
      <c r="L232" s="5" t="n">
        <f aca="false">MAX(H232-F232,0)</f>
        <v>5.57142857142857</v>
      </c>
      <c r="M232" s="5" t="str">
        <f aca="false">IF(AND(I232&gt;TransferMin,L232&gt;0),"OAK→HP",IF(AND(J232&gt;TransferMin,K232&gt;0),"HP→OAK","None"))</f>
        <v>None</v>
      </c>
      <c r="N232" s="5" t="n">
        <f aca="false">IF(M232="OAK→HP",MIN(I232,L232),IF(M232="HP→OAK",MIN(J232,K232),0))</f>
        <v>0</v>
      </c>
      <c r="O232" s="5" t="n">
        <f aca="false">MAX(K232-IF(M232="HP→OAK",N232,0),0)</f>
        <v>3.71428571428571</v>
      </c>
      <c r="P232" s="5" t="n">
        <f aca="false">MAX(L232-IF(M232="OAK→HP",N232,0),0)</f>
        <v>5.57142857142857</v>
      </c>
      <c r="Q232" s="5" t="n">
        <f aca="false">IF(O232&gt;0,CEILING(O232,ITEM_MASTER_CLEAN!G232),0)</f>
        <v>4</v>
      </c>
      <c r="R232" s="5" t="n">
        <f aca="false">IF(P232&gt;0,CEILING(P232,ITEM_MASTER_CLEAN!G232),0)</f>
        <v>6</v>
      </c>
      <c r="S232" s="5" t="n">
        <f aca="false">IF(G232=0,0,(1-MIN(E232/MAX(G232,1),1))*50+(1-MIN(F232/MAX(H232,1),1))*50)</f>
        <v>100</v>
      </c>
    </row>
    <row r="233" customFormat="false" ht="15" hidden="false" customHeight="false" outlineLevel="0" collapsed="false">
      <c r="A233" s="5" t="n">
        <f aca="false">ITEM_MASTER_CLEAN!A233</f>
        <v>232</v>
      </c>
      <c r="B233" s="5" t="n">
        <f aca="false">ITEM_MASTER_CLEAN!B233</f>
        <v>62844</v>
      </c>
      <c r="C233" s="5" t="str">
        <f aca="false">ITEM_MASTER_CLEAN!C233</f>
        <v>GLOVE TPE CLR PDF FREE MED 100UN</v>
      </c>
      <c r="D233" s="12" t="n">
        <f aca="false">ITEM_MASTER_CLEAN!F233</f>
        <v>12.21</v>
      </c>
      <c r="E233" s="5" t="n">
        <f aca="false">ITEM_MASTER_CLEAN!H233</f>
        <v>1</v>
      </c>
      <c r="F233" s="5" t="n">
        <f aca="false">ITEM_MASTER_CLEAN!I233</f>
        <v>3</v>
      </c>
      <c r="G233" s="5" t="n">
        <f aca="false">PAR_LEVELS!J233</f>
        <v>5.57142857142857</v>
      </c>
      <c r="H233" s="5" t="n">
        <f aca="false">PAR_LEVELS!K233</f>
        <v>3.71428571428571</v>
      </c>
      <c r="I233" s="5" t="n">
        <f aca="false">MAX(E233-G233,0)</f>
        <v>0</v>
      </c>
      <c r="J233" s="5" t="n">
        <f aca="false">MAX(F233-H233,0)</f>
        <v>0</v>
      </c>
      <c r="K233" s="5" t="n">
        <f aca="false">MAX(G233-E233,0)</f>
        <v>4.57142857142857</v>
      </c>
      <c r="L233" s="5" t="n">
        <f aca="false">MAX(H233-F233,0)</f>
        <v>0.714285714285714</v>
      </c>
      <c r="M233" s="5" t="str">
        <f aca="false">IF(AND(I233&gt;TransferMin,L233&gt;0),"OAK→HP",IF(AND(J233&gt;TransferMin,K233&gt;0),"HP→OAK","None"))</f>
        <v>None</v>
      </c>
      <c r="N233" s="5" t="n">
        <f aca="false">IF(M233="OAK→HP",MIN(I233,L233),IF(M233="HP→OAK",MIN(J233,K233),0))</f>
        <v>0</v>
      </c>
      <c r="O233" s="5" t="n">
        <f aca="false">MAX(K233-IF(M233="HP→OAK",N233,0),0)</f>
        <v>4.57142857142857</v>
      </c>
      <c r="P233" s="5" t="n">
        <f aca="false">MAX(L233-IF(M233="OAK→HP",N233,0),0)</f>
        <v>0.714285714285714</v>
      </c>
      <c r="Q233" s="5" t="n">
        <f aca="false">IF(O233&gt;0,CEILING(O233,ITEM_MASTER_CLEAN!G233),0)</f>
        <v>5</v>
      </c>
      <c r="R233" s="5" t="n">
        <f aca="false">IF(P233&gt;0,CEILING(P233,ITEM_MASTER_CLEAN!G233),0)</f>
        <v>1</v>
      </c>
      <c r="S233" s="5" t="n">
        <f aca="false">IF(G233=0,0,(1-MIN(E233/MAX(G233,1),1))*50+(1-MIN(F233/MAX(H233,1),1))*50)</f>
        <v>50.6410256410256</v>
      </c>
    </row>
    <row r="234" customFormat="false" ht="15" hidden="false" customHeight="false" outlineLevel="0" collapsed="false">
      <c r="A234" s="5" t="n">
        <f aca="false">ITEM_MASTER_CLEAN!A234</f>
        <v>233</v>
      </c>
      <c r="B234" s="5" t="n">
        <f aca="false">ITEM_MASTER_CLEAN!B234</f>
        <v>62816</v>
      </c>
      <c r="C234" s="5" t="str">
        <f aca="false">ITEM_MASTER_CLEAN!C234</f>
        <v>GLOVES TPE CLR PDR FREE LG 100</v>
      </c>
      <c r="D234" s="12" t="n">
        <f aca="false">ITEM_MASTER_CLEAN!F234</f>
        <v>12.55</v>
      </c>
      <c r="E234" s="5" t="n">
        <f aca="false">ITEM_MASTER_CLEAN!H234</f>
        <v>1</v>
      </c>
      <c r="F234" s="5" t="n">
        <f aca="false">ITEM_MASTER_CLEAN!I234</f>
        <v>1</v>
      </c>
      <c r="G234" s="5" t="n">
        <f aca="false">PAR_LEVELS!J234</f>
        <v>5.57142857142857</v>
      </c>
      <c r="H234" s="5" t="n">
        <f aca="false">PAR_LEVELS!K234</f>
        <v>1.85714285714286</v>
      </c>
      <c r="I234" s="5" t="n">
        <f aca="false">MAX(E234-G234,0)</f>
        <v>0</v>
      </c>
      <c r="J234" s="5" t="n">
        <f aca="false">MAX(F234-H234,0)</f>
        <v>0</v>
      </c>
      <c r="K234" s="5" t="n">
        <f aca="false">MAX(G234-E234,0)</f>
        <v>4.57142857142857</v>
      </c>
      <c r="L234" s="5" t="n">
        <f aca="false">MAX(H234-F234,0)</f>
        <v>0.857142857142857</v>
      </c>
      <c r="M234" s="5" t="str">
        <f aca="false">IF(AND(I234&gt;TransferMin,L234&gt;0),"OAK→HP",IF(AND(J234&gt;TransferMin,K234&gt;0),"HP→OAK","None"))</f>
        <v>None</v>
      </c>
      <c r="N234" s="5" t="n">
        <f aca="false">IF(M234="OAK→HP",MIN(I234,L234),IF(M234="HP→OAK",MIN(J234,K234),0))</f>
        <v>0</v>
      </c>
      <c r="O234" s="5" t="n">
        <f aca="false">MAX(K234-IF(M234="HP→OAK",N234,0),0)</f>
        <v>4.57142857142857</v>
      </c>
      <c r="P234" s="5" t="n">
        <f aca="false">MAX(L234-IF(M234="OAK→HP",N234,0),0)</f>
        <v>0.857142857142857</v>
      </c>
      <c r="Q234" s="5" t="n">
        <f aca="false">IF(O234&gt;0,CEILING(O234,ITEM_MASTER_CLEAN!G234),0)</f>
        <v>5</v>
      </c>
      <c r="R234" s="5" t="n">
        <f aca="false">IF(P234&gt;0,CEILING(P234,ITEM_MASTER_CLEAN!G234),0)</f>
        <v>1</v>
      </c>
      <c r="S234" s="5" t="n">
        <f aca="false">IF(G234=0,0,(1-MIN(E234/MAX(G234,1),1))*50+(1-MIN(F234/MAX(H234,1),1))*50)</f>
        <v>64.1025641025641</v>
      </c>
    </row>
    <row r="235" customFormat="false" ht="15" hidden="false" customHeight="false" outlineLevel="0" collapsed="false">
      <c r="A235" s="5" t="n">
        <f aca="false">ITEM_MASTER_CLEAN!A235</f>
        <v>234</v>
      </c>
      <c r="B235" s="5" t="n">
        <f aca="false">ITEM_MASTER_CLEAN!B235</f>
        <v>62815</v>
      </c>
      <c r="C235" s="5" t="str">
        <f aca="false">ITEM_MASTER_CLEAN!C235</f>
        <v>GLOVES TPE CLR PDR FREE XL 100</v>
      </c>
      <c r="D235" s="12" t="n">
        <f aca="false">ITEM_MASTER_CLEAN!F235</f>
        <v>10.73</v>
      </c>
      <c r="E235" s="5" t="n">
        <f aca="false">ITEM_MASTER_CLEAN!H235</f>
        <v>7</v>
      </c>
      <c r="F235" s="5" t="n">
        <f aca="false">ITEM_MASTER_CLEAN!I235</f>
        <v>0</v>
      </c>
      <c r="G235" s="5" t="n">
        <f aca="false">PAR_LEVELS!J235</f>
        <v>3.71428571428571</v>
      </c>
      <c r="H235" s="5" t="n">
        <f aca="false">PAR_LEVELS!K235</f>
        <v>5.57142857142857</v>
      </c>
      <c r="I235" s="5" t="n">
        <f aca="false">MAX(E235-G235,0)</f>
        <v>3.28571428571429</v>
      </c>
      <c r="J235" s="5" t="n">
        <f aca="false">MAX(F235-H235,0)</f>
        <v>0</v>
      </c>
      <c r="K235" s="5" t="n">
        <f aca="false">MAX(G235-E235,0)</f>
        <v>0</v>
      </c>
      <c r="L235" s="5" t="n">
        <f aca="false">MAX(H235-F235,0)</f>
        <v>5.57142857142857</v>
      </c>
      <c r="M235" s="5" t="str">
        <f aca="false">IF(AND(I235&gt;TransferMin,L235&gt;0),"OAK→HP",IF(AND(J235&gt;TransferMin,K235&gt;0),"HP→OAK","None"))</f>
        <v>None</v>
      </c>
      <c r="N235" s="5" t="n">
        <f aca="false">IF(M235="OAK→HP",MIN(I235,L235),IF(M235="HP→OAK",MIN(J235,K235),0))</f>
        <v>0</v>
      </c>
      <c r="O235" s="5" t="n">
        <f aca="false">MAX(K235-IF(M235="HP→OAK",N235,0),0)</f>
        <v>0</v>
      </c>
      <c r="P235" s="5" t="n">
        <f aca="false">MAX(L235-IF(M235="OAK→HP",N235,0),0)</f>
        <v>5.57142857142857</v>
      </c>
      <c r="Q235" s="5" t="n">
        <f aca="false">IF(O235&gt;0,CEILING(O235,ITEM_MASTER_CLEAN!G235),0)</f>
        <v>0</v>
      </c>
      <c r="R235" s="5" t="n">
        <f aca="false">IF(P235&gt;0,CEILING(P235,ITEM_MASTER_CLEAN!G235),0)</f>
        <v>6</v>
      </c>
      <c r="S235" s="5" t="n">
        <f aca="false">IF(G235=0,0,(1-MIN(E235/MAX(G235,1),1))*50+(1-MIN(F235/MAX(H235,1),1))*50)</f>
        <v>50</v>
      </c>
    </row>
    <row r="236" customFormat="false" ht="15" hidden="false" customHeight="false" outlineLevel="0" collapsed="false">
      <c r="A236" s="5" t="n">
        <f aca="false">ITEM_MASTER_CLEAN!A236</f>
        <v>235</v>
      </c>
      <c r="B236" s="5" t="n">
        <f aca="false">ITEM_MASTER_CLEAN!B236</f>
        <v>38234</v>
      </c>
      <c r="C236" s="5" t="str">
        <f aca="false">ITEM_MASTER_CLEAN!C236</f>
        <v>GLOVES POLY DISP SM 9945B 500</v>
      </c>
      <c r="D236" s="12" t="n">
        <f aca="false">ITEM_MASTER_CLEAN!F236</f>
        <v>12.29</v>
      </c>
      <c r="E236" s="5" t="n">
        <f aca="false">ITEM_MASTER_CLEAN!H236</f>
        <v>0</v>
      </c>
      <c r="F236" s="5" t="n">
        <f aca="false">ITEM_MASTER_CLEAN!I236</f>
        <v>0</v>
      </c>
      <c r="G236" s="5" t="n">
        <f aca="false">PAR_LEVELS!J236</f>
        <v>1.85714285714286</v>
      </c>
      <c r="H236" s="5" t="n">
        <f aca="false">PAR_LEVELS!K236</f>
        <v>3.71428571428571</v>
      </c>
      <c r="I236" s="5" t="n">
        <f aca="false">MAX(E236-G236,0)</f>
        <v>0</v>
      </c>
      <c r="J236" s="5" t="n">
        <f aca="false">MAX(F236-H236,0)</f>
        <v>0</v>
      </c>
      <c r="K236" s="5" t="n">
        <f aca="false">MAX(G236-E236,0)</f>
        <v>1.85714285714286</v>
      </c>
      <c r="L236" s="5" t="n">
        <f aca="false">MAX(H236-F236,0)</f>
        <v>3.71428571428571</v>
      </c>
      <c r="M236" s="5" t="str">
        <f aca="false">IF(AND(I236&gt;TransferMin,L236&gt;0),"OAK→HP",IF(AND(J236&gt;TransferMin,K236&gt;0),"HP→OAK","None"))</f>
        <v>None</v>
      </c>
      <c r="N236" s="5" t="n">
        <f aca="false">IF(M236="OAK→HP",MIN(I236,L236),IF(M236="HP→OAK",MIN(J236,K236),0))</f>
        <v>0</v>
      </c>
      <c r="O236" s="5" t="n">
        <f aca="false">MAX(K236-IF(M236="HP→OAK",N236,0),0)</f>
        <v>1.85714285714286</v>
      </c>
      <c r="P236" s="5" t="n">
        <f aca="false">MAX(L236-IF(M236="OAK→HP",N236,0),0)</f>
        <v>3.71428571428571</v>
      </c>
      <c r="Q236" s="5" t="n">
        <f aca="false">IF(O236&gt;0,CEILING(O236,ITEM_MASTER_CLEAN!G236),0)</f>
        <v>2</v>
      </c>
      <c r="R236" s="5" t="n">
        <f aca="false">IF(P236&gt;0,CEILING(P236,ITEM_MASTER_CLEAN!G236),0)</f>
        <v>4</v>
      </c>
      <c r="S236" s="5" t="n">
        <f aca="false">IF(G236=0,0,(1-MIN(E236/MAX(G236,1),1))*50+(1-MIN(F236/MAX(H236,1),1))*50)</f>
        <v>100</v>
      </c>
    </row>
    <row r="237" customFormat="false" ht="15" hidden="false" customHeight="false" outlineLevel="0" collapsed="false">
      <c r="A237" s="5" t="n">
        <f aca="false">ITEM_MASTER_CLEAN!A237</f>
        <v>236</v>
      </c>
      <c r="B237" s="5" t="n">
        <f aca="false">ITEM_MASTER_CLEAN!B237</f>
        <v>34246</v>
      </c>
      <c r="C237" s="5" t="str">
        <f aca="false">ITEM_MASTER_CLEAN!C237</f>
        <v>GLOVES POLY DISP MED 9945C 1X500</v>
      </c>
      <c r="D237" s="12" t="n">
        <f aca="false">ITEM_MASTER_CLEAN!F237</f>
        <v>8.41</v>
      </c>
      <c r="E237" s="5" t="n">
        <f aca="false">ITEM_MASTER_CLEAN!H237</f>
        <v>3</v>
      </c>
      <c r="F237" s="5" t="n">
        <f aca="false">ITEM_MASTER_CLEAN!I237</f>
        <v>1</v>
      </c>
      <c r="G237" s="5" t="n">
        <f aca="false">PAR_LEVELS!J237</f>
        <v>3.71428571428571</v>
      </c>
      <c r="H237" s="5" t="n">
        <f aca="false">PAR_LEVELS!K237</f>
        <v>5.57142857142857</v>
      </c>
      <c r="I237" s="5" t="n">
        <f aca="false">MAX(E237-G237,0)</f>
        <v>0</v>
      </c>
      <c r="J237" s="5" t="n">
        <f aca="false">MAX(F237-H237,0)</f>
        <v>0</v>
      </c>
      <c r="K237" s="5" t="n">
        <f aca="false">MAX(G237-E237,0)</f>
        <v>0.714285714285714</v>
      </c>
      <c r="L237" s="5" t="n">
        <f aca="false">MAX(H237-F237,0)</f>
        <v>4.57142857142857</v>
      </c>
      <c r="M237" s="5" t="str">
        <f aca="false">IF(AND(I237&gt;TransferMin,L237&gt;0),"OAK→HP",IF(AND(J237&gt;TransferMin,K237&gt;0),"HP→OAK","None"))</f>
        <v>None</v>
      </c>
      <c r="N237" s="5" t="n">
        <f aca="false">IF(M237="OAK→HP",MIN(I237,L237),IF(M237="HP→OAK",MIN(J237,K237),0))</f>
        <v>0</v>
      </c>
      <c r="O237" s="5" t="n">
        <f aca="false">MAX(K237-IF(M237="HP→OAK",N237,0),0)</f>
        <v>0.714285714285714</v>
      </c>
      <c r="P237" s="5" t="n">
        <f aca="false">MAX(L237-IF(M237="OAK→HP",N237,0),0)</f>
        <v>4.57142857142857</v>
      </c>
      <c r="Q237" s="5" t="n">
        <f aca="false">IF(O237&gt;0,CEILING(O237,ITEM_MASTER_CLEAN!G237),0)</f>
        <v>1</v>
      </c>
      <c r="R237" s="5" t="n">
        <f aca="false">IF(P237&gt;0,CEILING(P237,ITEM_MASTER_CLEAN!G237),0)</f>
        <v>5</v>
      </c>
      <c r="S237" s="5" t="n">
        <f aca="false">IF(G237=0,0,(1-MIN(E237/MAX(G237,1),1))*50+(1-MIN(F237/MAX(H237,1),1))*50)</f>
        <v>50.6410256410256</v>
      </c>
    </row>
    <row r="238" customFormat="false" ht="15" hidden="false" customHeight="false" outlineLevel="0" collapsed="false">
      <c r="A238" s="5" t="n">
        <f aca="false">ITEM_MASTER_CLEAN!A238</f>
        <v>237</v>
      </c>
      <c r="B238" s="5" t="n">
        <f aca="false">ITEM_MASTER_CLEAN!B238</f>
        <v>62734</v>
      </c>
      <c r="C238" s="5" t="str">
        <f aca="false">ITEM_MASTER_CLEAN!C238</f>
        <v>GLOVES POLY DISP LRG 9945D 500</v>
      </c>
      <c r="D238" s="12" t="n">
        <f aca="false">ITEM_MASTER_CLEAN!F238</f>
        <v>7.94</v>
      </c>
      <c r="E238" s="5" t="n">
        <f aca="false">ITEM_MASTER_CLEAN!H238</f>
        <v>0</v>
      </c>
      <c r="F238" s="5" t="n">
        <f aca="false">ITEM_MASTER_CLEAN!I238</f>
        <v>0</v>
      </c>
      <c r="G238" s="5" t="n">
        <f aca="false">PAR_LEVELS!J238</f>
        <v>5.57142857142857</v>
      </c>
      <c r="H238" s="5" t="n">
        <f aca="false">PAR_LEVELS!K238</f>
        <v>1.85714285714286</v>
      </c>
      <c r="I238" s="5" t="n">
        <f aca="false">MAX(E238-G238,0)</f>
        <v>0</v>
      </c>
      <c r="J238" s="5" t="n">
        <f aca="false">MAX(F238-H238,0)</f>
        <v>0</v>
      </c>
      <c r="K238" s="5" t="n">
        <f aca="false">MAX(G238-E238,0)</f>
        <v>5.57142857142857</v>
      </c>
      <c r="L238" s="5" t="n">
        <f aca="false">MAX(H238-F238,0)</f>
        <v>1.85714285714286</v>
      </c>
      <c r="M238" s="5" t="str">
        <f aca="false">IF(AND(I238&gt;TransferMin,L238&gt;0),"OAK→HP",IF(AND(J238&gt;TransferMin,K238&gt;0),"HP→OAK","None"))</f>
        <v>None</v>
      </c>
      <c r="N238" s="5" t="n">
        <f aca="false">IF(M238="OAK→HP",MIN(I238,L238),IF(M238="HP→OAK",MIN(J238,K238),0))</f>
        <v>0</v>
      </c>
      <c r="O238" s="5" t="n">
        <f aca="false">MAX(K238-IF(M238="HP→OAK",N238,0),0)</f>
        <v>5.57142857142857</v>
      </c>
      <c r="P238" s="5" t="n">
        <f aca="false">MAX(L238-IF(M238="OAK→HP",N238,0),0)</f>
        <v>1.85714285714286</v>
      </c>
      <c r="Q238" s="5" t="n">
        <f aca="false">IF(O238&gt;0,CEILING(O238,ITEM_MASTER_CLEAN!G238),0)</f>
        <v>6</v>
      </c>
      <c r="R238" s="5" t="n">
        <f aca="false">IF(P238&gt;0,CEILING(P238,ITEM_MASTER_CLEAN!G238),0)</f>
        <v>2</v>
      </c>
      <c r="S238" s="5" t="n">
        <f aca="false">IF(G238=0,0,(1-MIN(E238/MAX(G238,1),1))*50+(1-MIN(F238/MAX(H238,1),1))*50)</f>
        <v>100</v>
      </c>
    </row>
    <row r="239" customFormat="false" ht="15" hidden="false" customHeight="false" outlineLevel="0" collapsed="false">
      <c r="A239" s="5" t="n">
        <f aca="false">ITEM_MASTER_CLEAN!A239</f>
        <v>238</v>
      </c>
      <c r="B239" s="5" t="n">
        <f aca="false">ITEM_MASTER_CLEAN!B239</f>
        <v>64410</v>
      </c>
      <c r="C239" s="5" t="str">
        <f aca="false">ITEM_MASTER_CLEAN!C239</f>
        <v>CLOTH JCHIX BLUE 12X24" 6279 1X100</v>
      </c>
      <c r="D239" s="12" t="n">
        <f aca="false">ITEM_MASTER_CLEAN!F239</f>
        <v>13.39</v>
      </c>
      <c r="E239" s="5" t="n">
        <f aca="false">ITEM_MASTER_CLEAN!H239</f>
        <v>2</v>
      </c>
      <c r="F239" s="5" t="n">
        <f aca="false">ITEM_MASTER_CLEAN!I239</f>
        <v>1</v>
      </c>
      <c r="G239" s="5" t="n">
        <f aca="false">PAR_LEVELS!J239</f>
        <v>3.71428571428571</v>
      </c>
      <c r="H239" s="5" t="n">
        <f aca="false">PAR_LEVELS!K239</f>
        <v>5.57142857142857</v>
      </c>
      <c r="I239" s="5" t="n">
        <f aca="false">MAX(E239-G239,0)</f>
        <v>0</v>
      </c>
      <c r="J239" s="5" t="n">
        <f aca="false">MAX(F239-H239,0)</f>
        <v>0</v>
      </c>
      <c r="K239" s="5" t="n">
        <f aca="false">MAX(G239-E239,0)</f>
        <v>1.71428571428571</v>
      </c>
      <c r="L239" s="5" t="n">
        <f aca="false">MAX(H239-F239,0)</f>
        <v>4.57142857142857</v>
      </c>
      <c r="M239" s="5" t="str">
        <f aca="false">IF(AND(I239&gt;TransferMin,L239&gt;0),"OAK→HP",IF(AND(J239&gt;TransferMin,K239&gt;0),"HP→OAK","None"))</f>
        <v>None</v>
      </c>
      <c r="N239" s="5" t="n">
        <f aca="false">IF(M239="OAK→HP",MIN(I239,L239),IF(M239="HP→OAK",MIN(J239,K239),0))</f>
        <v>0</v>
      </c>
      <c r="O239" s="5" t="n">
        <f aca="false">MAX(K239-IF(M239="HP→OAK",N239,0),0)</f>
        <v>1.71428571428571</v>
      </c>
      <c r="P239" s="5" t="n">
        <f aca="false">MAX(L239-IF(M239="OAK→HP",N239,0),0)</f>
        <v>4.57142857142857</v>
      </c>
      <c r="Q239" s="5" t="n">
        <f aca="false">IF(O239&gt;0,CEILING(O239,ITEM_MASTER_CLEAN!G239),0)</f>
        <v>2</v>
      </c>
      <c r="R239" s="5" t="n">
        <f aca="false">IF(P239&gt;0,CEILING(P239,ITEM_MASTER_CLEAN!G239),0)</f>
        <v>5</v>
      </c>
      <c r="S239" s="5" t="n">
        <f aca="false">IF(G239=0,0,(1-MIN(E239/MAX(G239,1),1))*50+(1-MIN(F239/MAX(H239,1),1))*50)</f>
        <v>64.1025641025641</v>
      </c>
    </row>
    <row r="240" customFormat="false" ht="15" hidden="false" customHeight="false" outlineLevel="0" collapsed="false">
      <c r="A240" s="5" t="n">
        <f aca="false">ITEM_MASTER_CLEAN!A240</f>
        <v>239</v>
      </c>
      <c r="B240" s="5" t="n">
        <f aca="false">ITEM_MASTER_CLEAN!B240</f>
        <v>26781</v>
      </c>
      <c r="C240" s="5" t="str">
        <f aca="false">ITEM_MASTER_CLEAN!C240</f>
        <v>MOP HEAD 650G 1</v>
      </c>
      <c r="D240" s="12" t="n">
        <f aca="false">ITEM_MASTER_CLEAN!F240</f>
        <v>11.22</v>
      </c>
      <c r="E240" s="5" t="n">
        <f aca="false">ITEM_MASTER_CLEAN!H240</f>
        <v>0</v>
      </c>
      <c r="F240" s="5" t="n">
        <f aca="false">ITEM_MASTER_CLEAN!I240</f>
        <v>3</v>
      </c>
      <c r="G240" s="5" t="n">
        <f aca="false">PAR_LEVELS!J240</f>
        <v>1.85714285714286</v>
      </c>
      <c r="H240" s="5" t="n">
        <f aca="false">PAR_LEVELS!K240</f>
        <v>1.85714285714286</v>
      </c>
      <c r="I240" s="5" t="n">
        <f aca="false">MAX(E240-G240,0)</f>
        <v>0</v>
      </c>
      <c r="J240" s="5" t="n">
        <f aca="false">MAX(F240-H240,0)</f>
        <v>1.14285714285714</v>
      </c>
      <c r="K240" s="5" t="n">
        <f aca="false">MAX(G240-E240,0)</f>
        <v>1.85714285714286</v>
      </c>
      <c r="L240" s="5" t="n">
        <f aca="false">MAX(H240-F240,0)</f>
        <v>0</v>
      </c>
      <c r="M240" s="5" t="str">
        <f aca="false">IF(AND(I240&gt;TransferMin,L240&gt;0),"OAK→HP",IF(AND(J240&gt;TransferMin,K240&gt;0),"HP→OAK","None"))</f>
        <v>None</v>
      </c>
      <c r="N240" s="5" t="n">
        <f aca="false">IF(M240="OAK→HP",MIN(I240,L240),IF(M240="HP→OAK",MIN(J240,K240),0))</f>
        <v>0</v>
      </c>
      <c r="O240" s="5" t="n">
        <f aca="false">MAX(K240-IF(M240="HP→OAK",N240,0),0)</f>
        <v>1.85714285714286</v>
      </c>
      <c r="P240" s="5" t="n">
        <f aca="false">MAX(L240-IF(M240="OAK→HP",N240,0),0)</f>
        <v>0</v>
      </c>
      <c r="Q240" s="5" t="n">
        <f aca="false">IF(O240&gt;0,CEILING(O240,ITEM_MASTER_CLEAN!G240),0)</f>
        <v>2</v>
      </c>
      <c r="R240" s="5" t="n">
        <f aca="false">IF(P240&gt;0,CEILING(P240,ITEM_MASTER_CLEAN!G240),0)</f>
        <v>0</v>
      </c>
      <c r="S240" s="5" t="n">
        <f aca="false">IF(G240=0,0,(1-MIN(E240/MAX(G240,1),1))*50+(1-MIN(F240/MAX(H240,1),1))*50)</f>
        <v>50</v>
      </c>
    </row>
    <row r="241" customFormat="false" ht="15" hidden="false" customHeight="false" outlineLevel="0" collapsed="false">
      <c r="A241" s="5" t="n">
        <f aca="false">ITEM_MASTER_CLEAN!A241</f>
        <v>240</v>
      </c>
      <c r="B241" s="5" t="n">
        <f aca="false">ITEM_MASTER_CLEAN!B241</f>
        <v>49219</v>
      </c>
      <c r="C241" s="5" t="str">
        <f aca="false">ITEM_MASTER_CLEAN!C241</f>
        <v>TOILET PAP 2PL METRO 48X500S</v>
      </c>
      <c r="D241" s="12" t="n">
        <f aca="false">ITEM_MASTER_CLEAN!F241</f>
        <v>36.46</v>
      </c>
      <c r="E241" s="5" t="n">
        <f aca="false">ITEM_MASTER_CLEAN!H241</f>
        <v>1</v>
      </c>
      <c r="F241" s="5" t="n">
        <f aca="false">ITEM_MASTER_CLEAN!I241</f>
        <v>1</v>
      </c>
      <c r="G241" s="5" t="n">
        <f aca="false">PAR_LEVELS!J241</f>
        <v>5.57142857142857</v>
      </c>
      <c r="H241" s="5" t="n">
        <f aca="false">PAR_LEVELS!K241</f>
        <v>1.85714285714286</v>
      </c>
      <c r="I241" s="5" t="n">
        <f aca="false">MAX(E241-G241,0)</f>
        <v>0</v>
      </c>
      <c r="J241" s="5" t="n">
        <f aca="false">MAX(F241-H241,0)</f>
        <v>0</v>
      </c>
      <c r="K241" s="5" t="n">
        <f aca="false">MAX(G241-E241,0)</f>
        <v>4.57142857142857</v>
      </c>
      <c r="L241" s="5" t="n">
        <f aca="false">MAX(H241-F241,0)</f>
        <v>0.857142857142857</v>
      </c>
      <c r="M241" s="5" t="str">
        <f aca="false">IF(AND(I241&gt;TransferMin,L241&gt;0),"OAK→HP",IF(AND(J241&gt;TransferMin,K241&gt;0),"HP→OAK","None"))</f>
        <v>None</v>
      </c>
      <c r="N241" s="5" t="n">
        <f aca="false">IF(M241="OAK→HP",MIN(I241,L241),IF(M241="HP→OAK",MIN(J241,K241),0))</f>
        <v>0</v>
      </c>
      <c r="O241" s="5" t="n">
        <f aca="false">MAX(K241-IF(M241="HP→OAK",N241,0),0)</f>
        <v>4.57142857142857</v>
      </c>
      <c r="P241" s="5" t="n">
        <f aca="false">MAX(L241-IF(M241="OAK→HP",N241,0),0)</f>
        <v>0.857142857142857</v>
      </c>
      <c r="Q241" s="5" t="n">
        <f aca="false">IF(O241&gt;0,CEILING(O241,ITEM_MASTER_CLEAN!G241),0)</f>
        <v>48</v>
      </c>
      <c r="R241" s="5" t="n">
        <f aca="false">IF(P241&gt;0,CEILING(P241,ITEM_MASTER_CLEAN!G241),0)</f>
        <v>48</v>
      </c>
      <c r="S241" s="5" t="n">
        <f aca="false">IF(G241=0,0,(1-MIN(E241/MAX(G241,1),1))*50+(1-MIN(F241/MAX(H241,1),1))*50)</f>
        <v>64.1025641025641</v>
      </c>
    </row>
    <row r="242" customFormat="false" ht="15" hidden="false" customHeight="false" outlineLevel="0" collapsed="false">
      <c r="A242" s="5" t="n">
        <f aca="false">ITEM_MASTER_CLEAN!A242</f>
        <v>241</v>
      </c>
      <c r="B242" s="5" t="n">
        <f aca="false">ITEM_MASTER_CLEAN!B242</f>
        <v>28376</v>
      </c>
      <c r="C242" s="5" t="str">
        <f aca="false">ITEM_MASTER_CLEAN!C242</f>
        <v>BAGS GARBAGE 35X50 X-STG BLK 100</v>
      </c>
      <c r="D242" s="12" t="n">
        <f aca="false">ITEM_MASTER_CLEAN!F242</f>
        <v>10.62</v>
      </c>
      <c r="E242" s="5" t="n">
        <f aca="false">ITEM_MASTER_CLEAN!H242</f>
        <v>1</v>
      </c>
      <c r="F242" s="5" t="n">
        <f aca="false">ITEM_MASTER_CLEAN!I242</f>
        <v>0</v>
      </c>
      <c r="G242" s="5" t="n">
        <f aca="false">PAR_LEVELS!J242</f>
        <v>3.71428571428571</v>
      </c>
      <c r="H242" s="5" t="n">
        <f aca="false">PAR_LEVELS!K242</f>
        <v>1.85714285714286</v>
      </c>
      <c r="I242" s="5" t="n">
        <f aca="false">MAX(E242-G242,0)</f>
        <v>0</v>
      </c>
      <c r="J242" s="5" t="n">
        <f aca="false">MAX(F242-H242,0)</f>
        <v>0</v>
      </c>
      <c r="K242" s="5" t="n">
        <f aca="false">MAX(G242-E242,0)</f>
        <v>2.71428571428571</v>
      </c>
      <c r="L242" s="5" t="n">
        <f aca="false">MAX(H242-F242,0)</f>
        <v>1.85714285714286</v>
      </c>
      <c r="M242" s="5" t="str">
        <f aca="false">IF(AND(I242&gt;TransferMin,L242&gt;0),"OAK→HP",IF(AND(J242&gt;TransferMin,K242&gt;0),"HP→OAK","None"))</f>
        <v>None</v>
      </c>
      <c r="N242" s="5" t="n">
        <f aca="false">IF(M242="OAK→HP",MIN(I242,L242),IF(M242="HP→OAK",MIN(J242,K242),0))</f>
        <v>0</v>
      </c>
      <c r="O242" s="5" t="n">
        <f aca="false">MAX(K242-IF(M242="HP→OAK",N242,0),0)</f>
        <v>2.71428571428571</v>
      </c>
      <c r="P242" s="5" t="n">
        <f aca="false">MAX(L242-IF(M242="OAK→HP",N242,0),0)</f>
        <v>1.85714285714286</v>
      </c>
      <c r="Q242" s="5" t="n">
        <f aca="false">IF(O242&gt;0,CEILING(O242,ITEM_MASTER_CLEAN!G242),0)</f>
        <v>3</v>
      </c>
      <c r="R242" s="5" t="n">
        <f aca="false">IF(P242&gt;0,CEILING(P242,ITEM_MASTER_CLEAN!G242),0)</f>
        <v>2</v>
      </c>
      <c r="S242" s="5" t="n">
        <f aca="false">IF(G242=0,0,(1-MIN(E242/MAX(G242,1),1))*50+(1-MIN(F242/MAX(H242,1),1))*50)</f>
        <v>86.5384615384615</v>
      </c>
    </row>
    <row r="243" customFormat="false" ht="15" hidden="false" customHeight="false" outlineLevel="0" collapsed="false">
      <c r="A243" s="5" t="n">
        <f aca="false">ITEM_MASTER_CLEAN!A243</f>
        <v>242</v>
      </c>
      <c r="B243" s="5" t="n">
        <f aca="false">ITEM_MASTER_CLEAN!B243</f>
        <v>28671</v>
      </c>
      <c r="C243" s="5" t="str">
        <f aca="false">ITEM_MASTER_CLEAN!C243</f>
        <v>PAD SCOUR #97 GRN 6"X9"   X10UN</v>
      </c>
      <c r="D243" s="12" t="n">
        <f aca="false">ITEM_MASTER_CLEAN!F243</f>
        <v>10.5</v>
      </c>
      <c r="E243" s="5" t="n">
        <f aca="false">ITEM_MASTER_CLEAN!H243</f>
        <v>1</v>
      </c>
      <c r="F243" s="5" t="n">
        <f aca="false">ITEM_MASTER_CLEAN!I243</f>
        <v>2</v>
      </c>
      <c r="G243" s="5" t="n">
        <f aca="false">PAR_LEVELS!J243</f>
        <v>5.57142857142857</v>
      </c>
      <c r="H243" s="5" t="n">
        <f aca="false">PAR_LEVELS!K243</f>
        <v>3.71428571428571</v>
      </c>
      <c r="I243" s="5" t="n">
        <f aca="false">MAX(E243-G243,0)</f>
        <v>0</v>
      </c>
      <c r="J243" s="5" t="n">
        <f aca="false">MAX(F243-H243,0)</f>
        <v>0</v>
      </c>
      <c r="K243" s="5" t="n">
        <f aca="false">MAX(G243-E243,0)</f>
        <v>4.57142857142857</v>
      </c>
      <c r="L243" s="5" t="n">
        <f aca="false">MAX(H243-F243,0)</f>
        <v>1.71428571428571</v>
      </c>
      <c r="M243" s="5" t="str">
        <f aca="false">IF(AND(I243&gt;TransferMin,L243&gt;0),"OAK→HP",IF(AND(J243&gt;TransferMin,K243&gt;0),"HP→OAK","None"))</f>
        <v>None</v>
      </c>
      <c r="N243" s="5" t="n">
        <f aca="false">IF(M243="OAK→HP",MIN(I243,L243),IF(M243="HP→OAK",MIN(J243,K243),0))</f>
        <v>0</v>
      </c>
      <c r="O243" s="5" t="n">
        <f aca="false">MAX(K243-IF(M243="HP→OAK",N243,0),0)</f>
        <v>4.57142857142857</v>
      </c>
      <c r="P243" s="5" t="n">
        <f aca="false">MAX(L243-IF(M243="OAK→HP",N243,0),0)</f>
        <v>1.71428571428571</v>
      </c>
      <c r="Q243" s="5" t="n">
        <f aca="false">IF(O243&gt;0,CEILING(O243,ITEM_MASTER_CLEAN!G243),0)</f>
        <v>5</v>
      </c>
      <c r="R243" s="5" t="n">
        <f aca="false">IF(P243&gt;0,CEILING(P243,ITEM_MASTER_CLEAN!G243),0)</f>
        <v>2</v>
      </c>
      <c r="S243" s="5" t="n">
        <f aca="false">IF(G243=0,0,(1-MIN(E243/MAX(G243,1),1))*50+(1-MIN(F243/MAX(H243,1),1))*50)</f>
        <v>64.1025641025641</v>
      </c>
    </row>
    <row r="244" customFormat="false" ht="15" hidden="false" customHeight="false" outlineLevel="0" collapsed="false">
      <c r="A244" s="5" t="n">
        <f aca="false">ITEM_MASTER_CLEAN!A244</f>
        <v>243</v>
      </c>
      <c r="B244" s="5" t="n">
        <f aca="false">ITEM_MASTER_CLEAN!B244</f>
        <v>27499</v>
      </c>
      <c r="C244" s="5" t="str">
        <f aca="false">ITEM_MASTER_CLEAN!C244</f>
        <v>MTY SOAP HAND FM ALLPUR 6X1.3L</v>
      </c>
      <c r="D244" s="12" t="n">
        <f aca="false">ITEM_MASTER_CLEAN!F244</f>
        <v>40.44</v>
      </c>
      <c r="E244" s="5" t="n">
        <f aca="false">ITEM_MASTER_CLEAN!H244</f>
        <v>1</v>
      </c>
      <c r="F244" s="5" t="n">
        <f aca="false">ITEM_MASTER_CLEAN!I244</f>
        <v>1</v>
      </c>
      <c r="G244" s="5" t="n">
        <f aca="false">PAR_LEVELS!J244</f>
        <v>1.85714285714286</v>
      </c>
      <c r="H244" s="5" t="n">
        <f aca="false">PAR_LEVELS!K244</f>
        <v>5.57142857142857</v>
      </c>
      <c r="I244" s="5" t="n">
        <f aca="false">MAX(E244-G244,0)</f>
        <v>0</v>
      </c>
      <c r="J244" s="5" t="n">
        <f aca="false">MAX(F244-H244,0)</f>
        <v>0</v>
      </c>
      <c r="K244" s="5" t="n">
        <f aca="false">MAX(G244-E244,0)</f>
        <v>0.857142857142857</v>
      </c>
      <c r="L244" s="5" t="n">
        <f aca="false">MAX(H244-F244,0)</f>
        <v>4.57142857142857</v>
      </c>
      <c r="M244" s="5" t="str">
        <f aca="false">IF(AND(I244&gt;TransferMin,L244&gt;0),"OAK→HP",IF(AND(J244&gt;TransferMin,K244&gt;0),"HP→OAK","None"))</f>
        <v>None</v>
      </c>
      <c r="N244" s="5" t="n">
        <f aca="false">IF(M244="OAK→HP",MIN(I244,L244),IF(M244="HP→OAK",MIN(J244,K244),0))</f>
        <v>0</v>
      </c>
      <c r="O244" s="5" t="n">
        <f aca="false">MAX(K244-IF(M244="HP→OAK",N244,0),0)</f>
        <v>0.857142857142857</v>
      </c>
      <c r="P244" s="5" t="n">
        <f aca="false">MAX(L244-IF(M244="OAK→HP",N244,0),0)</f>
        <v>4.57142857142857</v>
      </c>
      <c r="Q244" s="5" t="n">
        <f aca="false">IF(O244&gt;0,CEILING(O244,ITEM_MASTER_CLEAN!G244),0)</f>
        <v>6</v>
      </c>
      <c r="R244" s="5" t="n">
        <f aca="false">IF(P244&gt;0,CEILING(P244,ITEM_MASTER_CLEAN!G244),0)</f>
        <v>6</v>
      </c>
      <c r="S244" s="5" t="n">
        <f aca="false">IF(G244=0,0,(1-MIN(E244/MAX(G244,1),1))*50+(1-MIN(F244/MAX(H244,1),1))*50)</f>
        <v>64.1025641025641</v>
      </c>
    </row>
    <row r="245" customFormat="false" ht="15" hidden="false" customHeight="false" outlineLevel="0" collapsed="false">
      <c r="A245" s="5" t="n">
        <f aca="false">ITEM_MASTER_CLEAN!A245</f>
        <v>244</v>
      </c>
      <c r="B245" s="5" t="n">
        <f aca="false">ITEM_MASTER_CLEAN!B245</f>
        <v>28528</v>
      </c>
      <c r="C245" s="5" t="str">
        <f aca="false">ITEM_MASTER_CLEAN!C245</f>
        <v>9 MTY CLNR GLASS LITE TCH RTU12X946</v>
      </c>
      <c r="D245" s="12" t="n">
        <f aca="false">ITEM_MASTER_CLEAN!F245</f>
        <v>52.06</v>
      </c>
      <c r="E245" s="5" t="n">
        <f aca="false">ITEM_MASTER_CLEAN!H245</f>
        <v>1</v>
      </c>
      <c r="F245" s="5" t="n">
        <f aca="false">ITEM_MASTER_CLEAN!I245</f>
        <v>1</v>
      </c>
      <c r="G245" s="5" t="n">
        <f aca="false">PAR_LEVELS!J245</f>
        <v>1.85714285714286</v>
      </c>
      <c r="H245" s="5" t="n">
        <f aca="false">PAR_LEVELS!K245</f>
        <v>1.85714285714286</v>
      </c>
      <c r="I245" s="5" t="n">
        <f aca="false">MAX(E245-G245,0)</f>
        <v>0</v>
      </c>
      <c r="J245" s="5" t="n">
        <f aca="false">MAX(F245-H245,0)</f>
        <v>0</v>
      </c>
      <c r="K245" s="5" t="n">
        <f aca="false">MAX(G245-E245,0)</f>
        <v>0.857142857142857</v>
      </c>
      <c r="L245" s="5" t="n">
        <f aca="false">MAX(H245-F245,0)</f>
        <v>0.857142857142857</v>
      </c>
      <c r="M245" s="5" t="str">
        <f aca="false">IF(AND(I245&gt;TransferMin,L245&gt;0),"OAK→HP",IF(AND(J245&gt;TransferMin,K245&gt;0),"HP→OAK","None"))</f>
        <v>None</v>
      </c>
      <c r="N245" s="5" t="n">
        <f aca="false">IF(M245="OAK→HP",MIN(I245,L245),IF(M245="HP→OAK",MIN(J245,K245),0))</f>
        <v>0</v>
      </c>
      <c r="O245" s="5" t="n">
        <f aca="false">MAX(K245-IF(M245="HP→OAK",N245,0),0)</f>
        <v>0.857142857142857</v>
      </c>
      <c r="P245" s="5" t="n">
        <f aca="false">MAX(L245-IF(M245="OAK→HP",N245,0),0)</f>
        <v>0.857142857142857</v>
      </c>
      <c r="Q245" s="5" t="n">
        <f aca="false">IF(O245&gt;0,CEILING(O245,ITEM_MASTER_CLEAN!G245),0)</f>
        <v>12</v>
      </c>
      <c r="R245" s="5" t="n">
        <f aca="false">IF(P245&gt;0,CEILING(P245,ITEM_MASTER_CLEAN!G245),0)</f>
        <v>12</v>
      </c>
      <c r="S245" s="5" t="n">
        <f aca="false">IF(G245=0,0,(1-MIN(E245/MAX(G245,1),1))*50+(1-MIN(F245/MAX(H245,1),1))*50)</f>
        <v>46.1538461538461</v>
      </c>
    </row>
    <row r="246" customFormat="false" ht="15" hidden="false" customHeight="false" outlineLevel="0" collapsed="false">
      <c r="A246" s="5" t="n">
        <f aca="false">ITEM_MASTER_CLEAN!A246</f>
        <v>245</v>
      </c>
      <c r="B246" s="5" t="n">
        <f aca="false">ITEM_MASTER_CLEAN!B246</f>
        <v>27497</v>
      </c>
      <c r="C246" s="5" t="str">
        <f aca="false">ITEM_MASTER_CLEAN!C246</f>
        <v>MTY DEGREASR ORANG STUFF  2X3.78L</v>
      </c>
      <c r="D246" s="12" t="n">
        <f aca="false">ITEM_MASTER_CLEAN!F246</f>
        <v>21.31</v>
      </c>
      <c r="E246" s="5" t="n">
        <f aca="false">ITEM_MASTER_CLEAN!H246</f>
        <v>1</v>
      </c>
      <c r="F246" s="5" t="n">
        <f aca="false">ITEM_MASTER_CLEAN!I246</f>
        <v>1</v>
      </c>
      <c r="G246" s="5" t="n">
        <f aca="false">PAR_LEVELS!J246</f>
        <v>5.57142857142857</v>
      </c>
      <c r="H246" s="5" t="n">
        <f aca="false">PAR_LEVELS!K246</f>
        <v>1.85714285714286</v>
      </c>
      <c r="I246" s="5" t="n">
        <f aca="false">MAX(E246-G246,0)</f>
        <v>0</v>
      </c>
      <c r="J246" s="5" t="n">
        <f aca="false">MAX(F246-H246,0)</f>
        <v>0</v>
      </c>
      <c r="K246" s="5" t="n">
        <f aca="false">MAX(G246-E246,0)</f>
        <v>4.57142857142857</v>
      </c>
      <c r="L246" s="5" t="n">
        <f aca="false">MAX(H246-F246,0)</f>
        <v>0.857142857142857</v>
      </c>
      <c r="M246" s="5" t="str">
        <f aca="false">IF(AND(I246&gt;TransferMin,L246&gt;0),"OAK→HP",IF(AND(J246&gt;TransferMin,K246&gt;0),"HP→OAK","None"))</f>
        <v>None</v>
      </c>
      <c r="N246" s="5" t="n">
        <f aca="false">IF(M246="OAK→HP",MIN(I246,L246),IF(M246="HP→OAK",MIN(J246,K246),0))</f>
        <v>0</v>
      </c>
      <c r="O246" s="5" t="n">
        <f aca="false">MAX(K246-IF(M246="HP→OAK",N246,0),0)</f>
        <v>4.57142857142857</v>
      </c>
      <c r="P246" s="5" t="n">
        <f aca="false">MAX(L246-IF(M246="OAK→HP",N246,0),0)</f>
        <v>0.857142857142857</v>
      </c>
      <c r="Q246" s="5" t="n">
        <f aca="false">IF(O246&gt;0,CEILING(O246,ITEM_MASTER_CLEAN!G246),0)</f>
        <v>6</v>
      </c>
      <c r="R246" s="5" t="n">
        <f aca="false">IF(P246&gt;0,CEILING(P246,ITEM_MASTER_CLEAN!G246),0)</f>
        <v>2</v>
      </c>
      <c r="S246" s="5" t="n">
        <f aca="false">IF(G246=0,0,(1-MIN(E246/MAX(G246,1),1))*50+(1-MIN(F246/MAX(H246,1),1))*50)</f>
        <v>64.1025641025641</v>
      </c>
    </row>
    <row r="247" customFormat="false" ht="15" hidden="false" customHeight="false" outlineLevel="0" collapsed="false">
      <c r="A247" s="5" t="n">
        <f aca="false">ITEM_MASTER_CLEAN!A247</f>
        <v>246</v>
      </c>
      <c r="B247" s="5" t="n">
        <f aca="false">ITEM_MASTER_CLEAN!B247</f>
        <v>27496</v>
      </c>
      <c r="C247" s="5" t="str">
        <f aca="false">ITEM_MASTER_CLEAN!C247</f>
        <v>MTY SANITI SANI-STUFF CONC 2X3.78L</v>
      </c>
      <c r="D247" s="12" t="n">
        <f aca="false">ITEM_MASTER_CLEAN!F247</f>
        <v>46.63</v>
      </c>
      <c r="E247" s="5" t="n">
        <f aca="false">ITEM_MASTER_CLEAN!H247</f>
        <v>1</v>
      </c>
      <c r="F247" s="5" t="n">
        <f aca="false">ITEM_MASTER_CLEAN!I247</f>
        <v>0</v>
      </c>
      <c r="G247" s="5" t="n">
        <f aca="false">PAR_LEVELS!J247</f>
        <v>5.57142857142857</v>
      </c>
      <c r="H247" s="5" t="n">
        <f aca="false">PAR_LEVELS!K247</f>
        <v>5.57142857142857</v>
      </c>
      <c r="I247" s="5" t="n">
        <f aca="false">MAX(E247-G247,0)</f>
        <v>0</v>
      </c>
      <c r="J247" s="5" t="n">
        <f aca="false">MAX(F247-H247,0)</f>
        <v>0</v>
      </c>
      <c r="K247" s="5" t="n">
        <f aca="false">MAX(G247-E247,0)</f>
        <v>4.57142857142857</v>
      </c>
      <c r="L247" s="5" t="n">
        <f aca="false">MAX(H247-F247,0)</f>
        <v>5.57142857142857</v>
      </c>
      <c r="M247" s="5" t="str">
        <f aca="false">IF(AND(I247&gt;TransferMin,L247&gt;0),"OAK→HP",IF(AND(J247&gt;TransferMin,K247&gt;0),"HP→OAK","None"))</f>
        <v>None</v>
      </c>
      <c r="N247" s="5" t="n">
        <f aca="false">IF(M247="OAK→HP",MIN(I247,L247),IF(M247="HP→OAK",MIN(J247,K247),0))</f>
        <v>0</v>
      </c>
      <c r="O247" s="5" t="n">
        <f aca="false">MAX(K247-IF(M247="HP→OAK",N247,0),0)</f>
        <v>4.57142857142857</v>
      </c>
      <c r="P247" s="5" t="n">
        <f aca="false">MAX(L247-IF(M247="OAK→HP",N247,0),0)</f>
        <v>5.57142857142857</v>
      </c>
      <c r="Q247" s="5" t="n">
        <f aca="false">IF(O247&gt;0,CEILING(O247,ITEM_MASTER_CLEAN!G247),0)</f>
        <v>6</v>
      </c>
      <c r="R247" s="5" t="n">
        <f aca="false">IF(P247&gt;0,CEILING(P247,ITEM_MASTER_CLEAN!G247),0)</f>
        <v>6</v>
      </c>
      <c r="S247" s="5" t="n">
        <f aca="false">IF(G247=0,0,(1-MIN(E247/MAX(G247,1),1))*50+(1-MIN(F247/MAX(H247,1),1))*50)</f>
        <v>91.025641025641</v>
      </c>
    </row>
    <row r="248" customFormat="false" ht="15" hidden="false" customHeight="false" outlineLevel="0" collapsed="false">
      <c r="A248" s="5" t="n">
        <f aca="false">ITEM_MASTER_CLEAN!A248</f>
        <v>247</v>
      </c>
      <c r="B248" s="5" t="n">
        <f aca="false">ITEM_MASTER_CLEAN!B248</f>
        <v>27498</v>
      </c>
      <c r="C248" s="5" t="str">
        <f aca="false">ITEM_MASTER_CLEAN!C248</f>
        <v>MTY DET YELLOW STUFF POT/PAN 2X3.78</v>
      </c>
      <c r="D248" s="12" t="n">
        <f aca="false">ITEM_MASTER_CLEAN!F248</f>
        <v>39.77</v>
      </c>
      <c r="E248" s="5" t="n">
        <f aca="false">ITEM_MASTER_CLEAN!H248</f>
        <v>0</v>
      </c>
      <c r="F248" s="5" t="n">
        <f aca="false">ITEM_MASTER_CLEAN!I248</f>
        <v>0</v>
      </c>
      <c r="G248" s="5" t="n">
        <f aca="false">PAR_LEVELS!J248</f>
        <v>5.57142857142857</v>
      </c>
      <c r="H248" s="5" t="n">
        <f aca="false">PAR_LEVELS!K248</f>
        <v>5.57142857142857</v>
      </c>
      <c r="I248" s="5" t="n">
        <f aca="false">MAX(E248-G248,0)</f>
        <v>0</v>
      </c>
      <c r="J248" s="5" t="n">
        <f aca="false">MAX(F248-H248,0)</f>
        <v>0</v>
      </c>
      <c r="K248" s="5" t="n">
        <f aca="false">MAX(G248-E248,0)</f>
        <v>5.57142857142857</v>
      </c>
      <c r="L248" s="5" t="n">
        <f aca="false">MAX(H248-F248,0)</f>
        <v>5.57142857142857</v>
      </c>
      <c r="M248" s="5" t="str">
        <f aca="false">IF(AND(I248&gt;TransferMin,L248&gt;0),"OAK→HP",IF(AND(J248&gt;TransferMin,K248&gt;0),"HP→OAK","None"))</f>
        <v>None</v>
      </c>
      <c r="N248" s="5" t="n">
        <f aca="false">IF(M248="OAK→HP",MIN(I248,L248),IF(M248="HP→OAK",MIN(J248,K248),0))</f>
        <v>0</v>
      </c>
      <c r="O248" s="5" t="n">
        <f aca="false">MAX(K248-IF(M248="HP→OAK",N248,0),0)</f>
        <v>5.57142857142857</v>
      </c>
      <c r="P248" s="5" t="n">
        <f aca="false">MAX(L248-IF(M248="OAK→HP",N248,0),0)</f>
        <v>5.57142857142857</v>
      </c>
      <c r="Q248" s="5" t="n">
        <f aca="false">IF(O248&gt;0,CEILING(O248,ITEM_MASTER_CLEAN!G248),0)</f>
        <v>6</v>
      </c>
      <c r="R248" s="5" t="n">
        <f aca="false">IF(P248&gt;0,CEILING(P248,ITEM_MASTER_CLEAN!G248),0)</f>
        <v>6</v>
      </c>
      <c r="S248" s="5" t="n">
        <f aca="false">IF(G248=0,0,(1-MIN(E248/MAX(G248,1),1))*50+(1-MIN(F248/MAX(H248,1),1))*50)</f>
        <v>100</v>
      </c>
    </row>
    <row r="249" customFormat="false" ht="23.85" hidden="false" customHeight="false" outlineLevel="0" collapsed="false">
      <c r="A249" s="5" t="n">
        <f aca="false">ITEM_MASTER_CLEAN!A249</f>
        <v>248</v>
      </c>
      <c r="B249" s="5" t="n">
        <f aca="false">ITEM_MASTER_CLEAN!B249</f>
        <v>28527</v>
      </c>
      <c r="C249" s="5" t="str">
        <f aca="false">ITEM_MASTER_CLEAN!C249</f>
        <v>9 MTY OVEN CLEANGEL HOTSTUF 6X946ML</v>
      </c>
      <c r="D249" s="12" t="n">
        <f aca="false">ITEM_MASTER_CLEAN!F249</f>
        <v>28.13</v>
      </c>
      <c r="E249" s="5" t="n">
        <f aca="false">ITEM_MASTER_CLEAN!H249</f>
        <v>1</v>
      </c>
      <c r="F249" s="5" t="n">
        <f aca="false">ITEM_MASTER_CLEAN!I249</f>
        <v>1</v>
      </c>
      <c r="G249" s="5" t="n">
        <f aca="false">PAR_LEVELS!J249</f>
        <v>1.85714285714286</v>
      </c>
      <c r="H249" s="5" t="n">
        <f aca="false">PAR_LEVELS!K249</f>
        <v>5.57142857142857</v>
      </c>
      <c r="I249" s="5" t="n">
        <f aca="false">MAX(E249-G249,0)</f>
        <v>0</v>
      </c>
      <c r="J249" s="5" t="n">
        <f aca="false">MAX(F249-H249,0)</f>
        <v>0</v>
      </c>
      <c r="K249" s="5" t="n">
        <f aca="false">MAX(G249-E249,0)</f>
        <v>0.857142857142857</v>
      </c>
      <c r="L249" s="5" t="n">
        <f aca="false">MAX(H249-F249,0)</f>
        <v>4.57142857142857</v>
      </c>
      <c r="M249" s="5" t="str">
        <f aca="false">IF(AND(I249&gt;TransferMin,L249&gt;0),"OAK→HP",IF(AND(J249&gt;TransferMin,K249&gt;0),"HP→OAK","None"))</f>
        <v>None</v>
      </c>
      <c r="N249" s="5" t="n">
        <f aca="false">IF(M249="OAK→HP",MIN(I249,L249),IF(M249="HP→OAK",MIN(J249,K249),0))</f>
        <v>0</v>
      </c>
      <c r="O249" s="5" t="n">
        <f aca="false">MAX(K249-IF(M249="HP→OAK",N249,0),0)</f>
        <v>0.857142857142857</v>
      </c>
      <c r="P249" s="5" t="n">
        <f aca="false">MAX(L249-IF(M249="OAK→HP",N249,0),0)</f>
        <v>4.57142857142857</v>
      </c>
      <c r="Q249" s="5" t="n">
        <f aca="false">IF(O249&gt;0,CEILING(O249,ITEM_MASTER_CLEAN!G249),0)</f>
        <v>6</v>
      </c>
      <c r="R249" s="5" t="n">
        <f aca="false">IF(P249&gt;0,CEILING(P249,ITEM_MASTER_CLEAN!G249),0)</f>
        <v>6</v>
      </c>
      <c r="S249" s="5" t="n">
        <f aca="false">IF(G249=0,0,(1-MIN(E249/MAX(G249,1),1))*50+(1-MIN(F249/MAX(H249,1),1))*50)</f>
        <v>64.1025641025641</v>
      </c>
    </row>
    <row r="250" customFormat="false" ht="15" hidden="false" customHeight="false" outlineLevel="0" collapsed="false">
      <c r="A250" s="5" t="n">
        <f aca="false">ITEM_MASTER_CLEAN!A250</f>
        <v>249</v>
      </c>
      <c r="B250" s="5" t="n">
        <f aca="false">ITEM_MASTER_CLEAN!B250</f>
        <v>28524</v>
      </c>
      <c r="C250" s="5" t="str">
        <f aca="false">ITEM_MASTER_CLEAN!C250</f>
        <v>9 MTY SANI-STUFF NO RINSE 6X946ML</v>
      </c>
      <c r="D250" s="12" t="n">
        <f aca="false">ITEM_MASTER_CLEAN!F250</f>
        <v>53.83</v>
      </c>
      <c r="E250" s="5" t="n">
        <f aca="false">ITEM_MASTER_CLEAN!H250</f>
        <v>0</v>
      </c>
      <c r="F250" s="5" t="n">
        <f aca="false">ITEM_MASTER_CLEAN!I250</f>
        <v>0</v>
      </c>
      <c r="G250" s="5" t="n">
        <f aca="false">PAR_LEVELS!J250</f>
        <v>5.57142857142857</v>
      </c>
      <c r="H250" s="5" t="n">
        <f aca="false">PAR_LEVELS!K250</f>
        <v>1.85714285714286</v>
      </c>
      <c r="I250" s="5" t="n">
        <f aca="false">MAX(E250-G250,0)</f>
        <v>0</v>
      </c>
      <c r="J250" s="5" t="n">
        <f aca="false">MAX(F250-H250,0)</f>
        <v>0</v>
      </c>
      <c r="K250" s="5" t="n">
        <f aca="false">MAX(G250-E250,0)</f>
        <v>5.57142857142857</v>
      </c>
      <c r="L250" s="5" t="n">
        <f aca="false">MAX(H250-F250,0)</f>
        <v>1.85714285714286</v>
      </c>
      <c r="M250" s="5" t="str">
        <f aca="false">IF(AND(I250&gt;TransferMin,L250&gt;0),"OAK→HP",IF(AND(J250&gt;TransferMin,K250&gt;0),"HP→OAK","None"))</f>
        <v>None</v>
      </c>
      <c r="N250" s="5" t="n">
        <f aca="false">IF(M250="OAK→HP",MIN(I250,L250),IF(M250="HP→OAK",MIN(J250,K250),0))</f>
        <v>0</v>
      </c>
      <c r="O250" s="5" t="n">
        <f aca="false">MAX(K250-IF(M250="HP→OAK",N250,0),0)</f>
        <v>5.57142857142857</v>
      </c>
      <c r="P250" s="5" t="n">
        <f aca="false">MAX(L250-IF(M250="OAK→HP",N250,0),0)</f>
        <v>1.85714285714286</v>
      </c>
      <c r="Q250" s="5" t="n">
        <f aca="false">IF(O250&gt;0,CEILING(O250,ITEM_MASTER_CLEAN!G250),0)</f>
        <v>6</v>
      </c>
      <c r="R250" s="5" t="n">
        <f aca="false">IF(P250&gt;0,CEILING(P250,ITEM_MASTER_CLEAN!G250),0)</f>
        <v>6</v>
      </c>
      <c r="S250" s="5" t="n">
        <f aca="false">IF(G250=0,0,(1-MIN(E250/MAX(G250,1),1))*50+(1-MIN(F250/MAX(H250,1),1))*50)</f>
        <v>100</v>
      </c>
    </row>
    <row r="251" customFormat="false" ht="15" hidden="false" customHeight="false" outlineLevel="0" collapsed="false">
      <c r="A251" s="5" t="n">
        <f aca="false">ITEM_MASTER_CLEAN!A251</f>
        <v>250</v>
      </c>
      <c r="B251" s="5" t="n">
        <f aca="false">ITEM_MASTER_CLEAN!B251</f>
        <v>28531</v>
      </c>
      <c r="C251" s="5" t="str">
        <f aca="false">ITEM_MASTER_CLEAN!C251</f>
        <v>9 MTY QUAT TEST PAP SANIT QT-10 X1</v>
      </c>
      <c r="D251" s="12" t="n">
        <f aca="false">ITEM_MASTER_CLEAN!F251</f>
        <v>16.15</v>
      </c>
      <c r="E251" s="5" t="n">
        <f aca="false">ITEM_MASTER_CLEAN!H251</f>
        <v>1</v>
      </c>
      <c r="F251" s="5" t="n">
        <f aca="false">ITEM_MASTER_CLEAN!I251</f>
        <v>1</v>
      </c>
      <c r="G251" s="5" t="n">
        <f aca="false">PAR_LEVELS!J251</f>
        <v>1.85714285714286</v>
      </c>
      <c r="H251" s="5" t="n">
        <f aca="false">PAR_LEVELS!K251</f>
        <v>1.85714285714286</v>
      </c>
      <c r="I251" s="5" t="n">
        <f aca="false">MAX(E251-G251,0)</f>
        <v>0</v>
      </c>
      <c r="J251" s="5" t="n">
        <f aca="false">MAX(F251-H251,0)</f>
        <v>0</v>
      </c>
      <c r="K251" s="5" t="n">
        <f aca="false">MAX(G251-E251,0)</f>
        <v>0.857142857142857</v>
      </c>
      <c r="L251" s="5" t="n">
        <f aca="false">MAX(H251-F251,0)</f>
        <v>0.857142857142857</v>
      </c>
      <c r="M251" s="5" t="str">
        <f aca="false">IF(AND(I251&gt;TransferMin,L251&gt;0),"OAK→HP",IF(AND(J251&gt;TransferMin,K251&gt;0),"HP→OAK","None"))</f>
        <v>None</v>
      </c>
      <c r="N251" s="5" t="n">
        <f aca="false">IF(M251="OAK→HP",MIN(I251,L251),IF(M251="HP→OAK",MIN(J251,K251),0))</f>
        <v>0</v>
      </c>
      <c r="O251" s="5" t="n">
        <f aca="false">MAX(K251-IF(M251="HP→OAK",N251,0),0)</f>
        <v>0.857142857142857</v>
      </c>
      <c r="P251" s="5" t="n">
        <f aca="false">MAX(L251-IF(M251="OAK→HP",N251,0),0)</f>
        <v>0.857142857142857</v>
      </c>
      <c r="Q251" s="5" t="n">
        <f aca="false">IF(O251&gt;0,CEILING(O251,ITEM_MASTER_CLEAN!G251),0)</f>
        <v>1</v>
      </c>
      <c r="R251" s="5" t="n">
        <f aca="false">IF(P251&gt;0,CEILING(P251,ITEM_MASTER_CLEAN!G251),0)</f>
        <v>1</v>
      </c>
      <c r="S251" s="5" t="n">
        <f aca="false">IF(G251=0,0,(1-MIN(E251/MAX(G251,1),1))*50+(1-MIN(F251/MAX(H251,1),1))*50)</f>
        <v>46.1538461538461</v>
      </c>
    </row>
    <row r="252" customFormat="false" ht="15" hidden="false" customHeight="false" outlineLevel="0" collapsed="false">
      <c r="A252" s="5" t="n">
        <f aca="false">ITEM_MASTER_CLEAN!A252</f>
        <v>251</v>
      </c>
      <c r="B252" s="5" t="n">
        <f aca="false">ITEM_MASTER_CLEAN!B252</f>
        <v>27495</v>
      </c>
      <c r="C252" s="5" t="str">
        <f aca="false">ITEM_MASTER_CLEAN!C252</f>
        <v>MTY RED SANITIZER STAT PAIL 6QT X1</v>
      </c>
      <c r="D252" s="12" t="n">
        <f aca="false">ITEM_MASTER_CLEAN!F252</f>
        <v>16.28</v>
      </c>
      <c r="E252" s="5" t="n">
        <f aca="false">ITEM_MASTER_CLEAN!H252</f>
        <v>0</v>
      </c>
      <c r="F252" s="5" t="n">
        <f aca="false">ITEM_MASTER_CLEAN!I252</f>
        <v>0</v>
      </c>
      <c r="G252" s="5" t="n">
        <f aca="false">PAR_LEVELS!J252</f>
        <v>5.57142857142857</v>
      </c>
      <c r="H252" s="5" t="n">
        <f aca="false">PAR_LEVELS!K252</f>
        <v>5.57142857142857</v>
      </c>
      <c r="I252" s="5" t="n">
        <f aca="false">MAX(E252-G252,0)</f>
        <v>0</v>
      </c>
      <c r="J252" s="5" t="n">
        <f aca="false">MAX(F252-H252,0)</f>
        <v>0</v>
      </c>
      <c r="K252" s="5" t="n">
        <f aca="false">MAX(G252-E252,0)</f>
        <v>5.57142857142857</v>
      </c>
      <c r="L252" s="5" t="n">
        <f aca="false">MAX(H252-F252,0)</f>
        <v>5.57142857142857</v>
      </c>
      <c r="M252" s="5" t="str">
        <f aca="false">IF(AND(I252&gt;TransferMin,L252&gt;0),"OAK→HP",IF(AND(J252&gt;TransferMin,K252&gt;0),"HP→OAK","None"))</f>
        <v>None</v>
      </c>
      <c r="N252" s="5" t="n">
        <f aca="false">IF(M252="OAK→HP",MIN(I252,L252),IF(M252="HP→OAK",MIN(J252,K252),0))</f>
        <v>0</v>
      </c>
      <c r="O252" s="5" t="n">
        <f aca="false">MAX(K252-IF(M252="HP→OAK",N252,0),0)</f>
        <v>5.57142857142857</v>
      </c>
      <c r="P252" s="5" t="n">
        <f aca="false">MAX(L252-IF(M252="OAK→HP",N252,0),0)</f>
        <v>5.57142857142857</v>
      </c>
      <c r="Q252" s="5" t="n">
        <f aca="false">IF(O252&gt;0,CEILING(O252,ITEM_MASTER_CLEAN!G252),0)</f>
        <v>6</v>
      </c>
      <c r="R252" s="5" t="n">
        <f aca="false">IF(P252&gt;0,CEILING(P252,ITEM_MASTER_CLEAN!G252),0)</f>
        <v>6</v>
      </c>
      <c r="S252" s="5" t="n">
        <f aca="false">IF(G252=0,0,(1-MIN(E252/MAX(G252,1),1))*50+(1-MIN(F252/MAX(H252,1),1))*50)</f>
        <v>100</v>
      </c>
    </row>
    <row r="253" customFormat="false" ht="15" hidden="false" customHeight="false" outlineLevel="0" collapsed="false">
      <c r="A253" s="5" t="n">
        <f aca="false">ITEM_MASTER_CLEAN!A253</f>
        <v>252</v>
      </c>
      <c r="B253" s="5" t="n">
        <f aca="false">ITEM_MASTER_CLEAN!B253</f>
        <v>27002</v>
      </c>
      <c r="C253" s="5" t="str">
        <f aca="false">ITEM_MASTER_CLEAN!C253</f>
        <v>MTY BTL SPRAYER D6044848 1UN</v>
      </c>
      <c r="D253" s="12" t="n">
        <f aca="false">ITEM_MASTER_CLEAN!F253</f>
        <v>5.17</v>
      </c>
      <c r="E253" s="5" t="n">
        <f aca="false">ITEM_MASTER_CLEAN!H253</f>
        <v>1</v>
      </c>
      <c r="F253" s="5" t="n">
        <f aca="false">ITEM_MASTER_CLEAN!I253</f>
        <v>1</v>
      </c>
      <c r="G253" s="5" t="n">
        <f aca="false">PAR_LEVELS!J253</f>
        <v>1.85714285714286</v>
      </c>
      <c r="H253" s="5" t="n">
        <f aca="false">PAR_LEVELS!K253</f>
        <v>5.57142857142857</v>
      </c>
      <c r="I253" s="5" t="n">
        <f aca="false">MAX(E253-G253,0)</f>
        <v>0</v>
      </c>
      <c r="J253" s="5" t="n">
        <f aca="false">MAX(F253-H253,0)</f>
        <v>0</v>
      </c>
      <c r="K253" s="5" t="n">
        <f aca="false">MAX(G253-E253,0)</f>
        <v>0.857142857142857</v>
      </c>
      <c r="L253" s="5" t="n">
        <f aca="false">MAX(H253-F253,0)</f>
        <v>4.57142857142857</v>
      </c>
      <c r="M253" s="5" t="str">
        <f aca="false">IF(AND(I253&gt;TransferMin,L253&gt;0),"OAK→HP",IF(AND(J253&gt;TransferMin,K253&gt;0),"HP→OAK","None"))</f>
        <v>None</v>
      </c>
      <c r="N253" s="5" t="n">
        <f aca="false">IF(M253="OAK→HP",MIN(I253,L253),IF(M253="HP→OAK",MIN(J253,K253),0))</f>
        <v>0</v>
      </c>
      <c r="O253" s="5" t="n">
        <f aca="false">MAX(K253-IF(M253="HP→OAK",N253,0),0)</f>
        <v>0.857142857142857</v>
      </c>
      <c r="P253" s="5" t="n">
        <f aca="false">MAX(L253-IF(M253="OAK→HP",N253,0),0)</f>
        <v>4.57142857142857</v>
      </c>
      <c r="Q253" s="5" t="n">
        <f aca="false">IF(O253&gt;0,CEILING(O253,ITEM_MASTER_CLEAN!G253),0)</f>
        <v>1</v>
      </c>
      <c r="R253" s="5" t="n">
        <f aca="false">IF(P253&gt;0,CEILING(P253,ITEM_MASTER_CLEAN!G253),0)</f>
        <v>5</v>
      </c>
      <c r="S253" s="5" t="n">
        <f aca="false">IF(G253=0,0,(1-MIN(E253/MAX(G253,1),1))*50+(1-MIN(F253/MAX(H253,1),1))*50)</f>
        <v>64.1025641025641</v>
      </c>
    </row>
    <row r="254" customFormat="false" ht="15" hidden="false" customHeight="false" outlineLevel="0" collapsed="false">
      <c r="A254" s="5" t="n">
        <f aca="false">ITEM_MASTER_CLEAN!A254</f>
        <v>253</v>
      </c>
      <c r="B254" s="5" t="n">
        <f aca="false">ITEM_MASTER_CLEAN!B254</f>
        <v>27003</v>
      </c>
      <c r="C254" s="5" t="str">
        <f aca="false">ITEM_MASTER_CLEAN!C254</f>
        <v>MTY TRIGGER SPRAYER HEAD 1UN</v>
      </c>
      <c r="D254" s="12" t="n">
        <f aca="false">ITEM_MASTER_CLEAN!F254</f>
        <v>4.36</v>
      </c>
      <c r="E254" s="5" t="n">
        <f aca="false">ITEM_MASTER_CLEAN!H254</f>
        <v>1</v>
      </c>
      <c r="F254" s="5" t="n">
        <f aca="false">ITEM_MASTER_CLEAN!I254</f>
        <v>1</v>
      </c>
      <c r="G254" s="5" t="n">
        <f aca="false">PAR_LEVELS!J254</f>
        <v>5.57142857142857</v>
      </c>
      <c r="H254" s="5" t="n">
        <f aca="false">PAR_LEVELS!K254</f>
        <v>1.85714285714286</v>
      </c>
      <c r="I254" s="5" t="n">
        <f aca="false">MAX(E254-G254,0)</f>
        <v>0</v>
      </c>
      <c r="J254" s="5" t="n">
        <f aca="false">MAX(F254-H254,0)</f>
        <v>0</v>
      </c>
      <c r="K254" s="5" t="n">
        <f aca="false">MAX(G254-E254,0)</f>
        <v>4.57142857142857</v>
      </c>
      <c r="L254" s="5" t="n">
        <f aca="false">MAX(H254-F254,0)</f>
        <v>0.857142857142857</v>
      </c>
      <c r="M254" s="5" t="str">
        <f aca="false">IF(AND(I254&gt;TransferMin,L254&gt;0),"OAK→HP",IF(AND(J254&gt;TransferMin,K254&gt;0),"HP→OAK","None"))</f>
        <v>None</v>
      </c>
      <c r="N254" s="5" t="n">
        <f aca="false">IF(M254="OAK→HP",MIN(I254,L254),IF(M254="HP→OAK",MIN(J254,K254),0))</f>
        <v>0</v>
      </c>
      <c r="O254" s="5" t="n">
        <f aca="false">MAX(K254-IF(M254="HP→OAK",N254,0),0)</f>
        <v>4.57142857142857</v>
      </c>
      <c r="P254" s="5" t="n">
        <f aca="false">MAX(L254-IF(M254="OAK→HP",N254,0),0)</f>
        <v>0.857142857142857</v>
      </c>
      <c r="Q254" s="5" t="n">
        <f aca="false">IF(O254&gt;0,CEILING(O254,ITEM_MASTER_CLEAN!G254),0)</f>
        <v>5</v>
      </c>
      <c r="R254" s="5" t="n">
        <f aca="false">IF(P254&gt;0,CEILING(P254,ITEM_MASTER_CLEAN!G254),0)</f>
        <v>1</v>
      </c>
      <c r="S254" s="5" t="n">
        <f aca="false">IF(G254=0,0,(1-MIN(E254/MAX(G254,1),1))*50+(1-MIN(F254/MAX(H254,1),1))*50)</f>
        <v>64.1025641025641</v>
      </c>
    </row>
    <row r="255" customFormat="false" ht="23.85" hidden="false" customHeight="false" outlineLevel="0" collapsed="false">
      <c r="A255" s="5" t="n">
        <f aca="false">ITEM_MASTER_CLEAN!A255</f>
        <v>254</v>
      </c>
      <c r="B255" s="5" t="n">
        <f aca="false">ITEM_MASTER_CLEAN!B255</f>
        <v>28530</v>
      </c>
      <c r="C255" s="5" t="str">
        <f aca="false">ITEM_MASTER_CLEAN!C255</f>
        <v>9 MTY DOSAGE PUMP HAND 4LJUG 1OZ X1</v>
      </c>
      <c r="D255" s="12" t="n">
        <f aca="false">ITEM_MASTER_CLEAN!F255</f>
        <v>5.94</v>
      </c>
      <c r="E255" s="5" t="n">
        <f aca="false">ITEM_MASTER_CLEAN!H255</f>
        <v>2</v>
      </c>
      <c r="F255" s="5" t="n">
        <f aca="false">ITEM_MASTER_CLEAN!I255</f>
        <v>1</v>
      </c>
      <c r="G255" s="5" t="n">
        <f aca="false">PAR_LEVELS!J255</f>
        <v>3.71428571428571</v>
      </c>
      <c r="H255" s="5" t="n">
        <f aca="false">PAR_LEVELS!K255</f>
        <v>1.85714285714286</v>
      </c>
      <c r="I255" s="5" t="n">
        <f aca="false">MAX(E255-G255,0)</f>
        <v>0</v>
      </c>
      <c r="J255" s="5" t="n">
        <f aca="false">MAX(F255-H255,0)</f>
        <v>0</v>
      </c>
      <c r="K255" s="5" t="n">
        <f aca="false">MAX(G255-E255,0)</f>
        <v>1.71428571428571</v>
      </c>
      <c r="L255" s="5" t="n">
        <f aca="false">MAX(H255-F255,0)</f>
        <v>0.857142857142857</v>
      </c>
      <c r="M255" s="5" t="str">
        <f aca="false">IF(AND(I255&gt;TransferMin,L255&gt;0),"OAK→HP",IF(AND(J255&gt;TransferMin,K255&gt;0),"HP→OAK","None"))</f>
        <v>None</v>
      </c>
      <c r="N255" s="5" t="n">
        <f aca="false">IF(M255="OAK→HP",MIN(I255,L255),IF(M255="HP→OAK",MIN(J255,K255),0))</f>
        <v>0</v>
      </c>
      <c r="O255" s="5" t="n">
        <f aca="false">MAX(K255-IF(M255="HP→OAK",N255,0),0)</f>
        <v>1.71428571428571</v>
      </c>
      <c r="P255" s="5" t="n">
        <f aca="false">MAX(L255-IF(M255="OAK→HP",N255,0),0)</f>
        <v>0.857142857142857</v>
      </c>
      <c r="Q255" s="5" t="n">
        <f aca="false">IF(O255&gt;0,CEILING(O255,ITEM_MASTER_CLEAN!G255),0)</f>
        <v>2</v>
      </c>
      <c r="R255" s="5" t="n">
        <f aca="false">IF(P255&gt;0,CEILING(P255,ITEM_MASTER_CLEAN!G255),0)</f>
        <v>1</v>
      </c>
      <c r="S255" s="5" t="n">
        <f aca="false">IF(G255=0,0,(1-MIN(E255/MAX(G255,1),1))*50+(1-MIN(F255/MAX(H255,1),1))*50)</f>
        <v>46.1538461538461</v>
      </c>
    </row>
    <row r="256" customFormat="false" ht="15" hidden="false" customHeight="false" outlineLevel="0" collapsed="false">
      <c r="A256" s="5" t="n">
        <f aca="false">ITEM_MASTER_CLEAN!A256</f>
        <v>255</v>
      </c>
      <c r="B256" s="5" t="n">
        <f aca="false">ITEM_MASTER_CLEAN!B256</f>
        <v>28529</v>
      </c>
      <c r="C256" s="5" t="str">
        <f aca="false">ITEM_MASTER_CLEAN!C256</f>
        <v>9 MTY DOSAGE PUMP 1/8 OZ GAL X1</v>
      </c>
      <c r="D256" s="12" t="n">
        <f aca="false">ITEM_MASTER_CLEAN!F256</f>
        <v>5.7</v>
      </c>
      <c r="E256" s="5" t="n">
        <f aca="false">ITEM_MASTER_CLEAN!H256</f>
        <v>3</v>
      </c>
      <c r="F256" s="5" t="n">
        <f aca="false">ITEM_MASTER_CLEAN!I256</f>
        <v>0</v>
      </c>
      <c r="G256" s="5" t="n">
        <f aca="false">PAR_LEVELS!J256</f>
        <v>1.85714285714286</v>
      </c>
      <c r="H256" s="5" t="n">
        <f aca="false">PAR_LEVELS!K256</f>
        <v>5.57142857142857</v>
      </c>
      <c r="I256" s="5" t="n">
        <f aca="false">MAX(E256-G256,0)</f>
        <v>1.14285714285714</v>
      </c>
      <c r="J256" s="5" t="n">
        <f aca="false">MAX(F256-H256,0)</f>
        <v>0</v>
      </c>
      <c r="K256" s="5" t="n">
        <f aca="false">MAX(G256-E256,0)</f>
        <v>0</v>
      </c>
      <c r="L256" s="5" t="n">
        <f aca="false">MAX(H256-F256,0)</f>
        <v>5.57142857142857</v>
      </c>
      <c r="M256" s="5" t="str">
        <f aca="false">IF(AND(I256&gt;TransferMin,L256&gt;0),"OAK→HP",IF(AND(J256&gt;TransferMin,K256&gt;0),"HP→OAK","None"))</f>
        <v>None</v>
      </c>
      <c r="N256" s="5" t="n">
        <f aca="false">IF(M256="OAK→HP",MIN(I256,L256),IF(M256="HP→OAK",MIN(J256,K256),0))</f>
        <v>0</v>
      </c>
      <c r="O256" s="5" t="n">
        <f aca="false">MAX(K256-IF(M256="HP→OAK",N256,0),0)</f>
        <v>0</v>
      </c>
      <c r="P256" s="5" t="n">
        <f aca="false">MAX(L256-IF(M256="OAK→HP",N256,0),0)</f>
        <v>5.57142857142857</v>
      </c>
      <c r="Q256" s="5" t="n">
        <f aca="false">IF(O256&gt;0,CEILING(O256,ITEM_MASTER_CLEAN!G256),0)</f>
        <v>0</v>
      </c>
      <c r="R256" s="5" t="n">
        <f aca="false">IF(P256&gt;0,CEILING(P256,ITEM_MASTER_CLEAN!G256),0)</f>
        <v>6</v>
      </c>
      <c r="S256" s="5" t="n">
        <f aca="false">IF(G256=0,0,(1-MIN(E256/MAX(G256,1),1))*50+(1-MIN(F256/MAX(H256,1),1))*50)</f>
        <v>50</v>
      </c>
    </row>
    <row r="257" customFormat="false" ht="15" hidden="false" customHeight="false" outlineLevel="0" collapsed="false">
      <c r="A257" s="5" t="n">
        <f aca="false">ITEM_MASTER_CLEAN!A257</f>
        <v>256</v>
      </c>
      <c r="B257" s="5" t="n">
        <f aca="false">ITEM_MASTER_CLEAN!B257</f>
        <v>29153</v>
      </c>
      <c r="C257" s="5" t="str">
        <f aca="false">ITEM_MASTER_CLEAN!C257</f>
        <v>BEV P.LEAF GRN TEA/HONEY 12X547ML</v>
      </c>
      <c r="D257" s="12" t="n">
        <f aca="false">ITEM_MASTER_CLEAN!F257</f>
        <v>24.81</v>
      </c>
      <c r="E257" s="5" t="n">
        <f aca="false">ITEM_MASTER_CLEAN!H257</f>
        <v>7</v>
      </c>
      <c r="F257" s="5" t="n">
        <f aca="false">ITEM_MASTER_CLEAN!I257</f>
        <v>3</v>
      </c>
      <c r="G257" s="5" t="n">
        <f aca="false">PAR_LEVELS!J257</f>
        <v>9.28571428571429</v>
      </c>
      <c r="H257" s="5" t="n">
        <f aca="false">PAR_LEVELS!K257</f>
        <v>3.71428571428571</v>
      </c>
      <c r="I257" s="5" t="n">
        <f aca="false">MAX(E257-G257,0)</f>
        <v>0</v>
      </c>
      <c r="J257" s="5" t="n">
        <f aca="false">MAX(F257-H257,0)</f>
        <v>0</v>
      </c>
      <c r="K257" s="5" t="n">
        <f aca="false">MAX(G257-E257,0)</f>
        <v>2.28571428571429</v>
      </c>
      <c r="L257" s="5" t="n">
        <f aca="false">MAX(H257-F257,0)</f>
        <v>0.714285714285714</v>
      </c>
      <c r="M257" s="5" t="str">
        <f aca="false">IF(AND(I257&gt;TransferMin,L257&gt;0),"OAK→HP",IF(AND(J257&gt;TransferMin,K257&gt;0),"HP→OAK","None"))</f>
        <v>None</v>
      </c>
      <c r="N257" s="5" t="n">
        <f aca="false">IF(M257="OAK→HP",MIN(I257,L257),IF(M257="HP→OAK",MIN(J257,K257),0))</f>
        <v>0</v>
      </c>
      <c r="O257" s="5" t="n">
        <f aca="false">MAX(K257-IF(M257="HP→OAK",N257,0),0)</f>
        <v>2.28571428571429</v>
      </c>
      <c r="P257" s="5" t="n">
        <f aca="false">MAX(L257-IF(M257="OAK→HP",N257,0),0)</f>
        <v>0.714285714285714</v>
      </c>
      <c r="Q257" s="5" t="n">
        <f aca="false">IF(O257&gt;0,CEILING(O257,ITEM_MASTER_CLEAN!G257),0)</f>
        <v>12</v>
      </c>
      <c r="R257" s="5" t="n">
        <f aca="false">IF(P257&gt;0,CEILING(P257,ITEM_MASTER_CLEAN!G257),0)</f>
        <v>12</v>
      </c>
      <c r="S257" s="5" t="n">
        <f aca="false">IF(G257=0,0,(1-MIN(E257/MAX(G257,1),1))*50+(1-MIN(F257/MAX(H257,1),1))*50)</f>
        <v>21.9230769230769</v>
      </c>
    </row>
    <row r="258" customFormat="false" ht="15" hidden="false" customHeight="false" outlineLevel="0" collapsed="false">
      <c r="A258" s="5" t="n">
        <f aca="false">ITEM_MASTER_CLEAN!A258</f>
        <v>257</v>
      </c>
      <c r="B258" s="5" t="n">
        <f aca="false">ITEM_MASTER_CLEAN!B258</f>
        <v>29154</v>
      </c>
      <c r="C258" s="5" t="str">
        <f aca="false">ITEM_MASTER_CLEAN!C258</f>
        <v>BEV P.LEAF LEMON TEA  12X547ML</v>
      </c>
      <c r="D258" s="12" t="n">
        <f aca="false">ITEM_MASTER_CLEAN!F258</f>
        <v>36.82</v>
      </c>
      <c r="E258" s="5" t="n">
        <f aca="false">ITEM_MASTER_CLEAN!H258</f>
        <v>21</v>
      </c>
      <c r="F258" s="5" t="n">
        <f aca="false">ITEM_MASTER_CLEAN!I258</f>
        <v>3</v>
      </c>
      <c r="G258" s="5" t="n">
        <f aca="false">PAR_LEVELS!J258</f>
        <v>9.28571428571429</v>
      </c>
      <c r="H258" s="5" t="n">
        <f aca="false">PAR_LEVELS!K258</f>
        <v>1.85714285714286</v>
      </c>
      <c r="I258" s="5" t="n">
        <f aca="false">MAX(E258-G258,0)</f>
        <v>11.7142857142857</v>
      </c>
      <c r="J258" s="5" t="n">
        <f aca="false">MAX(F258-H258,0)</f>
        <v>1.14285714285714</v>
      </c>
      <c r="K258" s="5" t="n">
        <f aca="false">MAX(G258-E258,0)</f>
        <v>0</v>
      </c>
      <c r="L258" s="5" t="n">
        <f aca="false">MAX(H258-F258,0)</f>
        <v>0</v>
      </c>
      <c r="M258" s="5" t="str">
        <f aca="false">IF(AND(I258&gt;TransferMin,L258&gt;0),"OAK→HP",IF(AND(J258&gt;TransferMin,K258&gt;0),"HP→OAK","None"))</f>
        <v>None</v>
      </c>
      <c r="N258" s="5" t="n">
        <f aca="false">IF(M258="OAK→HP",MIN(I258,L258),IF(M258="HP→OAK",MIN(J258,K258),0))</f>
        <v>0</v>
      </c>
      <c r="O258" s="5" t="n">
        <f aca="false">MAX(K258-IF(M258="HP→OAK",N258,0),0)</f>
        <v>0</v>
      </c>
      <c r="P258" s="5" t="n">
        <f aca="false">MAX(L258-IF(M258="OAK→HP",N258,0),0)</f>
        <v>0</v>
      </c>
      <c r="Q258" s="5" t="n">
        <f aca="false">IF(O258&gt;0,CEILING(O258,ITEM_MASTER_CLEAN!G258),0)</f>
        <v>0</v>
      </c>
      <c r="R258" s="5" t="n">
        <f aca="false">IF(P258&gt;0,CEILING(P258,ITEM_MASTER_CLEAN!G258),0)</f>
        <v>0</v>
      </c>
      <c r="S258" s="5" t="n">
        <f aca="false">IF(G258=0,0,(1-MIN(E258/MAX(G258,1),1))*50+(1-MIN(F258/MAX(H258,1),1))*50)</f>
        <v>0</v>
      </c>
    </row>
    <row r="259" customFormat="false" ht="23.85" hidden="false" customHeight="false" outlineLevel="0" collapsed="false">
      <c r="A259" s="5" t="n">
        <f aca="false">ITEM_MASTER_CLEAN!A259</f>
        <v>258</v>
      </c>
      <c r="B259" s="5" t="n">
        <f aca="false">ITEM_MASTER_CLEAN!B259</f>
        <v>14130</v>
      </c>
      <c r="C259" s="5" t="str">
        <f aca="false">ITEM_MASTER_CLEAN!C259</f>
        <v>9 BEV STARBKS TRP SHOT MOCHA 12X444</v>
      </c>
      <c r="D259" s="12" t="n">
        <f aca="false">ITEM_MASTER_CLEAN!F259</f>
        <v>32.26</v>
      </c>
      <c r="E259" s="5" t="n">
        <f aca="false">ITEM_MASTER_CLEAN!H259</f>
        <v>3</v>
      </c>
      <c r="F259" s="5" t="n">
        <f aca="false">ITEM_MASTER_CLEAN!I259</f>
        <v>3</v>
      </c>
      <c r="G259" s="5" t="n">
        <f aca="false">PAR_LEVELS!J259</f>
        <v>3.71428571428571</v>
      </c>
      <c r="H259" s="5" t="n">
        <f aca="false">PAR_LEVELS!K259</f>
        <v>3.71428571428571</v>
      </c>
      <c r="I259" s="5" t="n">
        <f aca="false">MAX(E259-G259,0)</f>
        <v>0</v>
      </c>
      <c r="J259" s="5" t="n">
        <f aca="false">MAX(F259-H259,0)</f>
        <v>0</v>
      </c>
      <c r="K259" s="5" t="n">
        <f aca="false">MAX(G259-E259,0)</f>
        <v>0.714285714285714</v>
      </c>
      <c r="L259" s="5" t="n">
        <f aca="false">MAX(H259-F259,0)</f>
        <v>0.714285714285714</v>
      </c>
      <c r="M259" s="5" t="str">
        <f aca="false">IF(AND(I259&gt;TransferMin,L259&gt;0),"OAK→HP",IF(AND(J259&gt;TransferMin,K259&gt;0),"HP→OAK","None"))</f>
        <v>None</v>
      </c>
      <c r="N259" s="5" t="n">
        <f aca="false">IF(M259="OAK→HP",MIN(I259,L259),IF(M259="HP→OAK",MIN(J259,K259),0))</f>
        <v>0</v>
      </c>
      <c r="O259" s="5" t="n">
        <f aca="false">MAX(K259-IF(M259="HP→OAK",N259,0),0)</f>
        <v>0.714285714285714</v>
      </c>
      <c r="P259" s="5" t="n">
        <f aca="false">MAX(L259-IF(M259="OAK→HP",N259,0),0)</f>
        <v>0.714285714285714</v>
      </c>
      <c r="Q259" s="5" t="n">
        <f aca="false">IF(O259&gt;0,CEILING(O259,ITEM_MASTER_CLEAN!G259),0)</f>
        <v>12</v>
      </c>
      <c r="R259" s="5" t="n">
        <f aca="false">IF(P259&gt;0,CEILING(P259,ITEM_MASTER_CLEAN!G259),0)</f>
        <v>12</v>
      </c>
      <c r="S259" s="5" t="n">
        <f aca="false">IF(G259=0,0,(1-MIN(E259/MAX(G259,1),1))*50+(1-MIN(F259/MAX(H259,1),1))*50)</f>
        <v>19.2307692307692</v>
      </c>
    </row>
    <row r="260" customFormat="false" ht="15" hidden="false" customHeight="false" outlineLevel="0" collapsed="false">
      <c r="A260" s="5" t="n">
        <f aca="false">ITEM_MASTER_CLEAN!A260</f>
        <v>259</v>
      </c>
      <c r="B260" s="5" t="n">
        <f aca="false">ITEM_MASTER_CLEAN!B260</f>
        <v>14131</v>
      </c>
      <c r="C260" s="5" t="str">
        <f aca="false">ITEM_MASTER_CLEAN!C260</f>
        <v>9 BEV STARBUCKS DBL SHOT VAN 12X444</v>
      </c>
      <c r="D260" s="12" t="n">
        <f aca="false">ITEM_MASTER_CLEAN!F260</f>
        <v>20.13</v>
      </c>
      <c r="E260" s="5" t="n">
        <f aca="false">ITEM_MASTER_CLEAN!H260</f>
        <v>6</v>
      </c>
      <c r="F260" s="5" t="n">
        <f aca="false">ITEM_MASTER_CLEAN!I260</f>
        <v>0</v>
      </c>
      <c r="G260" s="5" t="n">
        <f aca="false">PAR_LEVELS!J260</f>
        <v>3.71428571428571</v>
      </c>
      <c r="H260" s="5" t="n">
        <f aca="false">PAR_LEVELS!K260</f>
        <v>3.71428571428571</v>
      </c>
      <c r="I260" s="5" t="n">
        <f aca="false">MAX(E260-G260,0)</f>
        <v>2.28571428571429</v>
      </c>
      <c r="J260" s="5" t="n">
        <f aca="false">MAX(F260-H260,0)</f>
        <v>0</v>
      </c>
      <c r="K260" s="5" t="n">
        <f aca="false">MAX(G260-E260,0)</f>
        <v>0</v>
      </c>
      <c r="L260" s="5" t="n">
        <f aca="false">MAX(H260-F260,0)</f>
        <v>3.71428571428571</v>
      </c>
      <c r="M260" s="5" t="str">
        <f aca="false">IF(AND(I260&gt;TransferMin,L260&gt;0),"OAK→HP",IF(AND(J260&gt;TransferMin,K260&gt;0),"HP→OAK","None"))</f>
        <v>None</v>
      </c>
      <c r="N260" s="5" t="n">
        <f aca="false">IF(M260="OAK→HP",MIN(I260,L260),IF(M260="HP→OAK",MIN(J260,K260),0))</f>
        <v>0</v>
      </c>
      <c r="O260" s="5" t="n">
        <f aca="false">MAX(K260-IF(M260="HP→OAK",N260,0),0)</f>
        <v>0</v>
      </c>
      <c r="P260" s="5" t="n">
        <f aca="false">MAX(L260-IF(M260="OAK→HP",N260,0),0)</f>
        <v>3.71428571428571</v>
      </c>
      <c r="Q260" s="5" t="n">
        <f aca="false">IF(O260&gt;0,CEILING(O260,ITEM_MASTER_CLEAN!G260),0)</f>
        <v>0</v>
      </c>
      <c r="R260" s="5" t="n">
        <f aca="false">IF(P260&gt;0,CEILING(P260,ITEM_MASTER_CLEAN!G260),0)</f>
        <v>12</v>
      </c>
      <c r="S260" s="5" t="n">
        <f aca="false">IF(G260=0,0,(1-MIN(E260/MAX(G260,1),1))*50+(1-MIN(F260/MAX(H260,1),1))*50)</f>
        <v>50</v>
      </c>
    </row>
    <row r="261" customFormat="false" ht="15" hidden="false" customHeight="false" outlineLevel="0" collapsed="false">
      <c r="A261" s="5" t="n">
        <f aca="false">ITEM_MASTER_CLEAN!A261</f>
        <v>260</v>
      </c>
      <c r="B261" s="5" t="n">
        <f aca="false">ITEM_MASTER_CLEAN!B261</f>
        <v>52342</v>
      </c>
      <c r="C261" s="5" t="str">
        <f aca="false">ITEM_MASTER_CLEAN!C261</f>
        <v>BEV ROOT BEER MUG CAN 12X355ML</v>
      </c>
      <c r="D261" s="12" t="n">
        <f aca="false">ITEM_MASTER_CLEAN!F261</f>
        <v>28.25</v>
      </c>
      <c r="E261" s="5" t="n">
        <f aca="false">ITEM_MASTER_CLEAN!H261</f>
        <v>3</v>
      </c>
      <c r="F261" s="5" t="n">
        <f aca="false">ITEM_MASTER_CLEAN!I261</f>
        <v>1</v>
      </c>
      <c r="G261" s="5" t="n">
        <f aca="false">PAR_LEVELS!J261</f>
        <v>3.71428571428571</v>
      </c>
      <c r="H261" s="5" t="n">
        <f aca="false">PAR_LEVELS!K261</f>
        <v>1.85714285714286</v>
      </c>
      <c r="I261" s="5" t="n">
        <f aca="false">MAX(E261-G261,0)</f>
        <v>0</v>
      </c>
      <c r="J261" s="5" t="n">
        <f aca="false">MAX(F261-H261,0)</f>
        <v>0</v>
      </c>
      <c r="K261" s="5" t="n">
        <f aca="false">MAX(G261-E261,0)</f>
        <v>0.714285714285714</v>
      </c>
      <c r="L261" s="5" t="n">
        <f aca="false">MAX(H261-F261,0)</f>
        <v>0.857142857142857</v>
      </c>
      <c r="M261" s="5" t="str">
        <f aca="false">IF(AND(I261&gt;TransferMin,L261&gt;0),"OAK→HP",IF(AND(J261&gt;TransferMin,K261&gt;0),"HP→OAK","None"))</f>
        <v>None</v>
      </c>
      <c r="N261" s="5" t="n">
        <f aca="false">IF(M261="OAK→HP",MIN(I261,L261),IF(M261="HP→OAK",MIN(J261,K261),0))</f>
        <v>0</v>
      </c>
      <c r="O261" s="5" t="n">
        <f aca="false">MAX(K261-IF(M261="HP→OAK",N261,0),0)</f>
        <v>0.714285714285714</v>
      </c>
      <c r="P261" s="5" t="n">
        <f aca="false">MAX(L261-IF(M261="OAK→HP",N261,0),0)</f>
        <v>0.857142857142857</v>
      </c>
      <c r="Q261" s="5" t="n">
        <f aca="false">IF(O261&gt;0,CEILING(O261,ITEM_MASTER_CLEAN!G261),0)</f>
        <v>12</v>
      </c>
      <c r="R261" s="5" t="n">
        <f aca="false">IF(P261&gt;0,CEILING(P261,ITEM_MASTER_CLEAN!G261),0)</f>
        <v>12</v>
      </c>
      <c r="S261" s="5" t="n">
        <f aca="false">IF(G261=0,0,(1-MIN(E261/MAX(G261,1),1))*50+(1-MIN(F261/MAX(H261,1),1))*50)</f>
        <v>32.6923076923077</v>
      </c>
    </row>
    <row r="262" customFormat="false" ht="15" hidden="false" customHeight="false" outlineLevel="0" collapsed="false">
      <c r="A262" s="5" t="n">
        <f aca="false">ITEM_MASTER_CLEAN!A262</f>
        <v>261</v>
      </c>
      <c r="B262" s="5" t="n">
        <f aca="false">ITEM_MASTER_CLEAN!B262</f>
        <v>52349</v>
      </c>
      <c r="C262" s="5" t="str">
        <f aca="false">ITEM_MASTER_CLEAN!C262</f>
        <v>BEV ORANGE CRUSH CAN 12X355ML</v>
      </c>
      <c r="D262" s="12" t="n">
        <f aca="false">ITEM_MASTER_CLEAN!F262</f>
        <v>18.25</v>
      </c>
      <c r="E262" s="5" t="n">
        <f aca="false">ITEM_MASTER_CLEAN!H262</f>
        <v>1</v>
      </c>
      <c r="F262" s="5" t="n">
        <f aca="false">ITEM_MASTER_CLEAN!I262</f>
        <v>5</v>
      </c>
      <c r="G262" s="5" t="n">
        <f aca="false">PAR_LEVELS!J262</f>
        <v>9.28571428571429</v>
      </c>
      <c r="H262" s="5" t="n">
        <f aca="false">PAR_LEVELS!K262</f>
        <v>3.71428571428571</v>
      </c>
      <c r="I262" s="5" t="n">
        <f aca="false">MAX(E262-G262,0)</f>
        <v>0</v>
      </c>
      <c r="J262" s="5" t="n">
        <f aca="false">MAX(F262-H262,0)</f>
        <v>1.28571428571429</v>
      </c>
      <c r="K262" s="5" t="n">
        <f aca="false">MAX(G262-E262,0)</f>
        <v>8.28571428571429</v>
      </c>
      <c r="L262" s="5" t="n">
        <f aca="false">MAX(H262-F262,0)</f>
        <v>0</v>
      </c>
      <c r="M262" s="5" t="str">
        <f aca="false">IF(AND(I262&gt;TransferMin,L262&gt;0),"OAK→HP",IF(AND(J262&gt;TransferMin,K262&gt;0),"HP→OAK","None"))</f>
        <v>None</v>
      </c>
      <c r="N262" s="5" t="n">
        <f aca="false">IF(M262="OAK→HP",MIN(I262,L262),IF(M262="HP→OAK",MIN(J262,K262),0))</f>
        <v>0</v>
      </c>
      <c r="O262" s="5" t="n">
        <f aca="false">MAX(K262-IF(M262="HP→OAK",N262,0),0)</f>
        <v>8.28571428571429</v>
      </c>
      <c r="P262" s="5" t="n">
        <f aca="false">MAX(L262-IF(M262="OAK→HP",N262,0),0)</f>
        <v>0</v>
      </c>
      <c r="Q262" s="5" t="n">
        <f aca="false">IF(O262&gt;0,CEILING(O262,ITEM_MASTER_CLEAN!G262),0)</f>
        <v>12</v>
      </c>
      <c r="R262" s="5" t="n">
        <f aca="false">IF(P262&gt;0,CEILING(P262,ITEM_MASTER_CLEAN!G262),0)</f>
        <v>0</v>
      </c>
      <c r="S262" s="5" t="n">
        <f aca="false">IF(G262=0,0,(1-MIN(E262/MAX(G262,1),1))*50+(1-MIN(F262/MAX(H262,1),1))*50)</f>
        <v>44.6153846153846</v>
      </c>
    </row>
    <row r="263" customFormat="false" ht="15" hidden="false" customHeight="false" outlineLevel="0" collapsed="false">
      <c r="A263" s="5" t="n">
        <f aca="false">ITEM_MASTER_CLEAN!A263</f>
        <v>262</v>
      </c>
      <c r="B263" s="5" t="n">
        <f aca="false">ITEM_MASTER_CLEAN!B263</f>
        <v>61804</v>
      </c>
      <c r="C263" s="5" t="str">
        <f aca="false">ITEM_MASTER_CLEAN!C263</f>
        <v>LADIP BOX POPCORN 6X2.75X8.5  100</v>
      </c>
      <c r="D263" s="12" t="n">
        <f aca="false">ITEM_MASTER_CLEAN!F263</f>
        <v>16.46</v>
      </c>
      <c r="E263" s="5" t="n">
        <f aca="false">ITEM_MASTER_CLEAN!H263</f>
        <v>1</v>
      </c>
      <c r="F263" s="5" t="n">
        <f aca="false">ITEM_MASTER_CLEAN!I263</f>
        <v>1</v>
      </c>
      <c r="G263" s="5" t="n">
        <f aca="false">PAR_LEVELS!J263</f>
        <v>5.57142857142857</v>
      </c>
      <c r="H263" s="5" t="n">
        <f aca="false">PAR_LEVELS!K263</f>
        <v>1.85714285714286</v>
      </c>
      <c r="I263" s="5" t="n">
        <f aca="false">MAX(E263-G263,0)</f>
        <v>0</v>
      </c>
      <c r="J263" s="5" t="n">
        <f aca="false">MAX(F263-H263,0)</f>
        <v>0</v>
      </c>
      <c r="K263" s="5" t="n">
        <f aca="false">MAX(G263-E263,0)</f>
        <v>4.57142857142857</v>
      </c>
      <c r="L263" s="5" t="n">
        <f aca="false">MAX(H263-F263,0)</f>
        <v>0.857142857142857</v>
      </c>
      <c r="M263" s="5" t="str">
        <f aca="false">IF(AND(I263&gt;TransferMin,L263&gt;0),"OAK→HP",IF(AND(J263&gt;TransferMin,K263&gt;0),"HP→OAK","None"))</f>
        <v>None</v>
      </c>
      <c r="N263" s="5" t="n">
        <f aca="false">IF(M263="OAK→HP",MIN(I263,L263),IF(M263="HP→OAK",MIN(J263,K263),0))</f>
        <v>0</v>
      </c>
      <c r="O263" s="5" t="n">
        <f aca="false">MAX(K263-IF(M263="HP→OAK",N263,0),0)</f>
        <v>4.57142857142857</v>
      </c>
      <c r="P263" s="5" t="n">
        <f aca="false">MAX(L263-IF(M263="OAK→HP",N263,0),0)</f>
        <v>0.857142857142857</v>
      </c>
      <c r="Q263" s="5" t="n">
        <f aca="false">IF(O263&gt;0,CEILING(O263,ITEM_MASTER_CLEAN!G263),0)</f>
        <v>5</v>
      </c>
      <c r="R263" s="5" t="n">
        <f aca="false">IF(P263&gt;0,CEILING(P263,ITEM_MASTER_CLEAN!G263),0)</f>
        <v>1</v>
      </c>
      <c r="S263" s="5" t="n">
        <f aca="false">IF(G263=0,0,(1-MIN(E263/MAX(G263,1),1))*50+(1-MIN(F263/MAX(H263,1),1))*50)</f>
        <v>64.1025641025641</v>
      </c>
    </row>
  </sheetData>
  <conditionalFormatting sqref="M2:M263">
    <cfRule type="cellIs" priority="2" operator="equal" aboveAverage="0" equalAverage="0" bottom="0" percent="0" rank="0" text="" dxfId="2">
      <formula>"OAK→HP"</formula>
    </cfRule>
    <cfRule type="cellIs" priority="3" operator="equal" aboveAverage="0" equalAverage="0" bottom="0" percent="0" rank="0" text="" dxfId="3">
      <formula>"HP→OAK"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R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18" min="4" style="0" width="14"/>
  </cols>
  <sheetData>
    <row r="1" customFormat="false" ht="39.5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495</v>
      </c>
      <c r="E1" s="4" t="s">
        <v>497</v>
      </c>
      <c r="F1" s="4" t="s">
        <v>588</v>
      </c>
      <c r="G1" s="4" t="s">
        <v>589</v>
      </c>
      <c r="H1" s="4" t="s">
        <v>556</v>
      </c>
      <c r="I1" s="4" t="s">
        <v>557</v>
      </c>
      <c r="J1" s="4" t="s">
        <v>590</v>
      </c>
      <c r="K1" s="4" t="s">
        <v>591</v>
      </c>
      <c r="L1" s="4" t="s">
        <v>592</v>
      </c>
      <c r="M1" s="4" t="s">
        <v>593</v>
      </c>
      <c r="N1" s="4" t="s">
        <v>594</v>
      </c>
      <c r="O1" s="4" t="s">
        <v>595</v>
      </c>
      <c r="P1" s="4" t="s">
        <v>596</v>
      </c>
      <c r="Q1" s="4" t="s">
        <v>597</v>
      </c>
      <c r="R1" s="4" t="s">
        <v>598</v>
      </c>
    </row>
    <row r="2" customFormat="false" ht="15" hidden="false" customHeight="false" outlineLevel="0" collapsed="false">
      <c r="A2" s="5" t="n">
        <f aca="false">ITEM_MASTER_CLEAN!A2</f>
        <v>1</v>
      </c>
      <c r="B2" s="5" t="n">
        <f aca="false">ITEM_MASTER_CLEAN!B2</f>
        <v>62966</v>
      </c>
      <c r="C2" s="5" t="str">
        <f aca="false">ITEM_MASTER_CLEAN!C2</f>
        <v>9 CAKE WHITE LAYER 8" 24X354G</v>
      </c>
      <c r="D2" s="12" t="n">
        <f aca="false">ITEM_MASTER_CLEAN!F2</f>
        <v>60.84</v>
      </c>
      <c r="E2" s="5" t="n">
        <f aca="false">ITEM_MASTER_CLEAN!G2</f>
        <v>24</v>
      </c>
      <c r="F2" s="5" t="n">
        <f aca="false">DEMAND_MODEL!K2*SafetyDays</f>
        <v>0.428571428571429</v>
      </c>
      <c r="G2" s="5" t="n">
        <f aca="false">DEMAND_MODEL!L2*SafetyDays</f>
        <v>1.28571428571429</v>
      </c>
      <c r="H2" s="5" t="n">
        <f aca="false">ITEM_MASTER_CLEAN!H2</f>
        <v>1</v>
      </c>
      <c r="I2" s="5" t="n">
        <f aca="false">ITEM_MASTER_CLEAN!I2</f>
        <v>5</v>
      </c>
      <c r="J2" s="5" t="str">
        <f aca="false">IF(H2&lt;F2,"YES","")</f>
        <v/>
      </c>
      <c r="K2" s="5" t="str">
        <f aca="false">IF(I2&lt;G2,"YES","")</f>
        <v/>
      </c>
      <c r="L2" s="5" t="n">
        <f aca="false">IF(J2="YES",MAX(CEILING(F2-H2,E2),0),0)</f>
        <v>0</v>
      </c>
      <c r="M2" s="5" t="n">
        <f aca="false">IF(K2="YES",MAX(CEILING(G2-I2,E2),0),0)</f>
        <v>0</v>
      </c>
      <c r="N2" s="12" t="n">
        <f aca="false">L2*D2</f>
        <v>0</v>
      </c>
      <c r="O2" s="12" t="n">
        <f aca="false">M2*D2</f>
        <v>0</v>
      </c>
      <c r="P2" s="12" t="n">
        <f aca="false">N2+O2</f>
        <v>0</v>
      </c>
      <c r="Q2" s="5" t="str">
        <f aca="false">IF(P2&lt;=CashCap,"YES","OVER CAP")</f>
        <v>YES</v>
      </c>
      <c r="R2" s="5" t="str">
        <f aca="false">IF(LowCashMode="OFF","Normal Mode",IF(AND(OR(J2="YES",K2="YES"),Q2="YES"),"BUY NOW",IF(OR(J2="YES",K2="YES"),"DEFERRED","—")))</f>
        <v>Normal Mode</v>
      </c>
    </row>
    <row r="3" customFormat="false" ht="15" hidden="false" customHeight="false" outlineLevel="0" collapsed="false">
      <c r="A3" s="5" t="n">
        <f aca="false">ITEM_MASTER_CLEAN!A3</f>
        <v>2</v>
      </c>
      <c r="B3" s="5" t="n">
        <f aca="false">ITEM_MASTER_CLEAN!B3</f>
        <v>62967</v>
      </c>
      <c r="C3" s="5" t="str">
        <f aca="false">ITEM_MASTER_CLEAN!C3</f>
        <v>9 CAKE CHOC LAYER 8" 24X354G</v>
      </c>
      <c r="D3" s="12" t="n">
        <f aca="false">ITEM_MASTER_CLEAN!F3</f>
        <v>23.82</v>
      </c>
      <c r="E3" s="5" t="n">
        <f aca="false">ITEM_MASTER_CLEAN!G3</f>
        <v>24</v>
      </c>
      <c r="F3" s="5" t="n">
        <f aca="false">DEMAND_MODEL!K3*SafetyDays</f>
        <v>1.71428571428571</v>
      </c>
      <c r="G3" s="5" t="n">
        <f aca="false">DEMAND_MODEL!L3*SafetyDays</f>
        <v>0.428571428571429</v>
      </c>
      <c r="H3" s="5" t="n">
        <f aca="false">ITEM_MASTER_CLEAN!H3</f>
        <v>11</v>
      </c>
      <c r="I3" s="5" t="n">
        <f aca="false">ITEM_MASTER_CLEAN!I3</f>
        <v>0</v>
      </c>
      <c r="J3" s="5" t="str">
        <f aca="false">IF(H3&lt;F3,"YES","")</f>
        <v/>
      </c>
      <c r="K3" s="5" t="str">
        <f aca="false">IF(I3&lt;G3,"YES","")</f>
        <v>YES</v>
      </c>
      <c r="L3" s="5" t="n">
        <f aca="false">IF(J3="YES",MAX(CEILING(F3-H3,E3),0),0)</f>
        <v>0</v>
      </c>
      <c r="M3" s="5" t="n">
        <f aca="false">IF(K3="YES",MAX(CEILING(G3-I3,E3),0),0)</f>
        <v>24</v>
      </c>
      <c r="N3" s="12" t="n">
        <f aca="false">L3*D3</f>
        <v>0</v>
      </c>
      <c r="O3" s="12" t="n">
        <f aca="false">M3*D3</f>
        <v>571.68</v>
      </c>
      <c r="P3" s="12" t="n">
        <f aca="false">P2+N3+O3</f>
        <v>571.68</v>
      </c>
      <c r="Q3" s="5" t="str">
        <f aca="false">IF(P3&lt;=CashCap,"YES","OVER CAP")</f>
        <v>YES</v>
      </c>
      <c r="R3" s="5" t="str">
        <f aca="false">IF(LowCashMode="OFF","Normal Mode",IF(AND(OR(J3="YES",K3="YES"),Q3="YES"),"BUY NOW",IF(OR(J3="YES",K3="YES"),"DEFERRED","—")))</f>
        <v>Normal Mode</v>
      </c>
    </row>
    <row r="4" customFormat="false" ht="15" hidden="false" customHeight="false" outlineLevel="0" collapsed="false">
      <c r="A4" s="5" t="n">
        <f aca="false">ITEM_MASTER_CLEAN!A4</f>
        <v>3</v>
      </c>
      <c r="B4" s="5" t="n">
        <f aca="false">ITEM_MASTER_CLEAN!B4</f>
        <v>62963</v>
      </c>
      <c r="C4" s="5" t="str">
        <f aca="false">ITEM_MASTER_CLEAN!C4</f>
        <v>ICING PRE-WHIPPED VANILLA 6.8K</v>
      </c>
      <c r="D4" s="12" t="n">
        <f aca="false">ITEM_MASTER_CLEAN!F4</f>
        <v>54.51</v>
      </c>
      <c r="E4" s="5" t="n">
        <f aca="false">ITEM_MASTER_CLEAN!G4</f>
        <v>1</v>
      </c>
      <c r="F4" s="5" t="n">
        <f aca="false">DEMAND_MODEL!K4*SafetyDays</f>
        <v>0.857142857142857</v>
      </c>
      <c r="G4" s="5" t="n">
        <f aca="false">DEMAND_MODEL!L4*SafetyDays</f>
        <v>0.857142857142857</v>
      </c>
      <c r="H4" s="5" t="n">
        <f aca="false">ITEM_MASTER_CLEAN!H4</f>
        <v>9</v>
      </c>
      <c r="I4" s="5" t="n">
        <f aca="false">ITEM_MASTER_CLEAN!I4</f>
        <v>6</v>
      </c>
      <c r="J4" s="5" t="str">
        <f aca="false">IF(H4&lt;F4,"YES","")</f>
        <v/>
      </c>
      <c r="K4" s="5" t="str">
        <f aca="false">IF(I4&lt;G4,"YES","")</f>
        <v/>
      </c>
      <c r="L4" s="5" t="n">
        <f aca="false">IF(J4="YES",MAX(CEILING(F4-H4,E4),0),0)</f>
        <v>0</v>
      </c>
      <c r="M4" s="5" t="n">
        <f aca="false">IF(K4="YES",MAX(CEILING(G4-I4,E4),0),0)</f>
        <v>0</v>
      </c>
      <c r="N4" s="12" t="n">
        <f aca="false">L4*D4</f>
        <v>0</v>
      </c>
      <c r="O4" s="12" t="n">
        <f aca="false">M4*D4</f>
        <v>0</v>
      </c>
      <c r="P4" s="12" t="n">
        <f aca="false">P3+N4+O4</f>
        <v>571.68</v>
      </c>
      <c r="Q4" s="5" t="str">
        <f aca="false">IF(P4&lt;=CashCap,"YES","OVER CAP")</f>
        <v>YES</v>
      </c>
      <c r="R4" s="5" t="str">
        <f aca="false">IF(LowCashMode="OFF","Normal Mode",IF(AND(OR(J4="YES",K4="YES"),Q4="YES"),"BUY NOW",IF(OR(J4="YES",K4="YES"),"DEFERRED","—")))</f>
        <v>Normal Mode</v>
      </c>
    </row>
    <row r="5" customFormat="false" ht="23.85" hidden="false" customHeight="false" outlineLevel="0" collapsed="false">
      <c r="A5" s="5" t="n">
        <f aca="false">ITEM_MASTER_CLEAN!A5</f>
        <v>4</v>
      </c>
      <c r="B5" s="5" t="n">
        <f aca="false">ITEM_MASTER_CLEAN!B5</f>
        <v>22400</v>
      </c>
      <c r="C5" s="5" t="str">
        <f aca="false">ITEM_MASTER_CLEAN!C5</f>
        <v>LADIP LABEL CHOCOLATE CAKE 1RLX50UN</v>
      </c>
      <c r="D5" s="12" t="n">
        <f aca="false">ITEM_MASTER_CLEAN!F5</f>
        <v>19.55</v>
      </c>
      <c r="E5" s="5" t="n">
        <f aca="false">ITEM_MASTER_CLEAN!G5</f>
        <v>1</v>
      </c>
      <c r="F5" s="5" t="n">
        <f aca="false">DEMAND_MODEL!K5*SafetyDays</f>
        <v>1.28571428571429</v>
      </c>
      <c r="G5" s="5" t="n">
        <f aca="false">DEMAND_MODEL!L5*SafetyDays</f>
        <v>0.428571428571429</v>
      </c>
      <c r="H5" s="5" t="n">
        <f aca="false">ITEM_MASTER_CLEAN!H5</f>
        <v>4</v>
      </c>
      <c r="I5" s="5" t="n">
        <f aca="false">ITEM_MASTER_CLEAN!I5</f>
        <v>1</v>
      </c>
      <c r="J5" s="5" t="str">
        <f aca="false">IF(H5&lt;F5,"YES","")</f>
        <v/>
      </c>
      <c r="K5" s="5" t="str">
        <f aca="false">IF(I5&lt;G5,"YES","")</f>
        <v/>
      </c>
      <c r="L5" s="5" t="n">
        <f aca="false">IF(J5="YES",MAX(CEILING(F5-H5,E5),0),0)</f>
        <v>0</v>
      </c>
      <c r="M5" s="5" t="n">
        <f aca="false">IF(K5="YES",MAX(CEILING(G5-I5,E5),0),0)</f>
        <v>0</v>
      </c>
      <c r="N5" s="12" t="n">
        <f aca="false">L5*D5</f>
        <v>0</v>
      </c>
      <c r="O5" s="12" t="n">
        <f aca="false">M5*D5</f>
        <v>0</v>
      </c>
      <c r="P5" s="12" t="n">
        <f aca="false">P4+N5+O5</f>
        <v>571.68</v>
      </c>
      <c r="Q5" s="5" t="str">
        <f aca="false">IF(P5&lt;=CashCap,"YES","OVER CAP")</f>
        <v>YES</v>
      </c>
      <c r="R5" s="5" t="str">
        <f aca="false">IF(LowCashMode="OFF","Normal Mode",IF(AND(OR(J5="YES",K5="YES"),Q5="YES"),"BUY NOW",IF(OR(J5="YES",K5="YES"),"DEFERRED","—")))</f>
        <v>Normal Mode</v>
      </c>
    </row>
    <row r="6" customFormat="false" ht="15" hidden="false" customHeight="false" outlineLevel="0" collapsed="false">
      <c r="A6" s="5" t="n">
        <f aca="false">ITEM_MASTER_CLEAN!A6</f>
        <v>5</v>
      </c>
      <c r="B6" s="5" t="n">
        <f aca="false">ITEM_MASTER_CLEAN!B6</f>
        <v>22401</v>
      </c>
      <c r="C6" s="5" t="str">
        <f aca="false">ITEM_MASTER_CLEAN!C6</f>
        <v>LADIP LABEL BIRTHDAY CAKE 1RLX50UN</v>
      </c>
      <c r="D6" s="12" t="n">
        <f aca="false">ITEM_MASTER_CLEAN!F6</f>
        <v>23.36</v>
      </c>
      <c r="E6" s="5" t="n">
        <f aca="false">ITEM_MASTER_CLEAN!G6</f>
        <v>1</v>
      </c>
      <c r="F6" s="5" t="n">
        <f aca="false">DEMAND_MODEL!K6*SafetyDays</f>
        <v>1.71428571428571</v>
      </c>
      <c r="G6" s="5" t="n">
        <f aca="false">DEMAND_MODEL!L6*SafetyDays</f>
        <v>0.428571428571429</v>
      </c>
      <c r="H6" s="5" t="n">
        <f aca="false">ITEM_MASTER_CLEAN!H6</f>
        <v>18</v>
      </c>
      <c r="I6" s="5" t="n">
        <f aca="false">ITEM_MASTER_CLEAN!I6</f>
        <v>4</v>
      </c>
      <c r="J6" s="5" t="str">
        <f aca="false">IF(H6&lt;F6,"YES","")</f>
        <v/>
      </c>
      <c r="K6" s="5" t="str">
        <f aca="false">IF(I6&lt;G6,"YES","")</f>
        <v/>
      </c>
      <c r="L6" s="5" t="n">
        <f aca="false">IF(J6="YES",MAX(CEILING(F6-H6,E6),0),0)</f>
        <v>0</v>
      </c>
      <c r="M6" s="5" t="n">
        <f aca="false">IF(K6="YES",MAX(CEILING(G6-I6,E6),0),0)</f>
        <v>0</v>
      </c>
      <c r="N6" s="12" t="n">
        <f aca="false">L6*D6</f>
        <v>0</v>
      </c>
      <c r="O6" s="12" t="n">
        <f aca="false">M6*D6</f>
        <v>0</v>
      </c>
      <c r="P6" s="12" t="n">
        <f aca="false">P5+N6+O6</f>
        <v>571.68</v>
      </c>
      <c r="Q6" s="5" t="str">
        <f aca="false">IF(P6&lt;=CashCap,"YES","OVER CAP")</f>
        <v>YES</v>
      </c>
      <c r="R6" s="5" t="str">
        <f aca="false">IF(LowCashMode="OFF","Normal Mode",IF(AND(OR(J6="YES",K6="YES"),Q6="YES"),"BUY NOW",IF(OR(J6="YES",K6="YES"),"DEFERRED","—")))</f>
        <v>Normal Mode</v>
      </c>
    </row>
    <row r="7" customFormat="false" ht="15" hidden="false" customHeight="false" outlineLevel="0" collapsed="false">
      <c r="A7" s="5" t="n">
        <f aca="false">ITEM_MASTER_CLEAN!A7</f>
        <v>6</v>
      </c>
      <c r="B7" s="5" t="n">
        <f aca="false">ITEM_MASTER_CLEAN!B7</f>
        <v>22402</v>
      </c>
      <c r="C7" s="5" t="str">
        <f aca="false">ITEM_MASTER_CLEAN!C7</f>
        <v>LADIP LABEL COOKIE &amp; CREAM CAKE 1RL</v>
      </c>
      <c r="D7" s="12" t="n">
        <f aca="false">ITEM_MASTER_CLEAN!F7</f>
        <v>18.46</v>
      </c>
      <c r="E7" s="5" t="n">
        <f aca="false">ITEM_MASTER_CLEAN!G7</f>
        <v>1</v>
      </c>
      <c r="F7" s="5" t="n">
        <f aca="false">DEMAND_MODEL!K7*SafetyDays</f>
        <v>0.857142857142857</v>
      </c>
      <c r="G7" s="5" t="n">
        <f aca="false">DEMAND_MODEL!L7*SafetyDays</f>
        <v>0.857142857142857</v>
      </c>
      <c r="H7" s="5" t="n">
        <f aca="false">ITEM_MASTER_CLEAN!H7</f>
        <v>3</v>
      </c>
      <c r="I7" s="5" t="n">
        <f aca="false">ITEM_MASTER_CLEAN!I7</f>
        <v>3</v>
      </c>
      <c r="J7" s="5" t="str">
        <f aca="false">IF(H7&lt;F7,"YES","")</f>
        <v/>
      </c>
      <c r="K7" s="5" t="str">
        <f aca="false">IF(I7&lt;G7,"YES","")</f>
        <v/>
      </c>
      <c r="L7" s="5" t="n">
        <f aca="false">IF(J7="YES",MAX(CEILING(F7-H7,E7),0),0)</f>
        <v>0</v>
      </c>
      <c r="M7" s="5" t="n">
        <f aca="false">IF(K7="YES",MAX(CEILING(G7-I7,E7),0),0)</f>
        <v>0</v>
      </c>
      <c r="N7" s="12" t="n">
        <f aca="false">L7*D7</f>
        <v>0</v>
      </c>
      <c r="O7" s="12" t="n">
        <f aca="false">M7*D7</f>
        <v>0</v>
      </c>
      <c r="P7" s="12" t="n">
        <f aca="false">P6+N7+O7</f>
        <v>571.68</v>
      </c>
      <c r="Q7" s="5" t="str">
        <f aca="false">IF(P7&lt;=CashCap,"YES","OVER CAP")</f>
        <v>YES</v>
      </c>
      <c r="R7" s="5" t="str">
        <f aca="false">IF(LowCashMode="OFF","Normal Mode",IF(AND(OR(J7="YES",K7="YES"),Q7="YES"),"BUY NOW",IF(OR(J7="YES",K7="YES"),"DEFERRED","—")))</f>
        <v>Normal Mode</v>
      </c>
    </row>
    <row r="8" customFormat="false" ht="15" hidden="false" customHeight="false" outlineLevel="0" collapsed="false">
      <c r="A8" s="5" t="n">
        <f aca="false">ITEM_MASTER_CLEAN!A8</f>
        <v>7</v>
      </c>
      <c r="B8" s="5" t="n">
        <f aca="false">ITEM_MASTER_CLEAN!B8</f>
        <v>22406</v>
      </c>
      <c r="C8" s="5" t="str">
        <f aca="false">ITEM_MASTER_CLEAN!C8</f>
        <v>LADIP LABEL SALTD CARAMEL CAKE 1RL</v>
      </c>
      <c r="D8" s="12" t="n">
        <f aca="false">ITEM_MASTER_CLEAN!F8</f>
        <v>19.63</v>
      </c>
      <c r="E8" s="5" t="n">
        <f aca="false">ITEM_MASTER_CLEAN!G8</f>
        <v>1</v>
      </c>
      <c r="F8" s="5" t="n">
        <f aca="false">DEMAND_MODEL!K8*SafetyDays</f>
        <v>1.28571428571429</v>
      </c>
      <c r="G8" s="5" t="n">
        <f aca="false">DEMAND_MODEL!L8*SafetyDays</f>
        <v>0.428571428571429</v>
      </c>
      <c r="H8" s="5" t="n">
        <f aca="false">ITEM_MASTER_CLEAN!H8</f>
        <v>10</v>
      </c>
      <c r="I8" s="5" t="n">
        <f aca="false">ITEM_MASTER_CLEAN!I8</f>
        <v>0</v>
      </c>
      <c r="J8" s="5" t="str">
        <f aca="false">IF(H8&lt;F8,"YES","")</f>
        <v/>
      </c>
      <c r="K8" s="5" t="str">
        <f aca="false">IF(I8&lt;G8,"YES","")</f>
        <v>YES</v>
      </c>
      <c r="L8" s="5" t="n">
        <f aca="false">IF(J8="YES",MAX(CEILING(F8-H8,E8),0),0)</f>
        <v>0</v>
      </c>
      <c r="M8" s="5" t="n">
        <f aca="false">IF(K8="YES",MAX(CEILING(G8-I8,E8),0),0)</f>
        <v>1</v>
      </c>
      <c r="N8" s="12" t="n">
        <f aca="false">L8*D8</f>
        <v>0</v>
      </c>
      <c r="O8" s="12" t="n">
        <f aca="false">M8*D8</f>
        <v>19.63</v>
      </c>
      <c r="P8" s="12" t="n">
        <f aca="false">P7+N8+O8</f>
        <v>591.31</v>
      </c>
      <c r="Q8" s="5" t="str">
        <f aca="false">IF(P8&lt;=CashCap,"YES","OVER CAP")</f>
        <v>YES</v>
      </c>
      <c r="R8" s="5" t="str">
        <f aca="false">IF(LowCashMode="OFF","Normal Mode",IF(AND(OR(J8="YES",K8="YES"),Q8="YES"),"BUY NOW",IF(OR(J8="YES",K8="YES"),"DEFERRED","—")))</f>
        <v>Normal Mode</v>
      </c>
    </row>
    <row r="9" customFormat="false" ht="23.85" hidden="false" customHeight="false" outlineLevel="0" collapsed="false">
      <c r="A9" s="5" t="n">
        <f aca="false">ITEM_MASTER_CLEAN!A9</f>
        <v>8</v>
      </c>
      <c r="B9" s="5" t="n">
        <f aca="false">ITEM_MASTER_CLEAN!B9</f>
        <v>22407</v>
      </c>
      <c r="C9" s="5" t="str">
        <f aca="false">ITEM_MASTER_CLEAN!C9</f>
        <v>LADIP LABEL STRABERRY CAKE 1RLX50UN</v>
      </c>
      <c r="D9" s="12" t="n">
        <f aca="false">ITEM_MASTER_CLEAN!F9</f>
        <v>22.62</v>
      </c>
      <c r="E9" s="5" t="n">
        <f aca="false">ITEM_MASTER_CLEAN!G9</f>
        <v>1</v>
      </c>
      <c r="F9" s="5" t="n">
        <f aca="false">DEMAND_MODEL!K9*SafetyDays</f>
        <v>1.28571428571429</v>
      </c>
      <c r="G9" s="5" t="n">
        <f aca="false">DEMAND_MODEL!L9*SafetyDays</f>
        <v>1.28571428571429</v>
      </c>
      <c r="H9" s="5" t="n">
        <f aca="false">ITEM_MASTER_CLEAN!H9</f>
        <v>1</v>
      </c>
      <c r="I9" s="5" t="n">
        <f aca="false">ITEM_MASTER_CLEAN!I9</f>
        <v>11</v>
      </c>
      <c r="J9" s="5" t="str">
        <f aca="false">IF(H9&lt;F9,"YES","")</f>
        <v>YES</v>
      </c>
      <c r="K9" s="5" t="str">
        <f aca="false">IF(I9&lt;G9,"YES","")</f>
        <v/>
      </c>
      <c r="L9" s="5" t="n">
        <f aca="false">IF(J9="YES",MAX(CEILING(F9-H9,E9),0),0)</f>
        <v>1</v>
      </c>
      <c r="M9" s="5" t="n">
        <f aca="false">IF(K9="YES",MAX(CEILING(G9-I9,E9),0),0)</f>
        <v>0</v>
      </c>
      <c r="N9" s="12" t="n">
        <f aca="false">L9*D9</f>
        <v>22.62</v>
      </c>
      <c r="O9" s="12" t="n">
        <f aca="false">M9*D9</f>
        <v>0</v>
      </c>
      <c r="P9" s="12" t="n">
        <f aca="false">P8+N9+O9</f>
        <v>613.93</v>
      </c>
      <c r="Q9" s="5" t="str">
        <f aca="false">IF(P9&lt;=CashCap,"YES","OVER CAP")</f>
        <v>YES</v>
      </c>
      <c r="R9" s="5" t="str">
        <f aca="false">IF(LowCashMode="OFF","Normal Mode",IF(AND(OR(J9="YES",K9="YES"),Q9="YES"),"BUY NOW",IF(OR(J9="YES",K9="YES"),"DEFERRED","—")))</f>
        <v>Normal Mode</v>
      </c>
    </row>
    <row r="10" customFormat="false" ht="15" hidden="false" customHeight="false" outlineLevel="0" collapsed="false">
      <c r="A10" s="5" t="n">
        <f aca="false">ITEM_MASTER_CLEAN!A10</f>
        <v>9</v>
      </c>
      <c r="B10" s="5" t="n">
        <f aca="false">ITEM_MASTER_CLEAN!B10</f>
        <v>25800</v>
      </c>
      <c r="C10" s="5" t="str">
        <f aca="false">ITEM_MASTER_CLEAN!C10</f>
        <v>CAKE CARDBOARD 8" BLCK GOLD 100</v>
      </c>
      <c r="D10" s="12" t="n">
        <f aca="false">ITEM_MASTER_CLEAN!F10</f>
        <v>15.99</v>
      </c>
      <c r="E10" s="5" t="n">
        <f aca="false">ITEM_MASTER_CLEAN!G10</f>
        <v>1</v>
      </c>
      <c r="F10" s="5" t="n">
        <f aca="false">DEMAND_MODEL!K10*SafetyDays</f>
        <v>1.28571428571429</v>
      </c>
      <c r="G10" s="5" t="n">
        <f aca="false">DEMAND_MODEL!L10*SafetyDays</f>
        <v>0.428571428571429</v>
      </c>
      <c r="H10" s="5" t="n">
        <f aca="false">ITEM_MASTER_CLEAN!H10</f>
        <v>11</v>
      </c>
      <c r="I10" s="5" t="n">
        <f aca="false">ITEM_MASTER_CLEAN!I10</f>
        <v>4</v>
      </c>
      <c r="J10" s="5" t="str">
        <f aca="false">IF(H10&lt;F10,"YES","")</f>
        <v/>
      </c>
      <c r="K10" s="5" t="str">
        <f aca="false">IF(I10&lt;G10,"YES","")</f>
        <v/>
      </c>
      <c r="L10" s="5" t="n">
        <f aca="false">IF(J10="YES",MAX(CEILING(F10-H10,E10),0),0)</f>
        <v>0</v>
      </c>
      <c r="M10" s="5" t="n">
        <f aca="false">IF(K10="YES",MAX(CEILING(G10-I10,E10),0),0)</f>
        <v>0</v>
      </c>
      <c r="N10" s="12" t="n">
        <f aca="false">L10*D10</f>
        <v>0</v>
      </c>
      <c r="O10" s="12" t="n">
        <f aca="false">M10*D10</f>
        <v>0</v>
      </c>
      <c r="P10" s="12" t="n">
        <f aca="false">P9+N10+O10</f>
        <v>613.93</v>
      </c>
      <c r="Q10" s="5" t="str">
        <f aca="false">IF(P10&lt;=CashCap,"YES","OVER CAP")</f>
        <v>YES</v>
      </c>
      <c r="R10" s="5" t="str">
        <f aca="false">IF(LowCashMode="OFF","Normal Mode",IF(AND(OR(J10="YES",K10="YES"),Q10="YES"),"BUY NOW",IF(OR(J10="YES",K10="YES"),"DEFERRED","—")))</f>
        <v>Normal Mode</v>
      </c>
    </row>
    <row r="11" customFormat="false" ht="15" hidden="false" customHeight="false" outlineLevel="0" collapsed="false">
      <c r="A11" s="5" t="n">
        <f aca="false">ITEM_MASTER_CLEAN!A11</f>
        <v>10</v>
      </c>
      <c r="B11" s="5" t="n">
        <f aca="false">ITEM_MASTER_CLEAN!B11</f>
        <v>25802</v>
      </c>
      <c r="C11" s="5" t="str">
        <f aca="false">ITEM_MASTER_CLEAN!C11</f>
        <v>ACETATE ROLL 3.5"X1250" 4MM 1RL</v>
      </c>
      <c r="D11" s="12" t="n">
        <f aca="false">ITEM_MASTER_CLEAN!F11</f>
        <v>23.42</v>
      </c>
      <c r="E11" s="5" t="n">
        <f aca="false">ITEM_MASTER_CLEAN!G11</f>
        <v>1</v>
      </c>
      <c r="F11" s="5" t="n">
        <f aca="false">DEMAND_MODEL!K11*SafetyDays</f>
        <v>1.28571428571429</v>
      </c>
      <c r="G11" s="5" t="n">
        <f aca="false">DEMAND_MODEL!L11*SafetyDays</f>
        <v>1.28571428571429</v>
      </c>
      <c r="H11" s="5" t="n">
        <f aca="false">ITEM_MASTER_CLEAN!H11</f>
        <v>14</v>
      </c>
      <c r="I11" s="5" t="n">
        <f aca="false">ITEM_MASTER_CLEAN!I11</f>
        <v>11</v>
      </c>
      <c r="J11" s="5" t="str">
        <f aca="false">IF(H11&lt;F11,"YES","")</f>
        <v/>
      </c>
      <c r="K11" s="5" t="str">
        <f aca="false">IF(I11&lt;G11,"YES","")</f>
        <v/>
      </c>
      <c r="L11" s="5" t="n">
        <f aca="false">IF(J11="YES",MAX(CEILING(F11-H11,E11),0),0)</f>
        <v>0</v>
      </c>
      <c r="M11" s="5" t="n">
        <f aca="false">IF(K11="YES",MAX(CEILING(G11-I11,E11),0),0)</f>
        <v>0</v>
      </c>
      <c r="N11" s="12" t="n">
        <f aca="false">L11*D11</f>
        <v>0</v>
      </c>
      <c r="O11" s="12" t="n">
        <f aca="false">M11*D11</f>
        <v>0</v>
      </c>
      <c r="P11" s="12" t="n">
        <f aca="false">P10+N11+O11</f>
        <v>613.93</v>
      </c>
      <c r="Q11" s="5" t="str">
        <f aca="false">IF(P11&lt;=CashCap,"YES","OVER CAP")</f>
        <v>YES</v>
      </c>
      <c r="R11" s="5" t="str">
        <f aca="false">IF(LowCashMode="OFF","Normal Mode",IF(AND(OR(J11="YES",K11="YES"),Q11="YES"),"BUY NOW",IF(OR(J11="YES",K11="YES"),"DEFERRED","—")))</f>
        <v>Normal Mode</v>
      </c>
    </row>
    <row r="12" customFormat="false" ht="15" hidden="false" customHeight="false" outlineLevel="0" collapsed="false">
      <c r="A12" s="5" t="n">
        <f aca="false">ITEM_MASTER_CLEAN!A12</f>
        <v>11</v>
      </c>
      <c r="B12" s="5" t="n">
        <f aca="false">ITEM_MASTER_CLEAN!B12</f>
        <v>19689</v>
      </c>
      <c r="C12" s="5" t="str">
        <f aca="false">ITEM_MASTER_CLEAN!C12</f>
        <v>CAKE CUPCAKE BLACKOUT 8X4UN</v>
      </c>
      <c r="D12" s="12" t="n">
        <f aca="false">ITEM_MASTER_CLEAN!F12</f>
        <v>13.82</v>
      </c>
      <c r="E12" s="5" t="n">
        <f aca="false">ITEM_MASTER_CLEAN!G12</f>
        <v>8</v>
      </c>
      <c r="F12" s="5" t="n">
        <f aca="false">DEMAND_MODEL!K12*SafetyDays</f>
        <v>0.428571428571429</v>
      </c>
      <c r="G12" s="5" t="n">
        <f aca="false">DEMAND_MODEL!L12*SafetyDays</f>
        <v>0.428571428571429</v>
      </c>
      <c r="H12" s="5" t="n">
        <f aca="false">ITEM_MASTER_CLEAN!H12</f>
        <v>1</v>
      </c>
      <c r="I12" s="5" t="n">
        <f aca="false">ITEM_MASTER_CLEAN!I12</f>
        <v>1</v>
      </c>
      <c r="J12" s="5" t="str">
        <f aca="false">IF(H12&lt;F12,"YES","")</f>
        <v/>
      </c>
      <c r="K12" s="5" t="str">
        <f aca="false">IF(I12&lt;G12,"YES","")</f>
        <v/>
      </c>
      <c r="L12" s="5" t="n">
        <f aca="false">IF(J12="YES",MAX(CEILING(F12-H12,E12),0),0)</f>
        <v>0</v>
      </c>
      <c r="M12" s="5" t="n">
        <f aca="false">IF(K12="YES",MAX(CEILING(G12-I12,E12),0),0)</f>
        <v>0</v>
      </c>
      <c r="N12" s="12" t="n">
        <f aca="false">L12*D12</f>
        <v>0</v>
      </c>
      <c r="O12" s="12" t="n">
        <f aca="false">M12*D12</f>
        <v>0</v>
      </c>
      <c r="P12" s="12" t="n">
        <f aca="false">P11+N12+O12</f>
        <v>613.93</v>
      </c>
      <c r="Q12" s="5" t="str">
        <f aca="false">IF(P12&lt;=CashCap,"YES","OVER CAP")</f>
        <v>YES</v>
      </c>
      <c r="R12" s="5" t="str">
        <f aca="false">IF(LowCashMode="OFF","Normal Mode",IF(AND(OR(J12="YES",K12="YES"),Q12="YES"),"BUY NOW",IF(OR(J12="YES",K12="YES"),"DEFERRED","—")))</f>
        <v>Normal Mode</v>
      </c>
    </row>
    <row r="13" customFormat="false" ht="15" hidden="false" customHeight="false" outlineLevel="0" collapsed="false">
      <c r="A13" s="5" t="n">
        <f aca="false">ITEM_MASTER_CLEAN!A13</f>
        <v>12</v>
      </c>
      <c r="B13" s="5" t="n">
        <f aca="false">ITEM_MASTER_CLEAN!B13</f>
        <v>19692</v>
      </c>
      <c r="C13" s="5" t="str">
        <f aca="false">ITEM_MASTER_CLEAN!C13</f>
        <v>CAKE CUPCAKE RED VELVET 8X4UN</v>
      </c>
      <c r="D13" s="12" t="n">
        <f aca="false">ITEM_MASTER_CLEAN!F13</f>
        <v>21.36</v>
      </c>
      <c r="E13" s="5" t="n">
        <f aca="false">ITEM_MASTER_CLEAN!G13</f>
        <v>8</v>
      </c>
      <c r="F13" s="5" t="n">
        <f aca="false">DEMAND_MODEL!K13*SafetyDays</f>
        <v>0.857142857142857</v>
      </c>
      <c r="G13" s="5" t="n">
        <f aca="false">DEMAND_MODEL!L13*SafetyDays</f>
        <v>0.428571428571429</v>
      </c>
      <c r="H13" s="5" t="n">
        <f aca="false">ITEM_MASTER_CLEAN!H13</f>
        <v>6</v>
      </c>
      <c r="I13" s="5" t="n">
        <f aca="false">ITEM_MASTER_CLEAN!I13</f>
        <v>4</v>
      </c>
      <c r="J13" s="5" t="str">
        <f aca="false">IF(H13&lt;F13,"YES","")</f>
        <v/>
      </c>
      <c r="K13" s="5" t="str">
        <f aca="false">IF(I13&lt;G13,"YES","")</f>
        <v/>
      </c>
      <c r="L13" s="5" t="n">
        <f aca="false">IF(J13="YES",MAX(CEILING(F13-H13,E13),0),0)</f>
        <v>0</v>
      </c>
      <c r="M13" s="5" t="n">
        <f aca="false">IF(K13="YES",MAX(CEILING(G13-I13,E13),0),0)</f>
        <v>0</v>
      </c>
      <c r="N13" s="12" t="n">
        <f aca="false">L13*D13</f>
        <v>0</v>
      </c>
      <c r="O13" s="12" t="n">
        <f aca="false">M13*D13</f>
        <v>0</v>
      </c>
      <c r="P13" s="12" t="n">
        <f aca="false">P12+N13+O13</f>
        <v>613.93</v>
      </c>
      <c r="Q13" s="5" t="str">
        <f aca="false">IF(P13&lt;=CashCap,"YES","OVER CAP")</f>
        <v>YES</v>
      </c>
      <c r="R13" s="5" t="str">
        <f aca="false">IF(LowCashMode="OFF","Normal Mode",IF(AND(OR(J13="YES",K13="YES"),Q13="YES"),"BUY NOW",IF(OR(J13="YES",K13="YES"),"DEFERRED","—")))</f>
        <v>Normal Mode</v>
      </c>
    </row>
    <row r="14" customFormat="false" ht="15" hidden="false" customHeight="false" outlineLevel="0" collapsed="false">
      <c r="A14" s="5" t="n">
        <f aca="false">ITEM_MASTER_CLEAN!A14</f>
        <v>13</v>
      </c>
      <c r="B14" s="5" t="n">
        <f aca="false">ITEM_MASTER_CLEAN!B14</f>
        <v>19693</v>
      </c>
      <c r="C14" s="5" t="str">
        <f aca="false">ITEM_MASTER_CLEAN!C14</f>
        <v>CAKE CUPCAKE VANILLA BEAN 8X4UN</v>
      </c>
      <c r="D14" s="12" t="n">
        <f aca="false">ITEM_MASTER_CLEAN!F14</f>
        <v>17.87</v>
      </c>
      <c r="E14" s="5" t="n">
        <f aca="false">ITEM_MASTER_CLEAN!G14</f>
        <v>8</v>
      </c>
      <c r="F14" s="5" t="n">
        <f aca="false">DEMAND_MODEL!K14*SafetyDays</f>
        <v>0.428571428571429</v>
      </c>
      <c r="G14" s="5" t="n">
        <f aca="false">DEMAND_MODEL!L14*SafetyDays</f>
        <v>0.857142857142857</v>
      </c>
      <c r="H14" s="5" t="n">
        <f aca="false">ITEM_MASTER_CLEAN!H14</f>
        <v>1</v>
      </c>
      <c r="I14" s="5" t="n">
        <f aca="false">ITEM_MASTER_CLEAN!I14</f>
        <v>3</v>
      </c>
      <c r="J14" s="5" t="str">
        <f aca="false">IF(H14&lt;F14,"YES","")</f>
        <v/>
      </c>
      <c r="K14" s="5" t="str">
        <f aca="false">IF(I14&lt;G14,"YES","")</f>
        <v/>
      </c>
      <c r="L14" s="5" t="n">
        <f aca="false">IF(J14="YES",MAX(CEILING(F14-H14,E14),0),0)</f>
        <v>0</v>
      </c>
      <c r="M14" s="5" t="n">
        <f aca="false">IF(K14="YES",MAX(CEILING(G14-I14,E14),0),0)</f>
        <v>0</v>
      </c>
      <c r="N14" s="12" t="n">
        <f aca="false">L14*D14</f>
        <v>0</v>
      </c>
      <c r="O14" s="12" t="n">
        <f aca="false">M14*D14</f>
        <v>0</v>
      </c>
      <c r="P14" s="12" t="n">
        <f aca="false">P13+N14+O14</f>
        <v>613.93</v>
      </c>
      <c r="Q14" s="5" t="str">
        <f aca="false">IF(P14&lt;=CashCap,"YES","OVER CAP")</f>
        <v>YES</v>
      </c>
      <c r="R14" s="5" t="str">
        <f aca="false">IF(LowCashMode="OFF","Normal Mode",IF(AND(OR(J14="YES",K14="YES"),Q14="YES"),"BUY NOW",IF(OR(J14="YES",K14="YES"),"DEFERRED","—")))</f>
        <v>Normal Mode</v>
      </c>
    </row>
    <row r="15" customFormat="false" ht="15" hidden="false" customHeight="false" outlineLevel="0" collapsed="false">
      <c r="A15" s="5" t="n">
        <f aca="false">ITEM_MASTER_CLEAN!A15</f>
        <v>14</v>
      </c>
      <c r="B15" s="5" t="n">
        <f aca="false">ITEM_MASTER_CLEAN!B15</f>
        <v>19688</v>
      </c>
      <c r="C15" s="5" t="str">
        <f aca="false">ITEM_MASTER_CLEAN!C15</f>
        <v>CAKE CHEESE ORIGINAL 6X6"</v>
      </c>
      <c r="D15" s="12" t="n">
        <f aca="false">ITEM_MASTER_CLEAN!F15</f>
        <v>58</v>
      </c>
      <c r="E15" s="5" t="n">
        <f aca="false">ITEM_MASTER_CLEAN!G15</f>
        <v>6</v>
      </c>
      <c r="F15" s="5" t="n">
        <f aca="false">DEMAND_MODEL!K15*SafetyDays</f>
        <v>0.428571428571429</v>
      </c>
      <c r="G15" s="5" t="n">
        <f aca="false">DEMAND_MODEL!L15*SafetyDays</f>
        <v>0.857142857142857</v>
      </c>
      <c r="H15" s="5" t="n">
        <f aca="false">ITEM_MASTER_CLEAN!H15</f>
        <v>0</v>
      </c>
      <c r="I15" s="5" t="n">
        <f aca="false">ITEM_MASTER_CLEAN!I15</f>
        <v>7</v>
      </c>
      <c r="J15" s="5" t="str">
        <f aca="false">IF(H15&lt;F15,"YES","")</f>
        <v>YES</v>
      </c>
      <c r="K15" s="5" t="str">
        <f aca="false">IF(I15&lt;G15,"YES","")</f>
        <v/>
      </c>
      <c r="L15" s="5" t="n">
        <f aca="false">IF(J15="YES",MAX(CEILING(F15-H15,E15),0),0)</f>
        <v>6</v>
      </c>
      <c r="M15" s="5" t="n">
        <f aca="false">IF(K15="YES",MAX(CEILING(G15-I15,E15),0),0)</f>
        <v>0</v>
      </c>
      <c r="N15" s="12" t="n">
        <f aca="false">L15*D15</f>
        <v>348</v>
      </c>
      <c r="O15" s="12" t="n">
        <f aca="false">M15*D15</f>
        <v>0</v>
      </c>
      <c r="P15" s="12" t="n">
        <f aca="false">P14+N15+O15</f>
        <v>961.93</v>
      </c>
      <c r="Q15" s="5" t="str">
        <f aca="false">IF(P15&lt;=CashCap,"YES","OVER CAP")</f>
        <v>YES</v>
      </c>
      <c r="R15" s="5" t="str">
        <f aca="false">IF(LowCashMode="OFF","Normal Mode",IF(AND(OR(J15="YES",K15="YES"),Q15="YES"),"BUY NOW",IF(OR(J15="YES",K15="YES"),"DEFERRED","—")))</f>
        <v>Normal Mode</v>
      </c>
    </row>
    <row r="16" customFormat="false" ht="15" hidden="false" customHeight="false" outlineLevel="0" collapsed="false">
      <c r="A16" s="5" t="n">
        <f aca="false">ITEM_MASTER_CLEAN!A16</f>
        <v>15</v>
      </c>
      <c r="B16" s="5" t="n">
        <f aca="false">ITEM_MASTER_CLEAN!B16</f>
        <v>19687</v>
      </c>
      <c r="C16" s="5" t="str">
        <f aca="false">ITEM_MASTER_CLEAN!C16</f>
        <v>CAKE CHEESE WHT CHOC/RASP 6X6"</v>
      </c>
      <c r="D16" s="12" t="n">
        <f aca="false">ITEM_MASTER_CLEAN!F16</f>
        <v>84.7</v>
      </c>
      <c r="E16" s="5" t="n">
        <f aca="false">ITEM_MASTER_CLEAN!G16</f>
        <v>6</v>
      </c>
      <c r="F16" s="5" t="n">
        <f aca="false">DEMAND_MODEL!K16*SafetyDays</f>
        <v>1.28571428571429</v>
      </c>
      <c r="G16" s="5" t="n">
        <f aca="false">DEMAND_MODEL!L16*SafetyDays</f>
        <v>0.857142857142857</v>
      </c>
      <c r="H16" s="5" t="n">
        <f aca="false">ITEM_MASTER_CLEAN!H16</f>
        <v>0</v>
      </c>
      <c r="I16" s="5" t="n">
        <f aca="false">ITEM_MASTER_CLEAN!I16</f>
        <v>0</v>
      </c>
      <c r="J16" s="5" t="str">
        <f aca="false">IF(H16&lt;F16,"YES","")</f>
        <v>YES</v>
      </c>
      <c r="K16" s="5" t="str">
        <f aca="false">IF(I16&lt;G16,"YES","")</f>
        <v>YES</v>
      </c>
      <c r="L16" s="5" t="n">
        <f aca="false">IF(J16="YES",MAX(CEILING(F16-H16,E16),0),0)</f>
        <v>6</v>
      </c>
      <c r="M16" s="5" t="n">
        <f aca="false">IF(K16="YES",MAX(CEILING(G16-I16,E16),0),0)</f>
        <v>6</v>
      </c>
      <c r="N16" s="12" t="n">
        <f aca="false">L16*D16</f>
        <v>508.2</v>
      </c>
      <c r="O16" s="12" t="n">
        <f aca="false">M16*D16</f>
        <v>508.2</v>
      </c>
      <c r="P16" s="12" t="n">
        <f aca="false">P15+N16+O16</f>
        <v>1978.33</v>
      </c>
      <c r="Q16" s="5" t="str">
        <f aca="false">IF(P16&lt;=CashCap,"YES","OVER CAP")</f>
        <v>YES</v>
      </c>
      <c r="R16" s="5" t="str">
        <f aca="false">IF(LowCashMode="OFF","Normal Mode",IF(AND(OR(J16="YES",K16="YES"),Q16="YES"),"BUY NOW",IF(OR(J16="YES",K16="YES"),"DEFERRED","—")))</f>
        <v>Normal Mode</v>
      </c>
    </row>
    <row r="17" customFormat="false" ht="15" hidden="false" customHeight="false" outlineLevel="0" collapsed="false">
      <c r="A17" s="5" t="n">
        <f aca="false">ITEM_MASTER_CLEAN!A17</f>
        <v>16</v>
      </c>
      <c r="B17" s="5" t="n">
        <f aca="false">ITEM_MASTER_CLEAN!B17</f>
        <v>19685</v>
      </c>
      <c r="C17" s="5" t="str">
        <f aca="false">ITEM_MASTER_CLEAN!C17</f>
        <v>CAKE CHEESE CHOC MOUSSE 6X6"</v>
      </c>
      <c r="D17" s="12" t="n">
        <f aca="false">ITEM_MASTER_CLEAN!F17</f>
        <v>40.56</v>
      </c>
      <c r="E17" s="5" t="n">
        <f aca="false">ITEM_MASTER_CLEAN!G17</f>
        <v>6</v>
      </c>
      <c r="F17" s="5" t="n">
        <f aca="false">DEMAND_MODEL!K17*SafetyDays</f>
        <v>0.428571428571429</v>
      </c>
      <c r="G17" s="5" t="n">
        <f aca="false">DEMAND_MODEL!L17*SafetyDays</f>
        <v>0.428571428571429</v>
      </c>
      <c r="H17" s="5" t="n">
        <f aca="false">ITEM_MASTER_CLEAN!H17</f>
        <v>1</v>
      </c>
      <c r="I17" s="5" t="n">
        <f aca="false">ITEM_MASTER_CLEAN!I17</f>
        <v>1</v>
      </c>
      <c r="J17" s="5" t="str">
        <f aca="false">IF(H17&lt;F17,"YES","")</f>
        <v/>
      </c>
      <c r="K17" s="5" t="str">
        <f aca="false">IF(I17&lt;G17,"YES","")</f>
        <v/>
      </c>
      <c r="L17" s="5" t="n">
        <f aca="false">IF(J17="YES",MAX(CEILING(F17-H17,E17),0),0)</f>
        <v>0</v>
      </c>
      <c r="M17" s="5" t="n">
        <f aca="false">IF(K17="YES",MAX(CEILING(G17-I17,E17),0),0)</f>
        <v>0</v>
      </c>
      <c r="N17" s="12" t="n">
        <f aca="false">L17*D17</f>
        <v>0</v>
      </c>
      <c r="O17" s="12" t="n">
        <f aca="false">M17*D17</f>
        <v>0</v>
      </c>
      <c r="P17" s="12" t="n">
        <f aca="false">P16+N17+O17</f>
        <v>1978.33</v>
      </c>
      <c r="Q17" s="5" t="str">
        <f aca="false">IF(P17&lt;=CashCap,"YES","OVER CAP")</f>
        <v>YES</v>
      </c>
      <c r="R17" s="5" t="str">
        <f aca="false">IF(LowCashMode="OFF","Normal Mode",IF(AND(OR(J17="YES",K17="YES"),Q17="YES"),"BUY NOW",IF(OR(J17="YES",K17="YES"),"DEFERRED","—")))</f>
        <v>Normal Mode</v>
      </c>
    </row>
    <row r="18" customFormat="false" ht="15" hidden="false" customHeight="false" outlineLevel="0" collapsed="false">
      <c r="A18" s="5" t="n">
        <f aca="false">ITEM_MASTER_CLEAN!A18</f>
        <v>17</v>
      </c>
      <c r="B18" s="5" t="n">
        <f aca="false">ITEM_MASTER_CLEAN!B18</f>
        <v>19628</v>
      </c>
      <c r="C18" s="5" t="str">
        <f aca="false">ITEM_MASTER_CLEAN!C18</f>
        <v>CAKE CHEESE CAKE FACTORY 2X14UN</v>
      </c>
      <c r="D18" s="12" t="n">
        <f aca="false">ITEM_MASTER_CLEAN!F18</f>
        <v>33.35</v>
      </c>
      <c r="E18" s="5" t="n">
        <f aca="false">ITEM_MASTER_CLEAN!G18</f>
        <v>2</v>
      </c>
      <c r="F18" s="5" t="n">
        <f aca="false">DEMAND_MODEL!K18*SafetyDays</f>
        <v>0.857142857142857</v>
      </c>
      <c r="G18" s="5" t="n">
        <f aca="false">DEMAND_MODEL!L18*SafetyDays</f>
        <v>0.428571428571429</v>
      </c>
      <c r="H18" s="5" t="n">
        <f aca="false">ITEM_MASTER_CLEAN!H18</f>
        <v>3</v>
      </c>
      <c r="I18" s="5" t="n">
        <f aca="false">ITEM_MASTER_CLEAN!I18</f>
        <v>1</v>
      </c>
      <c r="J18" s="5" t="str">
        <f aca="false">IF(H18&lt;F18,"YES","")</f>
        <v/>
      </c>
      <c r="K18" s="5" t="str">
        <f aca="false">IF(I18&lt;G18,"YES","")</f>
        <v/>
      </c>
      <c r="L18" s="5" t="n">
        <f aca="false">IF(J18="YES",MAX(CEILING(F18-H18,E18),0),0)</f>
        <v>0</v>
      </c>
      <c r="M18" s="5" t="n">
        <f aca="false">IF(K18="YES",MAX(CEILING(G18-I18,E18),0),0)</f>
        <v>0</v>
      </c>
      <c r="N18" s="12" t="n">
        <f aca="false">L18*D18</f>
        <v>0</v>
      </c>
      <c r="O18" s="12" t="n">
        <f aca="false">M18*D18</f>
        <v>0</v>
      </c>
      <c r="P18" s="12" t="n">
        <f aca="false">P17+N18+O18</f>
        <v>1978.33</v>
      </c>
      <c r="Q18" s="5" t="str">
        <f aca="false">IF(P18&lt;=CashCap,"YES","OVER CAP")</f>
        <v>YES</v>
      </c>
      <c r="R18" s="5" t="str">
        <f aca="false">IF(LowCashMode="OFF","Normal Mode",IF(AND(OR(J18="YES",K18="YES"),Q18="YES"),"BUY NOW",IF(OR(J18="YES",K18="YES"),"DEFERRED","—")))</f>
        <v>Normal Mode</v>
      </c>
    </row>
    <row r="19" customFormat="false" ht="15" hidden="false" customHeight="false" outlineLevel="0" collapsed="false">
      <c r="A19" s="5" t="n">
        <f aca="false">ITEM_MASTER_CLEAN!A19</f>
        <v>18</v>
      </c>
      <c r="B19" s="5" t="n">
        <f aca="false">ITEM_MASTER_CLEAN!B19</f>
        <v>16992</v>
      </c>
      <c r="C19" s="5" t="str">
        <f aca="false">ITEM_MASTER_CLEAN!C19</f>
        <v>CAKE CHEESE MANGO LIME X2</v>
      </c>
      <c r="D19" s="12" t="n">
        <f aca="false">ITEM_MASTER_CLEAN!F19</f>
        <v>72.45</v>
      </c>
      <c r="E19" s="5" t="n">
        <f aca="false">ITEM_MASTER_CLEAN!G19</f>
        <v>2</v>
      </c>
      <c r="F19" s="5" t="n">
        <f aca="false">DEMAND_MODEL!K19*SafetyDays</f>
        <v>0.428571428571429</v>
      </c>
      <c r="G19" s="5" t="n">
        <f aca="false">DEMAND_MODEL!L19*SafetyDays</f>
        <v>0.857142857142857</v>
      </c>
      <c r="H19" s="5" t="n">
        <f aca="false">ITEM_MASTER_CLEAN!H19</f>
        <v>0</v>
      </c>
      <c r="I19" s="5" t="n">
        <f aca="false">ITEM_MASTER_CLEAN!I19</f>
        <v>0</v>
      </c>
      <c r="J19" s="5" t="str">
        <f aca="false">IF(H19&lt;F19,"YES","")</f>
        <v>YES</v>
      </c>
      <c r="K19" s="5" t="str">
        <f aca="false">IF(I19&lt;G19,"YES","")</f>
        <v>YES</v>
      </c>
      <c r="L19" s="5" t="n">
        <f aca="false">IF(J19="YES",MAX(CEILING(F19-H19,E19),0),0)</f>
        <v>2</v>
      </c>
      <c r="M19" s="5" t="n">
        <f aca="false">IF(K19="YES",MAX(CEILING(G19-I19,E19),0),0)</f>
        <v>2</v>
      </c>
      <c r="N19" s="12" t="n">
        <f aca="false">L19*D19</f>
        <v>144.9</v>
      </c>
      <c r="O19" s="12" t="n">
        <f aca="false">M19*D19</f>
        <v>144.9</v>
      </c>
      <c r="P19" s="12" t="n">
        <f aca="false">P18+N19+O19</f>
        <v>2268.13</v>
      </c>
      <c r="Q19" s="5" t="str">
        <f aca="false">IF(P19&lt;=CashCap,"YES","OVER CAP")</f>
        <v>OVER CAP</v>
      </c>
      <c r="R19" s="5" t="str">
        <f aca="false">IF(LowCashMode="OFF","Normal Mode",IF(AND(OR(J19="YES",K19="YES"),Q19="YES"),"BUY NOW",IF(OR(J19="YES",K19="YES"),"DEFERRED","—")))</f>
        <v>Normal Mode</v>
      </c>
    </row>
    <row r="20" customFormat="false" ht="15" hidden="false" customHeight="false" outlineLevel="0" collapsed="false">
      <c r="A20" s="5" t="n">
        <f aca="false">ITEM_MASTER_CLEAN!A20</f>
        <v>19</v>
      </c>
      <c r="B20" s="5" t="n">
        <f aca="false">ITEM_MASTER_CLEAN!B20</f>
        <v>16995</v>
      </c>
      <c r="C20" s="5" t="str">
        <f aca="false">ITEM_MASTER_CLEAN!C20</f>
        <v>CAKE CHEESE CINNABON X2</v>
      </c>
      <c r="D20" s="12" t="n">
        <f aca="false">ITEM_MASTER_CLEAN!F20</f>
        <v>41.11</v>
      </c>
      <c r="E20" s="5" t="n">
        <f aca="false">ITEM_MASTER_CLEAN!G20</f>
        <v>2</v>
      </c>
      <c r="F20" s="5" t="n">
        <f aca="false">DEMAND_MODEL!K20*SafetyDays</f>
        <v>0.428571428571429</v>
      </c>
      <c r="G20" s="5" t="n">
        <f aca="false">DEMAND_MODEL!L20*SafetyDays</f>
        <v>0.857142857142857</v>
      </c>
      <c r="H20" s="5" t="n">
        <f aca="false">ITEM_MASTER_CLEAN!H20</f>
        <v>3</v>
      </c>
      <c r="I20" s="5" t="n">
        <f aca="false">ITEM_MASTER_CLEAN!I20</f>
        <v>0</v>
      </c>
      <c r="J20" s="5" t="str">
        <f aca="false">IF(H20&lt;F20,"YES","")</f>
        <v/>
      </c>
      <c r="K20" s="5" t="str">
        <f aca="false">IF(I20&lt;G20,"YES","")</f>
        <v>YES</v>
      </c>
      <c r="L20" s="5" t="n">
        <f aca="false">IF(J20="YES",MAX(CEILING(F20-H20,E20),0),0)</f>
        <v>0</v>
      </c>
      <c r="M20" s="5" t="n">
        <f aca="false">IF(K20="YES",MAX(CEILING(G20-I20,E20),0),0)</f>
        <v>2</v>
      </c>
      <c r="N20" s="12" t="n">
        <f aca="false">L20*D20</f>
        <v>0</v>
      </c>
      <c r="O20" s="12" t="n">
        <f aca="false">M20*D20</f>
        <v>82.22</v>
      </c>
      <c r="P20" s="12" t="n">
        <f aca="false">P19+N20+O20</f>
        <v>2350.35</v>
      </c>
      <c r="Q20" s="5" t="str">
        <f aca="false">IF(P20&lt;=CashCap,"YES","OVER CAP")</f>
        <v>OVER CAP</v>
      </c>
      <c r="R20" s="5" t="str">
        <f aca="false">IF(LowCashMode="OFF","Normal Mode",IF(AND(OR(J20="YES",K20="YES"),Q20="YES"),"BUY NOW",IF(OR(J20="YES",K20="YES"),"DEFERRED","—")))</f>
        <v>Normal Mode</v>
      </c>
    </row>
    <row r="21" customFormat="false" ht="15" hidden="false" customHeight="false" outlineLevel="0" collapsed="false">
      <c r="A21" s="5" t="n">
        <f aca="false">ITEM_MASTER_CLEAN!A21</f>
        <v>20</v>
      </c>
      <c r="B21" s="5" t="n">
        <f aca="false">ITEM_MASTER_CLEAN!B21</f>
        <v>19629</v>
      </c>
      <c r="C21" s="5" t="str">
        <f aca="false">ITEM_MASTER_CLEAN!C21</f>
        <v>CAKE GODIVA DBL CHOC CHEESE 2X28PC</v>
      </c>
      <c r="D21" s="12" t="n">
        <f aca="false">ITEM_MASTER_CLEAN!F21</f>
        <v>29.38</v>
      </c>
      <c r="E21" s="5" t="n">
        <f aca="false">ITEM_MASTER_CLEAN!G21</f>
        <v>2</v>
      </c>
      <c r="F21" s="5" t="n">
        <f aca="false">DEMAND_MODEL!K21*SafetyDays</f>
        <v>0.428571428571429</v>
      </c>
      <c r="G21" s="5" t="n">
        <f aca="false">DEMAND_MODEL!L21*SafetyDays</f>
        <v>0.857142857142857</v>
      </c>
      <c r="H21" s="5" t="n">
        <f aca="false">ITEM_MASTER_CLEAN!H21</f>
        <v>0</v>
      </c>
      <c r="I21" s="5" t="n">
        <f aca="false">ITEM_MASTER_CLEAN!I21</f>
        <v>7</v>
      </c>
      <c r="J21" s="5" t="str">
        <f aca="false">IF(H21&lt;F21,"YES","")</f>
        <v>YES</v>
      </c>
      <c r="K21" s="5" t="str">
        <f aca="false">IF(I21&lt;G21,"YES","")</f>
        <v/>
      </c>
      <c r="L21" s="5" t="n">
        <f aca="false">IF(J21="YES",MAX(CEILING(F21-H21,E21),0),0)</f>
        <v>2</v>
      </c>
      <c r="M21" s="5" t="n">
        <f aca="false">IF(K21="YES",MAX(CEILING(G21-I21,E21),0),0)</f>
        <v>0</v>
      </c>
      <c r="N21" s="12" t="n">
        <f aca="false">L21*D21</f>
        <v>58.76</v>
      </c>
      <c r="O21" s="12" t="n">
        <f aca="false">M21*D21</f>
        <v>0</v>
      </c>
      <c r="P21" s="12" t="n">
        <f aca="false">P20+N21+O21</f>
        <v>2409.11</v>
      </c>
      <c r="Q21" s="5" t="str">
        <f aca="false">IF(P21&lt;=CashCap,"YES","OVER CAP")</f>
        <v>OVER CAP</v>
      </c>
      <c r="R21" s="5" t="str">
        <f aca="false">IF(LowCashMode="OFF","Normal Mode",IF(AND(OR(J21="YES",K21="YES"),Q21="YES"),"BUY NOW",IF(OR(J21="YES",K21="YES"),"DEFERRED","—")))</f>
        <v>Normal Mode</v>
      </c>
    </row>
    <row r="22" customFormat="false" ht="15" hidden="false" customHeight="false" outlineLevel="0" collapsed="false">
      <c r="A22" s="5" t="n">
        <f aca="false">ITEM_MASTER_CLEAN!A22</f>
        <v>21</v>
      </c>
      <c r="B22" s="5" t="n">
        <f aca="false">ITEM_MASTER_CLEAN!B22</f>
        <v>16993</v>
      </c>
      <c r="C22" s="5" t="str">
        <f aca="false">ITEM_MASTER_CLEAN!C22</f>
        <v>CAKE CHEESE OREO X2</v>
      </c>
      <c r="D22" s="12" t="n">
        <f aca="false">ITEM_MASTER_CLEAN!F22</f>
        <v>55.72</v>
      </c>
      <c r="E22" s="5" t="n">
        <f aca="false">ITEM_MASTER_CLEAN!G22</f>
        <v>2</v>
      </c>
      <c r="F22" s="5" t="n">
        <f aca="false">DEMAND_MODEL!K22*SafetyDays</f>
        <v>0.857142857142857</v>
      </c>
      <c r="G22" s="5" t="n">
        <f aca="false">DEMAND_MODEL!L22*SafetyDays</f>
        <v>0.857142857142857</v>
      </c>
      <c r="H22" s="5" t="n">
        <f aca="false">ITEM_MASTER_CLEAN!H22</f>
        <v>2</v>
      </c>
      <c r="I22" s="5" t="n">
        <f aca="false">ITEM_MASTER_CLEAN!I22</f>
        <v>3</v>
      </c>
      <c r="J22" s="5" t="str">
        <f aca="false">IF(H22&lt;F22,"YES","")</f>
        <v/>
      </c>
      <c r="K22" s="5" t="str">
        <f aca="false">IF(I22&lt;G22,"YES","")</f>
        <v/>
      </c>
      <c r="L22" s="5" t="n">
        <f aca="false">IF(J22="YES",MAX(CEILING(F22-H22,E22),0),0)</f>
        <v>0</v>
      </c>
      <c r="M22" s="5" t="n">
        <f aca="false">IF(K22="YES",MAX(CEILING(G22-I22,E22),0),0)</f>
        <v>0</v>
      </c>
      <c r="N22" s="12" t="n">
        <f aca="false">L22*D22</f>
        <v>0</v>
      </c>
      <c r="O22" s="12" t="n">
        <f aca="false">M22*D22</f>
        <v>0</v>
      </c>
      <c r="P22" s="12" t="n">
        <f aca="false">P21+N22+O22</f>
        <v>2409.11</v>
      </c>
      <c r="Q22" s="5" t="str">
        <f aca="false">IF(P22&lt;=CashCap,"YES","OVER CAP")</f>
        <v>OVER CAP</v>
      </c>
      <c r="R22" s="5" t="str">
        <f aca="false">IF(LowCashMode="OFF","Normal Mode",IF(AND(OR(J22="YES",K22="YES"),Q22="YES"),"BUY NOW",IF(OR(J22="YES",K22="YES"),"DEFERRED","—")))</f>
        <v>Normal Mode</v>
      </c>
    </row>
    <row r="23" customFormat="false" ht="15" hidden="false" customHeight="false" outlineLevel="0" collapsed="false">
      <c r="A23" s="5" t="n">
        <f aca="false">ITEM_MASTER_CLEAN!A23</f>
        <v>22</v>
      </c>
      <c r="B23" s="5" t="n">
        <f aca="false">ITEM_MASTER_CLEAN!B23</f>
        <v>16988</v>
      </c>
      <c r="C23" s="5" t="str">
        <f aca="false">ITEM_MASTER_CLEAN!C23</f>
        <v>CAKE CHEESE BANANA FOSTER X2</v>
      </c>
      <c r="D23" s="12" t="n">
        <f aca="false">ITEM_MASTER_CLEAN!F23</f>
        <v>72.39</v>
      </c>
      <c r="E23" s="5" t="n">
        <f aca="false">ITEM_MASTER_CLEAN!G23</f>
        <v>2</v>
      </c>
      <c r="F23" s="5" t="n">
        <f aca="false">DEMAND_MODEL!K23*SafetyDays</f>
        <v>1.28571428571429</v>
      </c>
      <c r="G23" s="5" t="n">
        <f aca="false">DEMAND_MODEL!L23*SafetyDays</f>
        <v>0.428571428571429</v>
      </c>
      <c r="H23" s="5" t="n">
        <f aca="false">ITEM_MASTER_CLEAN!H23</f>
        <v>8</v>
      </c>
      <c r="I23" s="5" t="n">
        <f aca="false">ITEM_MASTER_CLEAN!I23</f>
        <v>0</v>
      </c>
      <c r="J23" s="5" t="str">
        <f aca="false">IF(H23&lt;F23,"YES","")</f>
        <v/>
      </c>
      <c r="K23" s="5" t="str">
        <f aca="false">IF(I23&lt;G23,"YES","")</f>
        <v>YES</v>
      </c>
      <c r="L23" s="5" t="n">
        <f aca="false">IF(J23="YES",MAX(CEILING(F23-H23,E23),0),0)</f>
        <v>0</v>
      </c>
      <c r="M23" s="5" t="n">
        <f aca="false">IF(K23="YES",MAX(CEILING(G23-I23,E23),0),0)</f>
        <v>2</v>
      </c>
      <c r="N23" s="12" t="n">
        <f aca="false">L23*D23</f>
        <v>0</v>
      </c>
      <c r="O23" s="12" t="n">
        <f aca="false">M23*D23</f>
        <v>144.78</v>
      </c>
      <c r="P23" s="12" t="n">
        <f aca="false">P22+N23+O23</f>
        <v>2553.89</v>
      </c>
      <c r="Q23" s="5" t="str">
        <f aca="false">IF(P23&lt;=CashCap,"YES","OVER CAP")</f>
        <v>OVER CAP</v>
      </c>
      <c r="R23" s="5" t="str">
        <f aca="false">IF(LowCashMode="OFF","Normal Mode",IF(AND(OR(J23="YES",K23="YES"),Q23="YES"),"BUY NOW",IF(OR(J23="YES",K23="YES"),"DEFERRED","—")))</f>
        <v>Normal Mode</v>
      </c>
    </row>
    <row r="24" customFormat="false" ht="15" hidden="false" customHeight="false" outlineLevel="0" collapsed="false">
      <c r="A24" s="5" t="n">
        <f aca="false">ITEM_MASTER_CLEAN!A24</f>
        <v>23</v>
      </c>
      <c r="B24" s="5" t="n">
        <f aca="false">ITEM_MASTER_CLEAN!B24</f>
        <v>16987</v>
      </c>
      <c r="C24" s="5" t="str">
        <f aca="false">ITEM_MASTER_CLEAN!C24</f>
        <v>CAKE CHEESE WILD STRWBERRY X2</v>
      </c>
      <c r="D24" s="12" t="n">
        <f aca="false">ITEM_MASTER_CLEAN!F24</f>
        <v>34.11</v>
      </c>
      <c r="E24" s="5" t="n">
        <f aca="false">ITEM_MASTER_CLEAN!G24</f>
        <v>2</v>
      </c>
      <c r="F24" s="5" t="n">
        <f aca="false">DEMAND_MODEL!K24*SafetyDays</f>
        <v>0.428571428571429</v>
      </c>
      <c r="G24" s="5" t="n">
        <f aca="false">DEMAND_MODEL!L24*SafetyDays</f>
        <v>0.857142857142857</v>
      </c>
      <c r="H24" s="5" t="n">
        <f aca="false">ITEM_MASTER_CLEAN!H24</f>
        <v>0</v>
      </c>
      <c r="I24" s="5" t="n">
        <f aca="false">ITEM_MASTER_CLEAN!I24</f>
        <v>0</v>
      </c>
      <c r="J24" s="5" t="str">
        <f aca="false">IF(H24&lt;F24,"YES","")</f>
        <v>YES</v>
      </c>
      <c r="K24" s="5" t="str">
        <f aca="false">IF(I24&lt;G24,"YES","")</f>
        <v>YES</v>
      </c>
      <c r="L24" s="5" t="n">
        <f aca="false">IF(J24="YES",MAX(CEILING(F24-H24,E24),0),0)</f>
        <v>2</v>
      </c>
      <c r="M24" s="5" t="n">
        <f aca="false">IF(K24="YES",MAX(CEILING(G24-I24,E24),0),0)</f>
        <v>2</v>
      </c>
      <c r="N24" s="12" t="n">
        <f aca="false">L24*D24</f>
        <v>68.22</v>
      </c>
      <c r="O24" s="12" t="n">
        <f aca="false">M24*D24</f>
        <v>68.22</v>
      </c>
      <c r="P24" s="12" t="n">
        <f aca="false">P23+N24+O24</f>
        <v>2690.33</v>
      </c>
      <c r="Q24" s="5" t="str">
        <f aca="false">IF(P24&lt;=CashCap,"YES","OVER CAP")</f>
        <v>OVER CAP</v>
      </c>
      <c r="R24" s="5" t="str">
        <f aca="false">IF(LowCashMode="OFF","Normal Mode",IF(AND(OR(J24="YES",K24="YES"),Q24="YES"),"BUY NOW",IF(OR(J24="YES",K24="YES"),"DEFERRED","—")))</f>
        <v>Normal Mode</v>
      </c>
    </row>
    <row r="25" customFormat="false" ht="15" hidden="false" customHeight="false" outlineLevel="0" collapsed="false">
      <c r="A25" s="5" t="n">
        <f aca="false">ITEM_MASTER_CLEAN!A25</f>
        <v>24</v>
      </c>
      <c r="B25" s="5" t="n">
        <f aca="false">ITEM_MASTER_CLEAN!B25</f>
        <v>16994</v>
      </c>
      <c r="C25" s="5" t="str">
        <f aca="false">ITEM_MASTER_CLEAN!C25</f>
        <v>CAKE CHEESE DULCE DE LECHE X2</v>
      </c>
      <c r="D25" s="12" t="n">
        <f aca="false">ITEM_MASTER_CLEAN!F25</f>
        <v>31.36</v>
      </c>
      <c r="E25" s="5" t="n">
        <f aca="false">ITEM_MASTER_CLEAN!G25</f>
        <v>2</v>
      </c>
      <c r="F25" s="5" t="n">
        <f aca="false">DEMAND_MODEL!K25*SafetyDays</f>
        <v>1.28571428571429</v>
      </c>
      <c r="G25" s="5" t="n">
        <f aca="false">DEMAND_MODEL!L25*SafetyDays</f>
        <v>0.428571428571429</v>
      </c>
      <c r="H25" s="5" t="n">
        <f aca="false">ITEM_MASTER_CLEAN!H25</f>
        <v>9</v>
      </c>
      <c r="I25" s="5" t="n">
        <f aca="false">ITEM_MASTER_CLEAN!I25</f>
        <v>0</v>
      </c>
      <c r="J25" s="5" t="str">
        <f aca="false">IF(H25&lt;F25,"YES","")</f>
        <v/>
      </c>
      <c r="K25" s="5" t="str">
        <f aca="false">IF(I25&lt;G25,"YES","")</f>
        <v>YES</v>
      </c>
      <c r="L25" s="5" t="n">
        <f aca="false">IF(J25="YES",MAX(CEILING(F25-H25,E25),0),0)</f>
        <v>0</v>
      </c>
      <c r="M25" s="5" t="n">
        <f aca="false">IF(K25="YES",MAX(CEILING(G25-I25,E25),0),0)</f>
        <v>2</v>
      </c>
      <c r="N25" s="12" t="n">
        <f aca="false">L25*D25</f>
        <v>0</v>
      </c>
      <c r="O25" s="12" t="n">
        <f aca="false">M25*D25</f>
        <v>62.72</v>
      </c>
      <c r="P25" s="12" t="n">
        <f aca="false">P24+N25+O25</f>
        <v>2753.05</v>
      </c>
      <c r="Q25" s="5" t="str">
        <f aca="false">IF(P25&lt;=CashCap,"YES","OVER CAP")</f>
        <v>OVER CAP</v>
      </c>
      <c r="R25" s="5" t="str">
        <f aca="false">IF(LowCashMode="OFF","Normal Mode",IF(AND(OR(J25="YES",K25="YES"),Q25="YES"),"BUY NOW",IF(OR(J25="YES",K25="YES"),"DEFERRED","—")))</f>
        <v>Normal Mode</v>
      </c>
    </row>
    <row r="26" customFormat="false" ht="15" hidden="false" customHeight="false" outlineLevel="0" collapsed="false">
      <c r="A26" s="5" t="n">
        <f aca="false">ITEM_MASTER_CLEAN!A26</f>
        <v>25</v>
      </c>
      <c r="B26" s="5" t="n">
        <f aca="false">ITEM_MASTER_CLEAN!B26</f>
        <v>19694</v>
      </c>
      <c r="C26" s="5" t="str">
        <f aca="false">ITEM_MASTER_CLEAN!C26</f>
        <v>CAKE REESE P.BUTTER CHOC 2X28PC</v>
      </c>
      <c r="D26" s="12" t="n">
        <f aca="false">ITEM_MASTER_CLEAN!F26</f>
        <v>51.07</v>
      </c>
      <c r="E26" s="5" t="n">
        <f aca="false">ITEM_MASTER_CLEAN!G26</f>
        <v>2</v>
      </c>
      <c r="F26" s="5" t="n">
        <f aca="false">DEMAND_MODEL!K26*SafetyDays</f>
        <v>0.428571428571429</v>
      </c>
      <c r="G26" s="5" t="n">
        <f aca="false">DEMAND_MODEL!L26*SafetyDays</f>
        <v>0.428571428571429</v>
      </c>
      <c r="H26" s="5" t="n">
        <f aca="false">ITEM_MASTER_CLEAN!H26</f>
        <v>0</v>
      </c>
      <c r="I26" s="5" t="n">
        <f aca="false">ITEM_MASTER_CLEAN!I26</f>
        <v>0</v>
      </c>
      <c r="J26" s="5" t="str">
        <f aca="false">IF(H26&lt;F26,"YES","")</f>
        <v>YES</v>
      </c>
      <c r="K26" s="5" t="str">
        <f aca="false">IF(I26&lt;G26,"YES","")</f>
        <v>YES</v>
      </c>
      <c r="L26" s="5" t="n">
        <f aca="false">IF(J26="YES",MAX(CEILING(F26-H26,E26),0),0)</f>
        <v>2</v>
      </c>
      <c r="M26" s="5" t="n">
        <f aca="false">IF(K26="YES",MAX(CEILING(G26-I26,E26),0),0)</f>
        <v>2</v>
      </c>
      <c r="N26" s="12" t="n">
        <f aca="false">L26*D26</f>
        <v>102.14</v>
      </c>
      <c r="O26" s="12" t="n">
        <f aca="false">M26*D26</f>
        <v>102.14</v>
      </c>
      <c r="P26" s="12" t="n">
        <f aca="false">P25+N26+O26</f>
        <v>2957.33</v>
      </c>
      <c r="Q26" s="5" t="str">
        <f aca="false">IF(P26&lt;=CashCap,"YES","OVER CAP")</f>
        <v>OVER CAP</v>
      </c>
      <c r="R26" s="5" t="str">
        <f aca="false">IF(LowCashMode="OFF","Normal Mode",IF(AND(OR(J26="YES",K26="YES"),Q26="YES"),"BUY NOW",IF(OR(J26="YES",K26="YES"),"DEFERRED","—")))</f>
        <v>Normal Mode</v>
      </c>
    </row>
    <row r="27" customFormat="false" ht="15" hidden="false" customHeight="false" outlineLevel="0" collapsed="false">
      <c r="A27" s="5" t="n">
        <f aca="false">ITEM_MASTER_CLEAN!A27</f>
        <v>26</v>
      </c>
      <c r="B27" s="5" t="n">
        <f aca="false">ITEM_MASTER_CLEAN!B27</f>
        <v>16991</v>
      </c>
      <c r="C27" s="5" t="str">
        <f aca="false">ITEM_MASTER_CLEAN!C27</f>
        <v>CAKE CHEESE RED VELVET X2</v>
      </c>
      <c r="D27" s="12" t="n">
        <f aca="false">ITEM_MASTER_CLEAN!F27</f>
        <v>52.5</v>
      </c>
      <c r="E27" s="5" t="n">
        <f aca="false">ITEM_MASTER_CLEAN!G27</f>
        <v>2</v>
      </c>
      <c r="F27" s="5" t="n">
        <f aca="false">DEMAND_MODEL!K27*SafetyDays</f>
        <v>1.28571428571429</v>
      </c>
      <c r="G27" s="5" t="n">
        <f aca="false">DEMAND_MODEL!L27*SafetyDays</f>
        <v>0.857142857142857</v>
      </c>
      <c r="H27" s="5" t="n">
        <f aca="false">ITEM_MASTER_CLEAN!H27</f>
        <v>4</v>
      </c>
      <c r="I27" s="5" t="n">
        <f aca="false">ITEM_MASTER_CLEAN!I27</f>
        <v>3</v>
      </c>
      <c r="J27" s="5" t="str">
        <f aca="false">IF(H27&lt;F27,"YES","")</f>
        <v/>
      </c>
      <c r="K27" s="5" t="str">
        <f aca="false">IF(I27&lt;G27,"YES","")</f>
        <v/>
      </c>
      <c r="L27" s="5" t="n">
        <f aca="false">IF(J27="YES",MAX(CEILING(F27-H27,E27),0),0)</f>
        <v>0</v>
      </c>
      <c r="M27" s="5" t="n">
        <f aca="false">IF(K27="YES",MAX(CEILING(G27-I27,E27),0),0)</f>
        <v>0</v>
      </c>
      <c r="N27" s="12" t="n">
        <f aca="false">L27*D27</f>
        <v>0</v>
      </c>
      <c r="O27" s="12" t="n">
        <f aca="false">M27*D27</f>
        <v>0</v>
      </c>
      <c r="P27" s="12" t="n">
        <f aca="false">P26+N27+O27</f>
        <v>2957.33</v>
      </c>
      <c r="Q27" s="5" t="str">
        <f aca="false">IF(P27&lt;=CashCap,"YES","OVER CAP")</f>
        <v>OVER CAP</v>
      </c>
      <c r="R27" s="5" t="str">
        <f aca="false">IF(LowCashMode="OFF","Normal Mode",IF(AND(OR(J27="YES",K27="YES"),Q27="YES"),"BUY NOW",IF(OR(J27="YES",K27="YES"),"DEFERRED","—")))</f>
        <v>Normal Mode</v>
      </c>
    </row>
    <row r="28" customFormat="false" ht="15" hidden="false" customHeight="false" outlineLevel="0" collapsed="false">
      <c r="A28" s="5" t="n">
        <f aca="false">ITEM_MASTER_CLEAN!A28</f>
        <v>27</v>
      </c>
      <c r="B28" s="5" t="n">
        <f aca="false">ITEM_MASTER_CLEAN!B28</f>
        <v>16989</v>
      </c>
      <c r="C28" s="5" t="str">
        <f aca="false">ITEM_MASTER_CLEAN!C28</f>
        <v>CAKE CHEESE TUXEDO MOUSSE X2</v>
      </c>
      <c r="D28" s="12" t="n">
        <f aca="false">ITEM_MASTER_CLEAN!F28</f>
        <v>73.62</v>
      </c>
      <c r="E28" s="5" t="n">
        <f aca="false">ITEM_MASTER_CLEAN!G28</f>
        <v>2</v>
      </c>
      <c r="F28" s="5" t="n">
        <f aca="false">DEMAND_MODEL!K28*SafetyDays</f>
        <v>0.428571428571429</v>
      </c>
      <c r="G28" s="5" t="n">
        <f aca="false">DEMAND_MODEL!L28*SafetyDays</f>
        <v>0.428571428571429</v>
      </c>
      <c r="H28" s="5" t="n">
        <f aca="false">ITEM_MASTER_CLEAN!H28</f>
        <v>3</v>
      </c>
      <c r="I28" s="5" t="n">
        <f aca="false">ITEM_MASTER_CLEAN!I28</f>
        <v>0</v>
      </c>
      <c r="J28" s="5" t="str">
        <f aca="false">IF(H28&lt;F28,"YES","")</f>
        <v/>
      </c>
      <c r="K28" s="5" t="str">
        <f aca="false">IF(I28&lt;G28,"YES","")</f>
        <v>YES</v>
      </c>
      <c r="L28" s="5" t="n">
        <f aca="false">IF(J28="YES",MAX(CEILING(F28-H28,E28),0),0)</f>
        <v>0</v>
      </c>
      <c r="M28" s="5" t="n">
        <f aca="false">IF(K28="YES",MAX(CEILING(G28-I28,E28),0),0)</f>
        <v>2</v>
      </c>
      <c r="N28" s="12" t="n">
        <f aca="false">L28*D28</f>
        <v>0</v>
      </c>
      <c r="O28" s="12" t="n">
        <f aca="false">M28*D28</f>
        <v>147.24</v>
      </c>
      <c r="P28" s="12" t="n">
        <f aca="false">P27+N28+O28</f>
        <v>3104.57</v>
      </c>
      <c r="Q28" s="5" t="str">
        <f aca="false">IF(P28&lt;=CashCap,"YES","OVER CAP")</f>
        <v>OVER CAP</v>
      </c>
      <c r="R28" s="5" t="str">
        <f aca="false">IF(LowCashMode="OFF","Normal Mode",IF(AND(OR(J28="YES",K28="YES"),Q28="YES"),"BUY NOW",IF(OR(J28="YES",K28="YES"),"DEFERRED","—")))</f>
        <v>Normal Mode</v>
      </c>
    </row>
    <row r="29" customFormat="false" ht="15" hidden="false" customHeight="false" outlineLevel="0" collapsed="false">
      <c r="A29" s="5" t="n">
        <f aca="false">ITEM_MASTER_CLEAN!A29</f>
        <v>28</v>
      </c>
      <c r="B29" s="5" t="n">
        <f aca="false">ITEM_MASTER_CLEAN!B29</f>
        <v>19630</v>
      </c>
      <c r="C29" s="5" t="str">
        <f aca="false">ITEM_MASTER_CLEAN!C29</f>
        <v>CAKE WHITE CHOC RSPBRY CHEESE X2</v>
      </c>
      <c r="D29" s="12" t="n">
        <f aca="false">ITEM_MASTER_CLEAN!F29</f>
        <v>37.08</v>
      </c>
      <c r="E29" s="5" t="n">
        <f aca="false">ITEM_MASTER_CLEAN!G29</f>
        <v>2</v>
      </c>
      <c r="F29" s="5" t="n">
        <f aca="false">DEMAND_MODEL!K29*SafetyDays</f>
        <v>1.28571428571429</v>
      </c>
      <c r="G29" s="5" t="n">
        <f aca="false">DEMAND_MODEL!L29*SafetyDays</f>
        <v>0.428571428571429</v>
      </c>
      <c r="H29" s="5" t="n">
        <f aca="false">ITEM_MASTER_CLEAN!H29</f>
        <v>10</v>
      </c>
      <c r="I29" s="5" t="n">
        <f aca="false">ITEM_MASTER_CLEAN!I29</f>
        <v>3</v>
      </c>
      <c r="J29" s="5" t="str">
        <f aca="false">IF(H29&lt;F29,"YES","")</f>
        <v/>
      </c>
      <c r="K29" s="5" t="str">
        <f aca="false">IF(I29&lt;G29,"YES","")</f>
        <v/>
      </c>
      <c r="L29" s="5" t="n">
        <f aca="false">IF(J29="YES",MAX(CEILING(F29-H29,E29),0),0)</f>
        <v>0</v>
      </c>
      <c r="M29" s="5" t="n">
        <f aca="false">IF(K29="YES",MAX(CEILING(G29-I29,E29),0),0)</f>
        <v>0</v>
      </c>
      <c r="N29" s="12" t="n">
        <f aca="false">L29*D29</f>
        <v>0</v>
      </c>
      <c r="O29" s="12" t="n">
        <f aca="false">M29*D29</f>
        <v>0</v>
      </c>
      <c r="P29" s="12" t="n">
        <f aca="false">P28+N29+O29</f>
        <v>3104.57</v>
      </c>
      <c r="Q29" s="5" t="str">
        <f aca="false">IF(P29&lt;=CashCap,"YES","OVER CAP")</f>
        <v>OVER CAP</v>
      </c>
      <c r="R29" s="5" t="str">
        <f aca="false">IF(LowCashMode="OFF","Normal Mode",IF(AND(OR(J29="YES",K29="YES"),Q29="YES"),"BUY NOW",IF(OR(J29="YES",K29="YES"),"DEFERRED","—")))</f>
        <v>Normal Mode</v>
      </c>
    </row>
    <row r="30" customFormat="false" ht="15" hidden="false" customHeight="false" outlineLevel="0" collapsed="false">
      <c r="A30" s="5" t="n">
        <f aca="false">ITEM_MASTER_CLEAN!A30</f>
        <v>29</v>
      </c>
      <c r="B30" s="5" t="n">
        <f aca="false">ITEM_MASTER_CLEAN!B30</f>
        <v>44985</v>
      </c>
      <c r="C30" s="5" t="str">
        <f aca="false">ITEM_MASTER_CLEAN!C30</f>
        <v>BISC DOUGH OREO V-VIT0013V 5K</v>
      </c>
      <c r="D30" s="12" t="n">
        <f aca="false">ITEM_MASTER_CLEAN!F30</f>
        <v>53.51</v>
      </c>
      <c r="E30" s="5" t="n">
        <f aca="false">ITEM_MASTER_CLEAN!G30</f>
        <v>1</v>
      </c>
      <c r="F30" s="5" t="n">
        <f aca="false">DEMAND_MODEL!K30*SafetyDays</f>
        <v>2.57142857142857</v>
      </c>
      <c r="G30" s="5" t="n">
        <f aca="false">DEMAND_MODEL!L30*SafetyDays</f>
        <v>0.428571428571429</v>
      </c>
      <c r="H30" s="5" t="n">
        <f aca="false">ITEM_MASTER_CLEAN!H30</f>
        <v>3</v>
      </c>
      <c r="I30" s="5" t="n">
        <f aca="false">ITEM_MASTER_CLEAN!I30</f>
        <v>0</v>
      </c>
      <c r="J30" s="5" t="str">
        <f aca="false">IF(H30&lt;F30,"YES","")</f>
        <v/>
      </c>
      <c r="K30" s="5" t="str">
        <f aca="false">IF(I30&lt;G30,"YES","")</f>
        <v>YES</v>
      </c>
      <c r="L30" s="5" t="n">
        <f aca="false">IF(J30="YES",MAX(CEILING(F30-H30,E30),0),0)</f>
        <v>0</v>
      </c>
      <c r="M30" s="5" t="n">
        <f aca="false">IF(K30="YES",MAX(CEILING(G30-I30,E30),0),0)</f>
        <v>1</v>
      </c>
      <c r="N30" s="12" t="n">
        <f aca="false">L30*D30</f>
        <v>0</v>
      </c>
      <c r="O30" s="12" t="n">
        <f aca="false">M30*D30</f>
        <v>53.51</v>
      </c>
      <c r="P30" s="12" t="n">
        <f aca="false">P29+N30+O30</f>
        <v>3158.08</v>
      </c>
      <c r="Q30" s="5" t="str">
        <f aca="false">IF(P30&lt;=CashCap,"YES","OVER CAP")</f>
        <v>OVER CAP</v>
      </c>
      <c r="R30" s="5" t="str">
        <f aca="false">IF(LowCashMode="OFF","Normal Mode",IF(AND(OR(J30="YES",K30="YES"),Q30="YES"),"BUY NOW",IF(OR(J30="YES",K30="YES"),"DEFERRED","—")))</f>
        <v>Normal Mode</v>
      </c>
    </row>
    <row r="31" customFormat="false" ht="15" hidden="false" customHeight="false" outlineLevel="0" collapsed="false">
      <c r="A31" s="5" t="n">
        <f aca="false">ITEM_MASTER_CLEAN!A31</f>
        <v>30</v>
      </c>
      <c r="B31" s="5" t="n">
        <f aca="false">ITEM_MASTER_CLEAN!B31</f>
        <v>44961</v>
      </c>
      <c r="C31" s="5" t="str">
        <f aca="false">ITEM_MASTER_CLEAN!C31</f>
        <v>BISC DOUGH BLK CHOCO MED SWEET 5K</v>
      </c>
      <c r="D31" s="12" t="n">
        <f aca="false">ITEM_MASTER_CLEAN!F31</f>
        <v>59.96</v>
      </c>
      <c r="E31" s="5" t="n">
        <f aca="false">ITEM_MASTER_CLEAN!G31</f>
        <v>1</v>
      </c>
      <c r="F31" s="5" t="n">
        <f aca="false">DEMAND_MODEL!K31*SafetyDays</f>
        <v>1.28571428571429</v>
      </c>
      <c r="G31" s="5" t="n">
        <f aca="false">DEMAND_MODEL!L31*SafetyDays</f>
        <v>1.28571428571429</v>
      </c>
      <c r="H31" s="5" t="n">
        <f aca="false">ITEM_MASTER_CLEAN!H31</f>
        <v>1</v>
      </c>
      <c r="I31" s="5" t="n">
        <f aca="false">ITEM_MASTER_CLEAN!I31</f>
        <v>1</v>
      </c>
      <c r="J31" s="5" t="str">
        <f aca="false">IF(H31&lt;F31,"YES","")</f>
        <v>YES</v>
      </c>
      <c r="K31" s="5" t="str">
        <f aca="false">IF(I31&lt;G31,"YES","")</f>
        <v>YES</v>
      </c>
      <c r="L31" s="5" t="n">
        <f aca="false">IF(J31="YES",MAX(CEILING(F31-H31,E31),0),0)</f>
        <v>1</v>
      </c>
      <c r="M31" s="5" t="n">
        <f aca="false">IF(K31="YES",MAX(CEILING(G31-I31,E31),0),0)</f>
        <v>1</v>
      </c>
      <c r="N31" s="12" t="n">
        <f aca="false">L31*D31</f>
        <v>59.96</v>
      </c>
      <c r="O31" s="12" t="n">
        <f aca="false">M31*D31</f>
        <v>59.96</v>
      </c>
      <c r="P31" s="12" t="n">
        <f aca="false">P30+N31+O31</f>
        <v>3278</v>
      </c>
      <c r="Q31" s="5" t="str">
        <f aca="false">IF(P31&lt;=CashCap,"YES","OVER CAP")</f>
        <v>OVER CAP</v>
      </c>
      <c r="R31" s="5" t="str">
        <f aca="false">IF(LowCashMode="OFF","Normal Mode",IF(AND(OR(J31="YES",K31="YES"),Q31="YES"),"BUY NOW",IF(OR(J31="YES",K31="YES"),"DEFERRED","—")))</f>
        <v>Normal Mode</v>
      </c>
    </row>
    <row r="32" customFormat="false" ht="15" hidden="false" customHeight="false" outlineLevel="0" collapsed="false">
      <c r="A32" s="5" t="n">
        <f aca="false">ITEM_MASTER_CLEAN!A32</f>
        <v>31</v>
      </c>
      <c r="B32" s="5" t="n">
        <f aca="false">ITEM_MASTER_CLEAN!B32</f>
        <v>44962</v>
      </c>
      <c r="C32" s="5" t="str">
        <f aca="false">ITEM_MASTER_CLEAN!C32</f>
        <v>BISC DOUGH DBL CHOCO PAIL 5K</v>
      </c>
      <c r="D32" s="12" t="n">
        <f aca="false">ITEM_MASTER_CLEAN!F32</f>
        <v>12.58</v>
      </c>
      <c r="E32" s="5" t="n">
        <f aca="false">ITEM_MASTER_CLEAN!G32</f>
        <v>1</v>
      </c>
      <c r="F32" s="5" t="n">
        <f aca="false">DEMAND_MODEL!K32*SafetyDays</f>
        <v>2.57142857142857</v>
      </c>
      <c r="G32" s="5" t="n">
        <f aca="false">DEMAND_MODEL!L32*SafetyDays</f>
        <v>0.428571428571429</v>
      </c>
      <c r="H32" s="5" t="n">
        <f aca="false">ITEM_MASTER_CLEAN!H32</f>
        <v>9</v>
      </c>
      <c r="I32" s="5" t="n">
        <f aca="false">ITEM_MASTER_CLEAN!I32</f>
        <v>1</v>
      </c>
      <c r="J32" s="5" t="str">
        <f aca="false">IF(H32&lt;F32,"YES","")</f>
        <v/>
      </c>
      <c r="K32" s="5" t="str">
        <f aca="false">IF(I32&lt;G32,"YES","")</f>
        <v/>
      </c>
      <c r="L32" s="5" t="n">
        <f aca="false">IF(J32="YES",MAX(CEILING(F32-H32,E32),0),0)</f>
        <v>0</v>
      </c>
      <c r="M32" s="5" t="n">
        <f aca="false">IF(K32="YES",MAX(CEILING(G32-I32,E32),0),0)</f>
        <v>0</v>
      </c>
      <c r="N32" s="12" t="n">
        <f aca="false">L32*D32</f>
        <v>0</v>
      </c>
      <c r="O32" s="12" t="n">
        <f aca="false">M32*D32</f>
        <v>0</v>
      </c>
      <c r="P32" s="12" t="n">
        <f aca="false">P31+N32+O32</f>
        <v>3278</v>
      </c>
      <c r="Q32" s="5" t="str">
        <f aca="false">IF(P32&lt;=CashCap,"YES","OVER CAP")</f>
        <v>OVER CAP</v>
      </c>
      <c r="R32" s="5" t="str">
        <f aca="false">IF(LowCashMode="OFF","Normal Mode",IF(AND(OR(J32="YES",K32="YES"),Q32="YES"),"BUY NOW",IF(OR(J32="YES",K32="YES"),"DEFERRED","—")))</f>
        <v>Normal Mode</v>
      </c>
    </row>
    <row r="33" customFormat="false" ht="15" hidden="false" customHeight="false" outlineLevel="0" collapsed="false">
      <c r="A33" s="5" t="n">
        <f aca="false">ITEM_MASTER_CLEAN!A33</f>
        <v>32</v>
      </c>
      <c r="B33" s="5" t="n">
        <f aca="false">ITEM_MASTER_CLEAN!B33</f>
        <v>63927</v>
      </c>
      <c r="C33" s="5" t="str">
        <f aca="false">ITEM_MASTER_CLEAN!C33</f>
        <v>Bisc PUCK Dbl Choc 160x2oz</v>
      </c>
      <c r="D33" s="12" t="n">
        <f aca="false">ITEM_MASTER_CLEAN!F33</f>
        <v>68.6</v>
      </c>
      <c r="E33" s="5" t="n">
        <f aca="false">ITEM_MASTER_CLEAN!G33</f>
        <v>160</v>
      </c>
      <c r="F33" s="5" t="n">
        <f aca="false">DEMAND_MODEL!K33*SafetyDays</f>
        <v>1.71428571428571</v>
      </c>
      <c r="G33" s="5" t="n">
        <f aca="false">DEMAND_MODEL!L33*SafetyDays</f>
        <v>1.28571428571429</v>
      </c>
      <c r="H33" s="5" t="n">
        <f aca="false">ITEM_MASTER_CLEAN!H33</f>
        <v>7</v>
      </c>
      <c r="I33" s="5" t="n">
        <f aca="false">ITEM_MASTER_CLEAN!I33</f>
        <v>5</v>
      </c>
      <c r="J33" s="5" t="str">
        <f aca="false">IF(H33&lt;F33,"YES","")</f>
        <v/>
      </c>
      <c r="K33" s="5" t="str">
        <f aca="false">IF(I33&lt;G33,"YES","")</f>
        <v/>
      </c>
      <c r="L33" s="5" t="n">
        <f aca="false">IF(J33="YES",MAX(CEILING(F33-H33,E33),0),0)</f>
        <v>0</v>
      </c>
      <c r="M33" s="5" t="n">
        <f aca="false">IF(K33="YES",MAX(CEILING(G33-I33,E33),0),0)</f>
        <v>0</v>
      </c>
      <c r="N33" s="12" t="n">
        <f aca="false">L33*D33</f>
        <v>0</v>
      </c>
      <c r="O33" s="12" t="n">
        <f aca="false">M33*D33</f>
        <v>0</v>
      </c>
      <c r="P33" s="12" t="n">
        <f aca="false">P32+N33+O33</f>
        <v>3278</v>
      </c>
      <c r="Q33" s="5" t="str">
        <f aca="false">IF(P33&lt;=CashCap,"YES","OVER CAP")</f>
        <v>OVER CAP</v>
      </c>
      <c r="R33" s="5" t="str">
        <f aca="false">IF(LowCashMode="OFF","Normal Mode",IF(AND(OR(J33="YES",K33="YES"),Q33="YES"),"BUY NOW",IF(OR(J33="YES",K33="YES"),"DEFERRED","—")))</f>
        <v>Normal Mode</v>
      </c>
    </row>
    <row r="34" customFormat="false" ht="15" hidden="false" customHeight="false" outlineLevel="0" collapsed="false">
      <c r="A34" s="5" t="n">
        <f aca="false">ITEM_MASTER_CLEAN!A34</f>
        <v>33</v>
      </c>
      <c r="B34" s="5" t="n">
        <f aca="false">ITEM_MASTER_CLEAN!B34</f>
        <v>64106</v>
      </c>
      <c r="C34" s="5" t="str">
        <f aca="false">ITEM_MASTER_CLEAN!C34</f>
        <v>Bisc PUCK ChocBln/Maca 160x2oz</v>
      </c>
      <c r="D34" s="12" t="n">
        <f aca="false">ITEM_MASTER_CLEAN!F34</f>
        <v>56.66</v>
      </c>
      <c r="E34" s="5" t="n">
        <f aca="false">ITEM_MASTER_CLEAN!G34</f>
        <v>160</v>
      </c>
      <c r="F34" s="5" t="n">
        <f aca="false">DEMAND_MODEL!K34*SafetyDays</f>
        <v>0.857142857142857</v>
      </c>
      <c r="G34" s="5" t="n">
        <f aca="false">DEMAND_MODEL!L34*SafetyDays</f>
        <v>1.28571428571429</v>
      </c>
      <c r="H34" s="5" t="n">
        <f aca="false">ITEM_MASTER_CLEAN!H34</f>
        <v>2</v>
      </c>
      <c r="I34" s="5" t="n">
        <f aca="false">ITEM_MASTER_CLEAN!I34</f>
        <v>4</v>
      </c>
      <c r="J34" s="5" t="str">
        <f aca="false">IF(H34&lt;F34,"YES","")</f>
        <v/>
      </c>
      <c r="K34" s="5" t="str">
        <f aca="false">IF(I34&lt;G34,"YES","")</f>
        <v/>
      </c>
      <c r="L34" s="5" t="n">
        <f aca="false">IF(J34="YES",MAX(CEILING(F34-H34,E34),0),0)</f>
        <v>0</v>
      </c>
      <c r="M34" s="5" t="n">
        <f aca="false">IF(K34="YES",MAX(CEILING(G34-I34,E34),0),0)</f>
        <v>0</v>
      </c>
      <c r="N34" s="12" t="n">
        <f aca="false">L34*D34</f>
        <v>0</v>
      </c>
      <c r="O34" s="12" t="n">
        <f aca="false">M34*D34</f>
        <v>0</v>
      </c>
      <c r="P34" s="12" t="n">
        <f aca="false">P33+N34+O34</f>
        <v>3278</v>
      </c>
      <c r="Q34" s="5" t="str">
        <f aca="false">IF(P34&lt;=CashCap,"YES","OVER CAP")</f>
        <v>OVER CAP</v>
      </c>
      <c r="R34" s="5" t="str">
        <f aca="false">IF(LowCashMode="OFF","Normal Mode",IF(AND(OR(J34="YES",K34="YES"),Q34="YES"),"BUY NOW",IF(OR(J34="YES",K34="YES"),"DEFERRED","—")))</f>
        <v>Normal Mode</v>
      </c>
    </row>
    <row r="35" customFormat="false" ht="15" hidden="false" customHeight="false" outlineLevel="0" collapsed="false">
      <c r="A35" s="5" t="n">
        <f aca="false">ITEM_MASTER_CLEAN!A35</f>
        <v>34</v>
      </c>
      <c r="B35" s="5" t="n">
        <f aca="false">ITEM_MASTER_CLEAN!B35</f>
        <v>63934</v>
      </c>
      <c r="C35" s="5" t="str">
        <f aca="false">ITEM_MASTER_CLEAN!C35</f>
        <v>Bisc PUCK ChocChunk 160x2oz</v>
      </c>
      <c r="D35" s="12" t="n">
        <f aca="false">ITEM_MASTER_CLEAN!F35</f>
        <v>61.35</v>
      </c>
      <c r="E35" s="5" t="n">
        <f aca="false">ITEM_MASTER_CLEAN!G35</f>
        <v>160</v>
      </c>
      <c r="F35" s="5" t="n">
        <f aca="false">DEMAND_MODEL!K35*SafetyDays</f>
        <v>1.28571428571429</v>
      </c>
      <c r="G35" s="5" t="n">
        <f aca="false">DEMAND_MODEL!L35*SafetyDays</f>
        <v>1.28571428571429</v>
      </c>
      <c r="H35" s="5" t="n">
        <f aca="false">ITEM_MASTER_CLEAN!H35</f>
        <v>4</v>
      </c>
      <c r="I35" s="5" t="n">
        <f aca="false">ITEM_MASTER_CLEAN!I35</f>
        <v>4</v>
      </c>
      <c r="J35" s="5" t="str">
        <f aca="false">IF(H35&lt;F35,"YES","")</f>
        <v/>
      </c>
      <c r="K35" s="5" t="str">
        <f aca="false">IF(I35&lt;G35,"YES","")</f>
        <v/>
      </c>
      <c r="L35" s="5" t="n">
        <f aca="false">IF(J35="YES",MAX(CEILING(F35-H35,E35),0),0)</f>
        <v>0</v>
      </c>
      <c r="M35" s="5" t="n">
        <f aca="false">IF(K35="YES",MAX(CEILING(G35-I35,E35),0),0)</f>
        <v>0</v>
      </c>
      <c r="N35" s="12" t="n">
        <f aca="false">L35*D35</f>
        <v>0</v>
      </c>
      <c r="O35" s="12" t="n">
        <f aca="false">M35*D35</f>
        <v>0</v>
      </c>
      <c r="P35" s="12" t="n">
        <f aca="false">P34+N35+O35</f>
        <v>3278</v>
      </c>
      <c r="Q35" s="5" t="str">
        <f aca="false">IF(P35&lt;=CashCap,"YES","OVER CAP")</f>
        <v>OVER CAP</v>
      </c>
      <c r="R35" s="5" t="str">
        <f aca="false">IF(LowCashMode="OFF","Normal Mode",IF(AND(OR(J35="YES",K35="YES"),Q35="YES"),"BUY NOW",IF(OR(J35="YES",K35="YES"),"DEFERRED","—")))</f>
        <v>Normal Mode</v>
      </c>
    </row>
    <row r="36" customFormat="false" ht="15" hidden="false" customHeight="false" outlineLevel="0" collapsed="false">
      <c r="A36" s="5" t="n">
        <f aca="false">ITEM_MASTER_CLEAN!A36</f>
        <v>35</v>
      </c>
      <c r="B36" s="5" t="n">
        <f aca="false">ITEM_MASTER_CLEAN!B36</f>
        <v>12596</v>
      </c>
      <c r="C36" s="5" t="str">
        <f aca="false">ITEM_MASTER_CLEAN!C36</f>
        <v>MTY TREAT FOR DOGS 24UN</v>
      </c>
      <c r="D36" s="12" t="n">
        <f aca="false">ITEM_MASTER_CLEAN!F36</f>
        <v>48.79</v>
      </c>
      <c r="E36" s="5" t="n">
        <f aca="false">ITEM_MASTER_CLEAN!G36</f>
        <v>24</v>
      </c>
      <c r="F36" s="5" t="n">
        <f aca="false">DEMAND_MODEL!K36*SafetyDays</f>
        <v>1.71428571428571</v>
      </c>
      <c r="G36" s="5" t="n">
        <f aca="false">DEMAND_MODEL!L36*SafetyDays</f>
        <v>0.428571428571429</v>
      </c>
      <c r="H36" s="5" t="n">
        <f aca="false">ITEM_MASTER_CLEAN!H36</f>
        <v>14</v>
      </c>
      <c r="I36" s="5" t="n">
        <f aca="false">ITEM_MASTER_CLEAN!I36</f>
        <v>0</v>
      </c>
      <c r="J36" s="5" t="str">
        <f aca="false">IF(H36&lt;F36,"YES","")</f>
        <v/>
      </c>
      <c r="K36" s="5" t="str">
        <f aca="false">IF(I36&lt;G36,"YES","")</f>
        <v>YES</v>
      </c>
      <c r="L36" s="5" t="n">
        <f aca="false">IF(J36="YES",MAX(CEILING(F36-H36,E36),0),0)</f>
        <v>0</v>
      </c>
      <c r="M36" s="5" t="n">
        <f aca="false">IF(K36="YES",MAX(CEILING(G36-I36,E36),0),0)</f>
        <v>24</v>
      </c>
      <c r="N36" s="12" t="n">
        <f aca="false">L36*D36</f>
        <v>0</v>
      </c>
      <c r="O36" s="12" t="n">
        <f aca="false">M36*D36</f>
        <v>1170.96</v>
      </c>
      <c r="P36" s="12" t="n">
        <f aca="false">P35+N36+O36</f>
        <v>4448.96</v>
      </c>
      <c r="Q36" s="5" t="str">
        <f aca="false">IF(P36&lt;=CashCap,"YES","OVER CAP")</f>
        <v>OVER CAP</v>
      </c>
      <c r="R36" s="5" t="str">
        <f aca="false">IF(LowCashMode="OFF","Normal Mode",IF(AND(OR(J36="YES",K36="YES"),Q36="YES"),"BUY NOW",IF(OR(J36="YES",K36="YES"),"DEFERRED","—")))</f>
        <v>Normal Mode</v>
      </c>
    </row>
    <row r="37" customFormat="false" ht="15" hidden="false" customHeight="false" outlineLevel="0" collapsed="false">
      <c r="A37" s="5" t="n">
        <f aca="false">ITEM_MASTER_CLEAN!A37</f>
        <v>36</v>
      </c>
      <c r="B37" s="5" t="n">
        <f aca="false">ITEM_MASTER_CLEAN!B37</f>
        <v>48219</v>
      </c>
      <c r="C37" s="5" t="str">
        <f aca="false">ITEM_MASTER_CLEAN!C37</f>
        <v>BISC LOTUS BISCOFF 10X250G</v>
      </c>
      <c r="D37" s="12" t="n">
        <f aca="false">ITEM_MASTER_CLEAN!F37</f>
        <v>35.88</v>
      </c>
      <c r="E37" s="5" t="n">
        <f aca="false">ITEM_MASTER_CLEAN!G37</f>
        <v>10</v>
      </c>
      <c r="F37" s="5" t="n">
        <f aca="false">DEMAND_MODEL!K37*SafetyDays</f>
        <v>2.14285714285714</v>
      </c>
      <c r="G37" s="5" t="n">
        <f aca="false">DEMAND_MODEL!L37*SafetyDays</f>
        <v>1.71428571428571</v>
      </c>
      <c r="H37" s="5" t="n">
        <f aca="false">ITEM_MASTER_CLEAN!H37</f>
        <v>1</v>
      </c>
      <c r="I37" s="5" t="n">
        <f aca="false">ITEM_MASTER_CLEAN!I37</f>
        <v>10</v>
      </c>
      <c r="J37" s="5" t="str">
        <f aca="false">IF(H37&lt;F37,"YES","")</f>
        <v>YES</v>
      </c>
      <c r="K37" s="5" t="str">
        <f aca="false">IF(I37&lt;G37,"YES","")</f>
        <v/>
      </c>
      <c r="L37" s="5" t="n">
        <f aca="false">IF(J37="YES",MAX(CEILING(F37-H37,E37),0),0)</f>
        <v>10</v>
      </c>
      <c r="M37" s="5" t="n">
        <f aca="false">IF(K37="YES",MAX(CEILING(G37-I37,E37),0),0)</f>
        <v>0</v>
      </c>
      <c r="N37" s="12" t="n">
        <f aca="false">L37*D37</f>
        <v>358.8</v>
      </c>
      <c r="O37" s="12" t="n">
        <f aca="false">M37*D37</f>
        <v>0</v>
      </c>
      <c r="P37" s="12" t="n">
        <f aca="false">P36+N37+O37</f>
        <v>4807.76</v>
      </c>
      <c r="Q37" s="5" t="str">
        <f aca="false">IF(P37&lt;=CashCap,"YES","OVER CAP")</f>
        <v>OVER CAP</v>
      </c>
      <c r="R37" s="5" t="str">
        <f aca="false">IF(LowCashMode="OFF","Normal Mode",IF(AND(OR(J37="YES",K37="YES"),Q37="YES"),"BUY NOW",IF(OR(J37="YES",K37="YES"),"DEFERRED","—")))</f>
        <v>Normal Mode</v>
      </c>
    </row>
    <row r="38" customFormat="false" ht="15" hidden="false" customHeight="false" outlineLevel="0" collapsed="false">
      <c r="A38" s="5" t="n">
        <f aca="false">ITEM_MASTER_CLEAN!A38</f>
        <v>37</v>
      </c>
      <c r="B38" s="5" t="n">
        <f aca="false">ITEM_MASTER_CLEAN!B38</f>
        <v>39811</v>
      </c>
      <c r="C38" s="5" t="str">
        <f aca="false">ITEM_MASTER_CLEAN!C38</f>
        <v>DONUT REGULAR 00726  140X28G</v>
      </c>
      <c r="D38" s="12" t="n">
        <f aca="false">ITEM_MASTER_CLEAN!F38</f>
        <v>32.63</v>
      </c>
      <c r="E38" s="5" t="n">
        <f aca="false">ITEM_MASTER_CLEAN!G38</f>
        <v>140</v>
      </c>
      <c r="F38" s="5" t="n">
        <f aca="false">DEMAND_MODEL!K38*SafetyDays</f>
        <v>1.71428571428571</v>
      </c>
      <c r="G38" s="5" t="n">
        <f aca="false">DEMAND_MODEL!L38*SafetyDays</f>
        <v>0.428571428571429</v>
      </c>
      <c r="H38" s="5" t="n">
        <f aca="false">ITEM_MASTER_CLEAN!H38</f>
        <v>1</v>
      </c>
      <c r="I38" s="5" t="n">
        <f aca="false">ITEM_MASTER_CLEAN!I38</f>
        <v>3</v>
      </c>
      <c r="J38" s="5" t="str">
        <f aca="false">IF(H38&lt;F38,"YES","")</f>
        <v>YES</v>
      </c>
      <c r="K38" s="5" t="str">
        <f aca="false">IF(I38&lt;G38,"YES","")</f>
        <v/>
      </c>
      <c r="L38" s="5" t="n">
        <f aca="false">IF(J38="YES",MAX(CEILING(F38-H38,E38),0),0)</f>
        <v>140</v>
      </c>
      <c r="M38" s="5" t="n">
        <f aca="false">IF(K38="YES",MAX(CEILING(G38-I38,E38),0),0)</f>
        <v>0</v>
      </c>
      <c r="N38" s="12" t="n">
        <f aca="false">L38*D38</f>
        <v>4568.2</v>
      </c>
      <c r="O38" s="12" t="n">
        <f aca="false">M38*D38</f>
        <v>0</v>
      </c>
      <c r="P38" s="12" t="n">
        <f aca="false">P37+N38+O38</f>
        <v>9375.96</v>
      </c>
      <c r="Q38" s="5" t="str">
        <f aca="false">IF(P38&lt;=CashCap,"YES","OVER CAP")</f>
        <v>OVER CAP</v>
      </c>
      <c r="R38" s="5" t="str">
        <f aca="false">IF(LowCashMode="OFF","Normal Mode",IF(AND(OR(J38="YES",K38="YES"),Q38="YES"),"BUY NOW",IF(OR(J38="YES",K38="YES"),"DEFERRED","—")))</f>
        <v>Normal Mode</v>
      </c>
    </row>
    <row r="39" customFormat="false" ht="15" hidden="false" customHeight="false" outlineLevel="0" collapsed="false">
      <c r="A39" s="5" t="n">
        <f aca="false">ITEM_MASTER_CLEAN!A39</f>
        <v>38</v>
      </c>
      <c r="B39" s="5" t="n">
        <f aca="false">ITEM_MASTER_CLEAN!B39</f>
        <v>43328</v>
      </c>
      <c r="C39" s="5" t="str">
        <f aca="false">ITEM_MASTER_CLEAN!C39</f>
        <v>DONUT MINI VANILLA 2442 300X12G</v>
      </c>
      <c r="D39" s="12" t="n">
        <f aca="false">ITEM_MASTER_CLEAN!F39</f>
        <v>38.35</v>
      </c>
      <c r="E39" s="5" t="n">
        <f aca="false">ITEM_MASTER_CLEAN!G39</f>
        <v>300</v>
      </c>
      <c r="F39" s="5" t="n">
        <f aca="false">DEMAND_MODEL!K39*SafetyDays</f>
        <v>1.28571428571429</v>
      </c>
      <c r="G39" s="5" t="n">
        <f aca="false">DEMAND_MODEL!L39*SafetyDays</f>
        <v>1.28571428571429</v>
      </c>
      <c r="H39" s="5" t="n">
        <f aca="false">ITEM_MASTER_CLEAN!H39</f>
        <v>11</v>
      </c>
      <c r="I39" s="5" t="n">
        <f aca="false">ITEM_MASTER_CLEAN!I39</f>
        <v>1</v>
      </c>
      <c r="J39" s="5" t="str">
        <f aca="false">IF(H39&lt;F39,"YES","")</f>
        <v/>
      </c>
      <c r="K39" s="5" t="str">
        <f aca="false">IF(I39&lt;G39,"YES","")</f>
        <v>YES</v>
      </c>
      <c r="L39" s="5" t="n">
        <f aca="false">IF(J39="YES",MAX(CEILING(F39-H39,E39),0),0)</f>
        <v>0</v>
      </c>
      <c r="M39" s="5" t="n">
        <f aca="false">IF(K39="YES",MAX(CEILING(G39-I39,E39),0),0)</f>
        <v>300</v>
      </c>
      <c r="N39" s="12" t="n">
        <f aca="false">L39*D39</f>
        <v>0</v>
      </c>
      <c r="O39" s="12" t="n">
        <f aca="false">M39*D39</f>
        <v>11505</v>
      </c>
      <c r="P39" s="12" t="n">
        <f aca="false">P38+N39+O39</f>
        <v>20880.96</v>
      </c>
      <c r="Q39" s="5" t="str">
        <f aca="false">IF(P39&lt;=CashCap,"YES","OVER CAP")</f>
        <v>OVER CAP</v>
      </c>
      <c r="R39" s="5" t="str">
        <f aca="false">IF(LowCashMode="OFF","Normal Mode",IF(AND(OR(J39="YES",K39="YES"),Q39="YES"),"BUY NOW",IF(OR(J39="YES",K39="YES"),"DEFERRED","—")))</f>
        <v>Normal Mode</v>
      </c>
    </row>
    <row r="40" customFormat="false" ht="15" hidden="false" customHeight="false" outlineLevel="0" collapsed="false">
      <c r="A40" s="5" t="n">
        <f aca="false">ITEM_MASTER_CLEAN!A40</f>
        <v>39</v>
      </c>
      <c r="B40" s="5" t="n">
        <f aca="false">ITEM_MASTER_CLEAN!B40</f>
        <v>50170</v>
      </c>
      <c r="C40" s="5" t="str">
        <f aca="false">ITEM_MASTER_CLEAN!C40</f>
        <v>MTY CHOC FF 3100051  5X1L</v>
      </c>
      <c r="D40" s="12" t="n">
        <f aca="false">ITEM_MASTER_CLEAN!F40</f>
        <v>53.81</v>
      </c>
      <c r="E40" s="5" t="n">
        <f aca="false">ITEM_MASTER_CLEAN!G40</f>
        <v>5</v>
      </c>
      <c r="F40" s="5" t="n">
        <f aca="false">DEMAND_MODEL!K40*SafetyDays</f>
        <v>0.857142857142857</v>
      </c>
      <c r="G40" s="5" t="n">
        <f aca="false">DEMAND_MODEL!L40*SafetyDays</f>
        <v>0.857142857142857</v>
      </c>
      <c r="H40" s="5" t="n">
        <f aca="false">ITEM_MASTER_CLEAN!H40</f>
        <v>3</v>
      </c>
      <c r="I40" s="5" t="n">
        <f aca="false">ITEM_MASTER_CLEAN!I40</f>
        <v>3</v>
      </c>
      <c r="J40" s="5" t="str">
        <f aca="false">IF(H40&lt;F40,"YES","")</f>
        <v/>
      </c>
      <c r="K40" s="5" t="str">
        <f aca="false">IF(I40&lt;G40,"YES","")</f>
        <v/>
      </c>
      <c r="L40" s="5" t="n">
        <f aca="false">IF(J40="YES",MAX(CEILING(F40-H40,E40),0),0)</f>
        <v>0</v>
      </c>
      <c r="M40" s="5" t="n">
        <f aca="false">IF(K40="YES",MAX(CEILING(G40-I40,E40),0),0)</f>
        <v>0</v>
      </c>
      <c r="N40" s="12" t="n">
        <f aca="false">L40*D40</f>
        <v>0</v>
      </c>
      <c r="O40" s="12" t="n">
        <f aca="false">M40*D40</f>
        <v>0</v>
      </c>
      <c r="P40" s="12" t="n">
        <f aca="false">P39+N40+O40</f>
        <v>20880.96</v>
      </c>
      <c r="Q40" s="5" t="str">
        <f aca="false">IF(P40&lt;=CashCap,"YES","OVER CAP")</f>
        <v>OVER CAP</v>
      </c>
      <c r="R40" s="5" t="str">
        <f aca="false">IF(LowCashMode="OFF","Normal Mode",IF(AND(OR(J40="YES",K40="YES"),Q40="YES"),"BUY NOW",IF(OR(J40="YES",K40="YES"),"DEFERRED","—")))</f>
        <v>Normal Mode</v>
      </c>
    </row>
    <row r="41" customFormat="false" ht="15" hidden="false" customHeight="false" outlineLevel="0" collapsed="false">
      <c r="A41" s="5" t="n">
        <f aca="false">ITEM_MASTER_CLEAN!A41</f>
        <v>40</v>
      </c>
      <c r="B41" s="5" t="n">
        <f aca="false">ITEM_MASTER_CLEAN!B41</f>
        <v>50010</v>
      </c>
      <c r="C41" s="5" t="str">
        <f aca="false">ITEM_MASTER_CLEAN!C41</f>
        <v>SCE CARAMEL REG MCL 5X1L</v>
      </c>
      <c r="D41" s="12" t="n">
        <f aca="false">ITEM_MASTER_CLEAN!F41</f>
        <v>48.2</v>
      </c>
      <c r="E41" s="5" t="n">
        <f aca="false">ITEM_MASTER_CLEAN!G41</f>
        <v>5</v>
      </c>
      <c r="F41" s="5" t="n">
        <f aca="false">DEMAND_MODEL!K41*SafetyDays</f>
        <v>0.857142857142857</v>
      </c>
      <c r="G41" s="5" t="n">
        <f aca="false">DEMAND_MODEL!L41*SafetyDays</f>
        <v>0.857142857142857</v>
      </c>
      <c r="H41" s="5" t="n">
        <f aca="false">ITEM_MASTER_CLEAN!H41</f>
        <v>6</v>
      </c>
      <c r="I41" s="5" t="n">
        <f aca="false">ITEM_MASTER_CLEAN!I41</f>
        <v>0</v>
      </c>
      <c r="J41" s="5" t="str">
        <f aca="false">IF(H41&lt;F41,"YES","")</f>
        <v/>
      </c>
      <c r="K41" s="5" t="str">
        <f aca="false">IF(I41&lt;G41,"YES","")</f>
        <v>YES</v>
      </c>
      <c r="L41" s="5" t="n">
        <f aca="false">IF(J41="YES",MAX(CEILING(F41-H41,E41),0),0)</f>
        <v>0</v>
      </c>
      <c r="M41" s="5" t="n">
        <f aca="false">IF(K41="YES",MAX(CEILING(G41-I41,E41),0),0)</f>
        <v>5</v>
      </c>
      <c r="N41" s="12" t="n">
        <f aca="false">L41*D41</f>
        <v>0</v>
      </c>
      <c r="O41" s="12" t="n">
        <f aca="false">M41*D41</f>
        <v>241</v>
      </c>
      <c r="P41" s="12" t="n">
        <f aca="false">P40+N41+O41</f>
        <v>21121.96</v>
      </c>
      <c r="Q41" s="5" t="str">
        <f aca="false">IF(P41&lt;=CashCap,"YES","OVER CAP")</f>
        <v>OVER CAP</v>
      </c>
      <c r="R41" s="5" t="str">
        <f aca="false">IF(LowCashMode="OFF","Normal Mode",IF(AND(OR(J41="YES",K41="YES"),Q41="YES"),"BUY NOW",IF(OR(J41="YES",K41="YES"),"DEFERRED","—")))</f>
        <v>Normal Mode</v>
      </c>
    </row>
    <row r="42" customFormat="false" ht="15" hidden="false" customHeight="false" outlineLevel="0" collapsed="false">
      <c r="A42" s="5" t="n">
        <f aca="false">ITEM_MASTER_CLEAN!A42</f>
        <v>41</v>
      </c>
      <c r="B42" s="5" t="n">
        <f aca="false">ITEM_MASTER_CLEAN!B42</f>
        <v>50166</v>
      </c>
      <c r="C42" s="5" t="str">
        <f aca="false">ITEM_MASTER_CLEAN!C42</f>
        <v>MTY fraise fr flow 10x1L</v>
      </c>
      <c r="D42" s="12" t="n">
        <f aca="false">ITEM_MASTER_CLEAN!F42</f>
        <v>50.92</v>
      </c>
      <c r="E42" s="5" t="n">
        <f aca="false">ITEM_MASTER_CLEAN!G42</f>
        <v>10</v>
      </c>
      <c r="F42" s="5" t="n">
        <f aca="false">DEMAND_MODEL!K42*SafetyDays</f>
        <v>1.28571428571429</v>
      </c>
      <c r="G42" s="5" t="n">
        <f aca="false">DEMAND_MODEL!L42*SafetyDays</f>
        <v>0.857142857142857</v>
      </c>
      <c r="H42" s="5" t="n">
        <f aca="false">ITEM_MASTER_CLEAN!H42</f>
        <v>4</v>
      </c>
      <c r="I42" s="5" t="n">
        <f aca="false">ITEM_MASTER_CLEAN!I42</f>
        <v>2</v>
      </c>
      <c r="J42" s="5" t="str">
        <f aca="false">IF(H42&lt;F42,"YES","")</f>
        <v/>
      </c>
      <c r="K42" s="5" t="str">
        <f aca="false">IF(I42&lt;G42,"YES","")</f>
        <v/>
      </c>
      <c r="L42" s="5" t="n">
        <f aca="false">IF(J42="YES",MAX(CEILING(F42-H42,E42),0),0)</f>
        <v>0</v>
      </c>
      <c r="M42" s="5" t="n">
        <f aca="false">IF(K42="YES",MAX(CEILING(G42-I42,E42),0),0)</f>
        <v>0</v>
      </c>
      <c r="N42" s="12" t="n">
        <f aca="false">L42*D42</f>
        <v>0</v>
      </c>
      <c r="O42" s="12" t="n">
        <f aca="false">M42*D42</f>
        <v>0</v>
      </c>
      <c r="P42" s="12" t="n">
        <f aca="false">P41+N42+O42</f>
        <v>21121.96</v>
      </c>
      <c r="Q42" s="5" t="str">
        <f aca="false">IF(P42&lt;=CashCap,"YES","OVER CAP")</f>
        <v>OVER CAP</v>
      </c>
      <c r="R42" s="5" t="str">
        <f aca="false">IF(LowCashMode="OFF","Normal Mode",IF(AND(OR(J42="YES",K42="YES"),Q42="YES"),"BUY NOW",IF(OR(J42="YES",K42="YES"),"DEFERRED","—")))</f>
        <v>Normal Mode</v>
      </c>
    </row>
    <row r="43" customFormat="false" ht="15" hidden="false" customHeight="false" outlineLevel="0" collapsed="false">
      <c r="A43" s="5" t="n">
        <f aca="false">ITEM_MASTER_CLEAN!A43</f>
        <v>42</v>
      </c>
      <c r="B43" s="5" t="n">
        <f aca="false">ITEM_MASTER_CLEAN!B43</f>
        <v>19850</v>
      </c>
      <c r="C43" s="5" t="str">
        <f aca="false">ITEM_MASTER_CLEAN!C43</f>
        <v>SPICE CINNAMON GRND 400G</v>
      </c>
      <c r="D43" s="12" t="n">
        <f aca="false">ITEM_MASTER_CLEAN!F43</f>
        <v>4.35</v>
      </c>
      <c r="E43" s="5" t="n">
        <f aca="false">ITEM_MASTER_CLEAN!G43</f>
        <v>1</v>
      </c>
      <c r="F43" s="5" t="n">
        <f aca="false">DEMAND_MODEL!K43*SafetyDays</f>
        <v>1.28571428571429</v>
      </c>
      <c r="G43" s="5" t="n">
        <f aca="false">DEMAND_MODEL!L43*SafetyDays</f>
        <v>0.857142857142857</v>
      </c>
      <c r="H43" s="5" t="n">
        <f aca="false">ITEM_MASTER_CLEAN!H43</f>
        <v>11</v>
      </c>
      <c r="I43" s="5" t="n">
        <f aca="false">ITEM_MASTER_CLEAN!I43</f>
        <v>9</v>
      </c>
      <c r="J43" s="5" t="str">
        <f aca="false">IF(H43&lt;F43,"YES","")</f>
        <v/>
      </c>
      <c r="K43" s="5" t="str">
        <f aca="false">IF(I43&lt;G43,"YES","")</f>
        <v/>
      </c>
      <c r="L43" s="5" t="n">
        <f aca="false">IF(J43="YES",MAX(CEILING(F43-H43,E43),0),0)</f>
        <v>0</v>
      </c>
      <c r="M43" s="5" t="n">
        <f aca="false">IF(K43="YES",MAX(CEILING(G43-I43,E43),0),0)</f>
        <v>0</v>
      </c>
      <c r="N43" s="12" t="n">
        <f aca="false">L43*D43</f>
        <v>0</v>
      </c>
      <c r="O43" s="12" t="n">
        <f aca="false">M43*D43</f>
        <v>0</v>
      </c>
      <c r="P43" s="12" t="n">
        <f aca="false">P42+N43+O43</f>
        <v>21121.96</v>
      </c>
      <c r="Q43" s="5" t="str">
        <f aca="false">IF(P43&lt;=CashCap,"YES","OVER CAP")</f>
        <v>OVER CAP</v>
      </c>
      <c r="R43" s="5" t="str">
        <f aca="false">IF(LowCashMode="OFF","Normal Mode",IF(AND(OR(J43="YES",K43="YES"),Q43="YES"),"BUY NOW",IF(OR(J43="YES",K43="YES"),"DEFERRED","—")))</f>
        <v>Normal Mode</v>
      </c>
    </row>
    <row r="44" customFormat="false" ht="15" hidden="false" customHeight="false" outlineLevel="0" collapsed="false">
      <c r="A44" s="5" t="n">
        <f aca="false">ITEM_MASTER_CLEAN!A44</f>
        <v>43</v>
      </c>
      <c r="B44" s="5" t="n">
        <f aca="false">ITEM_MASTER_CLEAN!B44</f>
        <v>68587</v>
      </c>
      <c r="C44" s="5" t="str">
        <f aca="false">ITEM_MASTER_CLEAN!C44</f>
        <v>SUGAR SPECIAL FINE K 1X2K</v>
      </c>
      <c r="D44" s="12" t="n">
        <f aca="false">ITEM_MASTER_CLEAN!F44</f>
        <v>5.41</v>
      </c>
      <c r="E44" s="5" t="n">
        <f aca="false">ITEM_MASTER_CLEAN!G44</f>
        <v>1</v>
      </c>
      <c r="F44" s="5" t="n">
        <f aca="false">DEMAND_MODEL!K44*SafetyDays</f>
        <v>0.857142857142857</v>
      </c>
      <c r="G44" s="5" t="n">
        <f aca="false">DEMAND_MODEL!L44*SafetyDays</f>
        <v>1.28571428571429</v>
      </c>
      <c r="H44" s="5" t="n">
        <f aca="false">ITEM_MASTER_CLEAN!H44</f>
        <v>2</v>
      </c>
      <c r="I44" s="5" t="n">
        <f aca="false">ITEM_MASTER_CLEAN!I44</f>
        <v>3</v>
      </c>
      <c r="J44" s="5" t="str">
        <f aca="false">IF(H44&lt;F44,"YES","")</f>
        <v/>
      </c>
      <c r="K44" s="5" t="str">
        <f aca="false">IF(I44&lt;G44,"YES","")</f>
        <v/>
      </c>
      <c r="L44" s="5" t="n">
        <f aca="false">IF(J44="YES",MAX(CEILING(F44-H44,E44),0),0)</f>
        <v>0</v>
      </c>
      <c r="M44" s="5" t="n">
        <f aca="false">IF(K44="YES",MAX(CEILING(G44-I44,E44),0),0)</f>
        <v>0</v>
      </c>
      <c r="N44" s="12" t="n">
        <f aca="false">L44*D44</f>
        <v>0</v>
      </c>
      <c r="O44" s="12" t="n">
        <f aca="false">M44*D44</f>
        <v>0</v>
      </c>
      <c r="P44" s="12" t="n">
        <f aca="false">P43+N44+O44</f>
        <v>21121.96</v>
      </c>
      <c r="Q44" s="5" t="str">
        <f aca="false">IF(P44&lt;=CashCap,"YES","OVER CAP")</f>
        <v>OVER CAP</v>
      </c>
      <c r="R44" s="5" t="str">
        <f aca="false">IF(LowCashMode="OFF","Normal Mode",IF(AND(OR(J44="YES",K44="YES"),Q44="YES"),"BUY NOW",IF(OR(J44="YES",K44="YES"),"DEFERRED","—")))</f>
        <v>Normal Mode</v>
      </c>
    </row>
    <row r="45" customFormat="false" ht="15" hidden="false" customHeight="false" outlineLevel="0" collapsed="false">
      <c r="A45" s="5" t="n">
        <f aca="false">ITEM_MASTER_CLEAN!A45</f>
        <v>44</v>
      </c>
      <c r="B45" s="5" t="n">
        <f aca="false">ITEM_MASTER_CLEAN!B45</f>
        <v>65315</v>
      </c>
      <c r="C45" s="5" t="str">
        <f aca="false">ITEM_MASTER_CLEAN!C45</f>
        <v>SUGAR ICING K 1X1K</v>
      </c>
      <c r="D45" s="12" t="n">
        <f aca="false">ITEM_MASTER_CLEAN!F45</f>
        <v>4.32</v>
      </c>
      <c r="E45" s="5" t="n">
        <f aca="false">ITEM_MASTER_CLEAN!G45</f>
        <v>1</v>
      </c>
      <c r="F45" s="5" t="n">
        <f aca="false">DEMAND_MODEL!K45*SafetyDays</f>
        <v>0.428571428571429</v>
      </c>
      <c r="G45" s="5" t="n">
        <f aca="false">DEMAND_MODEL!L45*SafetyDays</f>
        <v>0.857142857142857</v>
      </c>
      <c r="H45" s="5" t="n">
        <f aca="false">ITEM_MASTER_CLEAN!H45</f>
        <v>1</v>
      </c>
      <c r="I45" s="5" t="n">
        <f aca="false">ITEM_MASTER_CLEAN!I45</f>
        <v>2</v>
      </c>
      <c r="J45" s="5" t="str">
        <f aca="false">IF(H45&lt;F45,"YES","")</f>
        <v/>
      </c>
      <c r="K45" s="5" t="str">
        <f aca="false">IF(I45&lt;G45,"YES","")</f>
        <v/>
      </c>
      <c r="L45" s="5" t="n">
        <f aca="false">IF(J45="YES",MAX(CEILING(F45-H45,E45),0),0)</f>
        <v>0</v>
      </c>
      <c r="M45" s="5" t="n">
        <f aca="false">IF(K45="YES",MAX(CEILING(G45-I45,E45),0),0)</f>
        <v>0</v>
      </c>
      <c r="N45" s="12" t="n">
        <f aca="false">L45*D45</f>
        <v>0</v>
      </c>
      <c r="O45" s="12" t="n">
        <f aca="false">M45*D45</f>
        <v>0</v>
      </c>
      <c r="P45" s="12" t="n">
        <f aca="false">P44+N45+O45</f>
        <v>21121.96</v>
      </c>
      <c r="Q45" s="5" t="str">
        <f aca="false">IF(P45&lt;=CashCap,"YES","OVER CAP")</f>
        <v>OVER CAP</v>
      </c>
      <c r="R45" s="5" t="str">
        <f aca="false">IF(LowCashMode="OFF","Normal Mode",IF(AND(OR(J45="YES",K45="YES"),Q45="YES"),"BUY NOW",IF(OR(J45="YES",K45="YES"),"DEFERRED","—")))</f>
        <v>Normal Mode</v>
      </c>
    </row>
    <row r="46" customFormat="false" ht="15" hidden="false" customHeight="false" outlineLevel="0" collapsed="false">
      <c r="A46" s="5" t="n">
        <f aca="false">ITEM_MASTER_CLEAN!A46</f>
        <v>45</v>
      </c>
      <c r="B46" s="5" t="n">
        <f aca="false">ITEM_MASTER_CLEAN!B46</f>
        <v>47526</v>
      </c>
      <c r="C46" s="5" t="str">
        <f aca="false">ITEM_MASTER_CLEAN!C46</f>
        <v>CREPE DUTCH 105498 100X63G</v>
      </c>
      <c r="D46" s="12" t="n">
        <f aca="false">ITEM_MASTER_CLEAN!F46</f>
        <v>55.33</v>
      </c>
      <c r="E46" s="5" t="n">
        <f aca="false">ITEM_MASTER_CLEAN!G46</f>
        <v>100</v>
      </c>
      <c r="F46" s="5" t="n">
        <f aca="false">DEMAND_MODEL!K46*SafetyDays</f>
        <v>0.857142857142857</v>
      </c>
      <c r="G46" s="5" t="n">
        <f aca="false">DEMAND_MODEL!L46*SafetyDays</f>
        <v>0.857142857142857</v>
      </c>
      <c r="H46" s="5" t="n">
        <f aca="false">ITEM_MASTER_CLEAN!H46</f>
        <v>1</v>
      </c>
      <c r="I46" s="5" t="n">
        <f aca="false">ITEM_MASTER_CLEAN!I46</f>
        <v>1</v>
      </c>
      <c r="J46" s="5" t="str">
        <f aca="false">IF(H46&lt;F46,"YES","")</f>
        <v/>
      </c>
      <c r="K46" s="5" t="str">
        <f aca="false">IF(I46&lt;G46,"YES","")</f>
        <v/>
      </c>
      <c r="L46" s="5" t="n">
        <f aca="false">IF(J46="YES",MAX(CEILING(F46-H46,E46),0),0)</f>
        <v>0</v>
      </c>
      <c r="M46" s="5" t="n">
        <f aca="false">IF(K46="YES",MAX(CEILING(G46-I46,E46),0),0)</f>
        <v>0</v>
      </c>
      <c r="N46" s="12" t="n">
        <f aca="false">L46*D46</f>
        <v>0</v>
      </c>
      <c r="O46" s="12" t="n">
        <f aca="false">M46*D46</f>
        <v>0</v>
      </c>
      <c r="P46" s="12" t="n">
        <f aca="false">P45+N46+O46</f>
        <v>21121.96</v>
      </c>
      <c r="Q46" s="5" t="str">
        <f aca="false">IF(P46&lt;=CashCap,"YES","OVER CAP")</f>
        <v>OVER CAP</v>
      </c>
      <c r="R46" s="5" t="str">
        <f aca="false">IF(LowCashMode="OFF","Normal Mode",IF(AND(OR(J46="YES",K46="YES"),Q46="YES"),"BUY NOW",IF(OR(J46="YES",K46="YES"),"DEFERRED","—")))</f>
        <v>Normal Mode</v>
      </c>
    </row>
    <row r="47" customFormat="false" ht="15" hidden="false" customHeight="false" outlineLevel="0" collapsed="false">
      <c r="A47" s="5" t="n">
        <f aca="false">ITEM_MASTER_CLEAN!A47</f>
        <v>46</v>
      </c>
      <c r="B47" s="5" t="n">
        <f aca="false">ITEM_MASTER_CLEAN!B47</f>
        <v>49632</v>
      </c>
      <c r="C47" s="5" t="str">
        <f aca="false">ITEM_MASTER_CLEAN!C47</f>
        <v>WAFFLE BELGIAN VAN IND.WRAP 80X70G</v>
      </c>
      <c r="D47" s="12" t="n">
        <f aca="false">ITEM_MASTER_CLEAN!F47</f>
        <v>21.23</v>
      </c>
      <c r="E47" s="5" t="n">
        <f aca="false">ITEM_MASTER_CLEAN!G47</f>
        <v>80</v>
      </c>
      <c r="F47" s="5" t="n">
        <f aca="false">DEMAND_MODEL!K47*SafetyDays</f>
        <v>1.28571428571429</v>
      </c>
      <c r="G47" s="5" t="n">
        <f aca="false">DEMAND_MODEL!L47*SafetyDays</f>
        <v>1.28571428571429</v>
      </c>
      <c r="H47" s="5" t="n">
        <f aca="false">ITEM_MASTER_CLEAN!H47</f>
        <v>1</v>
      </c>
      <c r="I47" s="5" t="n">
        <f aca="false">ITEM_MASTER_CLEAN!I47</f>
        <v>9</v>
      </c>
      <c r="J47" s="5" t="str">
        <f aca="false">IF(H47&lt;F47,"YES","")</f>
        <v>YES</v>
      </c>
      <c r="K47" s="5" t="str">
        <f aca="false">IF(I47&lt;G47,"YES","")</f>
        <v/>
      </c>
      <c r="L47" s="5" t="n">
        <f aca="false">IF(J47="YES",MAX(CEILING(F47-H47,E47),0),0)</f>
        <v>80</v>
      </c>
      <c r="M47" s="5" t="n">
        <f aca="false">IF(K47="YES",MAX(CEILING(G47-I47,E47),0),0)</f>
        <v>0</v>
      </c>
      <c r="N47" s="12" t="n">
        <f aca="false">L47*D47</f>
        <v>1698.4</v>
      </c>
      <c r="O47" s="12" t="n">
        <f aca="false">M47*D47</f>
        <v>0</v>
      </c>
      <c r="P47" s="12" t="n">
        <f aca="false">P46+N47+O47</f>
        <v>22820.36</v>
      </c>
      <c r="Q47" s="5" t="str">
        <f aca="false">IF(P47&lt;=CashCap,"YES","OVER CAP")</f>
        <v>OVER CAP</v>
      </c>
      <c r="R47" s="5" t="str">
        <f aca="false">IF(LowCashMode="OFF","Normal Mode",IF(AND(OR(J47="YES",K47="YES"),Q47="YES"),"BUY NOW",IF(OR(J47="YES",K47="YES"),"DEFERRED","—")))</f>
        <v>Normal Mode</v>
      </c>
    </row>
    <row r="48" customFormat="false" ht="15" hidden="false" customHeight="false" outlineLevel="0" collapsed="false">
      <c r="A48" s="5" t="n">
        <f aca="false">ITEM_MASTER_CLEAN!A48</f>
        <v>47</v>
      </c>
      <c r="B48" s="5" t="n">
        <f aca="false">ITEM_MASTER_CLEAN!B48</f>
        <v>44967</v>
      </c>
      <c r="C48" s="5" t="str">
        <f aca="false">ITEM_MASTER_CLEAN!C48</f>
        <v>CHOC FONDANT BKD V-FX956 32X105G</v>
      </c>
      <c r="D48" s="12" t="n">
        <f aca="false">ITEM_MASTER_CLEAN!F48</f>
        <v>48.87</v>
      </c>
      <c r="E48" s="5" t="n">
        <f aca="false">ITEM_MASTER_CLEAN!G48</f>
        <v>32</v>
      </c>
      <c r="F48" s="5" t="n">
        <f aca="false">DEMAND_MODEL!K48*SafetyDays</f>
        <v>0.857142857142857</v>
      </c>
      <c r="G48" s="5" t="n">
        <f aca="false">DEMAND_MODEL!L48*SafetyDays</f>
        <v>1.28571428571429</v>
      </c>
      <c r="H48" s="5" t="n">
        <f aca="false">ITEM_MASTER_CLEAN!H48</f>
        <v>7</v>
      </c>
      <c r="I48" s="5" t="n">
        <f aca="false">ITEM_MASTER_CLEAN!I48</f>
        <v>14</v>
      </c>
      <c r="J48" s="5" t="str">
        <f aca="false">IF(H48&lt;F48,"YES","")</f>
        <v/>
      </c>
      <c r="K48" s="5" t="str">
        <f aca="false">IF(I48&lt;G48,"YES","")</f>
        <v/>
      </c>
      <c r="L48" s="5" t="n">
        <f aca="false">IF(J48="YES",MAX(CEILING(F48-H48,E48),0),0)</f>
        <v>0</v>
      </c>
      <c r="M48" s="5" t="n">
        <f aca="false">IF(K48="YES",MAX(CEILING(G48-I48,E48),0),0)</f>
        <v>0</v>
      </c>
      <c r="N48" s="12" t="n">
        <f aca="false">L48*D48</f>
        <v>0</v>
      </c>
      <c r="O48" s="12" t="n">
        <f aca="false">M48*D48</f>
        <v>0</v>
      </c>
      <c r="P48" s="12" t="n">
        <f aca="false">P47+N48+O48</f>
        <v>22820.36</v>
      </c>
      <c r="Q48" s="5" t="str">
        <f aca="false">IF(P48&lt;=CashCap,"YES","OVER CAP")</f>
        <v>OVER CAP</v>
      </c>
      <c r="R48" s="5" t="str">
        <f aca="false">IF(LowCashMode="OFF","Normal Mode",IF(AND(OR(J48="YES",K48="YES"),Q48="YES"),"BUY NOW",IF(OR(J48="YES",K48="YES"),"DEFERRED","—")))</f>
        <v>Normal Mode</v>
      </c>
    </row>
    <row r="49" customFormat="false" ht="15" hidden="false" customHeight="false" outlineLevel="0" collapsed="false">
      <c r="A49" s="5" t="n">
        <f aca="false">ITEM_MASTER_CLEAN!A49</f>
        <v>48</v>
      </c>
      <c r="B49" s="5" t="n">
        <f aca="false">ITEM_MASTER_CLEAN!B49</f>
        <v>33785</v>
      </c>
      <c r="C49" s="5" t="str">
        <f aca="false">ITEM_MASTER_CLEAN!C49</f>
        <v>LADIP CAKE MARSHMELLOW C.DOUGH X2</v>
      </c>
      <c r="D49" s="12" t="n">
        <f aca="false">ITEM_MASTER_CLEAN!F49</f>
        <v>54.29</v>
      </c>
      <c r="E49" s="5" t="n">
        <f aca="false">ITEM_MASTER_CLEAN!G49</f>
        <v>2</v>
      </c>
      <c r="F49" s="5" t="n">
        <f aca="false">DEMAND_MODEL!K49*SafetyDays</f>
        <v>1.28571428571429</v>
      </c>
      <c r="G49" s="5" t="n">
        <f aca="false">DEMAND_MODEL!L49*SafetyDays</f>
        <v>0.857142857142857</v>
      </c>
      <c r="H49" s="5" t="n">
        <f aca="false">ITEM_MASTER_CLEAN!H49</f>
        <v>1</v>
      </c>
      <c r="I49" s="5" t="n">
        <f aca="false">ITEM_MASTER_CLEAN!I49</f>
        <v>1</v>
      </c>
      <c r="J49" s="5" t="str">
        <f aca="false">IF(H49&lt;F49,"YES","")</f>
        <v>YES</v>
      </c>
      <c r="K49" s="5" t="str">
        <f aca="false">IF(I49&lt;G49,"YES","")</f>
        <v/>
      </c>
      <c r="L49" s="5" t="n">
        <f aca="false">IF(J49="YES",MAX(CEILING(F49-H49,E49),0),0)</f>
        <v>2</v>
      </c>
      <c r="M49" s="5" t="n">
        <f aca="false">IF(K49="YES",MAX(CEILING(G49-I49,E49),0),0)</f>
        <v>0</v>
      </c>
      <c r="N49" s="12" t="n">
        <f aca="false">L49*D49</f>
        <v>108.58</v>
      </c>
      <c r="O49" s="12" t="n">
        <f aca="false">M49*D49</f>
        <v>0</v>
      </c>
      <c r="P49" s="12" t="n">
        <f aca="false">P48+N49+O49</f>
        <v>22928.94</v>
      </c>
      <c r="Q49" s="5" t="str">
        <f aca="false">IF(P49&lt;=CashCap,"YES","OVER CAP")</f>
        <v>OVER CAP</v>
      </c>
      <c r="R49" s="5" t="str">
        <f aca="false">IF(LowCashMode="OFF","Normal Mode",IF(AND(OR(J49="YES",K49="YES"),Q49="YES"),"BUY NOW",IF(OR(J49="YES",K49="YES"),"DEFERRED","—")))</f>
        <v>Normal Mode</v>
      </c>
    </row>
    <row r="50" customFormat="false" ht="15" hidden="false" customHeight="false" outlineLevel="0" collapsed="false">
      <c r="A50" s="5" t="n">
        <f aca="false">ITEM_MASTER_CLEAN!A50</f>
        <v>49</v>
      </c>
      <c r="B50" s="5" t="n">
        <f aca="false">ITEM_MASTER_CLEAN!B50</f>
        <v>33784</v>
      </c>
      <c r="C50" s="5" t="str">
        <f aca="false">ITEM_MASTER_CLEAN!C50</f>
        <v>LADIP CAKE CARNIVAL 10" X2</v>
      </c>
      <c r="D50" s="12" t="n">
        <f aca="false">ITEM_MASTER_CLEAN!F50</f>
        <v>51.8</v>
      </c>
      <c r="E50" s="5" t="n">
        <f aca="false">ITEM_MASTER_CLEAN!G50</f>
        <v>2</v>
      </c>
      <c r="F50" s="5" t="n">
        <f aca="false">DEMAND_MODEL!K50*SafetyDays</f>
        <v>0.428571428571429</v>
      </c>
      <c r="G50" s="5" t="n">
        <f aca="false">DEMAND_MODEL!L50*SafetyDays</f>
        <v>0.857142857142857</v>
      </c>
      <c r="H50" s="5" t="n">
        <f aca="false">ITEM_MASTER_CLEAN!H50</f>
        <v>0</v>
      </c>
      <c r="I50" s="5" t="n">
        <f aca="false">ITEM_MASTER_CLEAN!I50</f>
        <v>0</v>
      </c>
      <c r="J50" s="5" t="str">
        <f aca="false">IF(H50&lt;F50,"YES","")</f>
        <v>YES</v>
      </c>
      <c r="K50" s="5" t="str">
        <f aca="false">IF(I50&lt;G50,"YES","")</f>
        <v>YES</v>
      </c>
      <c r="L50" s="5" t="n">
        <f aca="false">IF(J50="YES",MAX(CEILING(F50-H50,E50),0),0)</f>
        <v>2</v>
      </c>
      <c r="M50" s="5" t="n">
        <f aca="false">IF(K50="YES",MAX(CEILING(G50-I50,E50),0),0)</f>
        <v>2</v>
      </c>
      <c r="N50" s="12" t="n">
        <f aca="false">L50*D50</f>
        <v>103.6</v>
      </c>
      <c r="O50" s="12" t="n">
        <f aca="false">M50*D50</f>
        <v>103.6</v>
      </c>
      <c r="P50" s="12" t="n">
        <f aca="false">P49+N50+O50</f>
        <v>23136.14</v>
      </c>
      <c r="Q50" s="5" t="str">
        <f aca="false">IF(P50&lt;=CashCap,"YES","OVER CAP")</f>
        <v>OVER CAP</v>
      </c>
      <c r="R50" s="5" t="str">
        <f aca="false">IF(LowCashMode="OFF","Normal Mode",IF(AND(OR(J50="YES",K50="YES"),Q50="YES"),"BUY NOW",IF(OR(J50="YES",K50="YES"),"DEFERRED","—")))</f>
        <v>Normal Mode</v>
      </c>
    </row>
    <row r="51" customFormat="false" ht="15" hidden="false" customHeight="false" outlineLevel="0" collapsed="false">
      <c r="A51" s="5" t="n">
        <f aca="false">ITEM_MASTER_CLEAN!A51</f>
        <v>50</v>
      </c>
      <c r="B51" s="5" t="n">
        <f aca="false">ITEM_MASTER_CLEAN!B51</f>
        <v>33780</v>
      </c>
      <c r="C51" s="5" t="str">
        <f aca="false">ITEM_MASTER_CLEAN!C51</f>
        <v>LADIP CAKE RAINBOW X2</v>
      </c>
      <c r="D51" s="12" t="n">
        <f aca="false">ITEM_MASTER_CLEAN!F51</f>
        <v>48.64</v>
      </c>
      <c r="E51" s="5" t="n">
        <f aca="false">ITEM_MASTER_CLEAN!G51</f>
        <v>2</v>
      </c>
      <c r="F51" s="5" t="n">
        <f aca="false">DEMAND_MODEL!K51*SafetyDays</f>
        <v>0.857142857142857</v>
      </c>
      <c r="G51" s="5" t="n">
        <f aca="false">DEMAND_MODEL!L51*SafetyDays</f>
        <v>0.428571428571429</v>
      </c>
      <c r="H51" s="5" t="n">
        <f aca="false">ITEM_MASTER_CLEAN!H51</f>
        <v>2</v>
      </c>
      <c r="I51" s="5" t="n">
        <f aca="false">ITEM_MASTER_CLEAN!I51</f>
        <v>1</v>
      </c>
      <c r="J51" s="5" t="str">
        <f aca="false">IF(H51&lt;F51,"YES","")</f>
        <v/>
      </c>
      <c r="K51" s="5" t="str">
        <f aca="false">IF(I51&lt;G51,"YES","")</f>
        <v/>
      </c>
      <c r="L51" s="5" t="n">
        <f aca="false">IF(J51="YES",MAX(CEILING(F51-H51,E51),0),0)</f>
        <v>0</v>
      </c>
      <c r="M51" s="5" t="n">
        <f aca="false">IF(K51="YES",MAX(CEILING(G51-I51,E51),0),0)</f>
        <v>0</v>
      </c>
      <c r="N51" s="12" t="n">
        <f aca="false">L51*D51</f>
        <v>0</v>
      </c>
      <c r="O51" s="12" t="n">
        <f aca="false">M51*D51</f>
        <v>0</v>
      </c>
      <c r="P51" s="12" t="n">
        <f aca="false">P50+N51+O51</f>
        <v>23136.14</v>
      </c>
      <c r="Q51" s="5" t="str">
        <f aca="false">IF(P51&lt;=CashCap,"YES","OVER CAP")</f>
        <v>OVER CAP</v>
      </c>
      <c r="R51" s="5" t="str">
        <f aca="false">IF(LowCashMode="OFF","Normal Mode",IF(AND(OR(J51="YES",K51="YES"),Q51="YES"),"BUY NOW",IF(OR(J51="YES",K51="YES"),"DEFERRED","—")))</f>
        <v>Normal Mode</v>
      </c>
    </row>
    <row r="52" customFormat="false" ht="15" hidden="false" customHeight="false" outlineLevel="0" collapsed="false">
      <c r="A52" s="5" t="n">
        <f aca="false">ITEM_MASTER_CLEAN!A52</f>
        <v>51</v>
      </c>
      <c r="B52" s="5" t="n">
        <f aca="false">ITEM_MASTER_CLEAN!B52</f>
        <v>28983</v>
      </c>
      <c r="C52" s="5" t="str">
        <f aca="false">ITEM_MASTER_CLEAN!C52</f>
        <v>BROWNIE PLAIN 10" 14PC X2</v>
      </c>
      <c r="D52" s="12" t="n">
        <f aca="false">ITEM_MASTER_CLEAN!F52</f>
        <v>37.77</v>
      </c>
      <c r="E52" s="5" t="n">
        <f aca="false">ITEM_MASTER_CLEAN!G52</f>
        <v>1</v>
      </c>
      <c r="F52" s="5" t="n">
        <f aca="false">DEMAND_MODEL!K52*SafetyDays</f>
        <v>0.857142857142857</v>
      </c>
      <c r="G52" s="5" t="n">
        <f aca="false">DEMAND_MODEL!L52*SafetyDays</f>
        <v>1.28571428571429</v>
      </c>
      <c r="H52" s="5" t="n">
        <f aca="false">ITEM_MASTER_CLEAN!H52</f>
        <v>0</v>
      </c>
      <c r="I52" s="5" t="n">
        <f aca="false">ITEM_MASTER_CLEAN!I52</f>
        <v>10</v>
      </c>
      <c r="J52" s="5" t="str">
        <f aca="false">IF(H52&lt;F52,"YES","")</f>
        <v>YES</v>
      </c>
      <c r="K52" s="5" t="str">
        <f aca="false">IF(I52&lt;G52,"YES","")</f>
        <v/>
      </c>
      <c r="L52" s="5" t="n">
        <f aca="false">IF(J52="YES",MAX(CEILING(F52-H52,E52),0),0)</f>
        <v>1</v>
      </c>
      <c r="M52" s="5" t="n">
        <f aca="false">IF(K52="YES",MAX(CEILING(G52-I52,E52),0),0)</f>
        <v>0</v>
      </c>
      <c r="N52" s="12" t="n">
        <f aca="false">L52*D52</f>
        <v>37.77</v>
      </c>
      <c r="O52" s="12" t="n">
        <f aca="false">M52*D52</f>
        <v>0</v>
      </c>
      <c r="P52" s="12" t="n">
        <f aca="false">P51+N52+O52</f>
        <v>23173.91</v>
      </c>
      <c r="Q52" s="5" t="str">
        <f aca="false">IF(P52&lt;=CashCap,"YES","OVER CAP")</f>
        <v>OVER CAP</v>
      </c>
      <c r="R52" s="5" t="str">
        <f aca="false">IF(LowCashMode="OFF","Normal Mode",IF(AND(OR(J52="YES",K52="YES"),Q52="YES"),"BUY NOW",IF(OR(J52="YES",K52="YES"),"DEFERRED","—")))</f>
        <v>Normal Mode</v>
      </c>
    </row>
    <row r="53" customFormat="false" ht="15" hidden="false" customHeight="false" outlineLevel="0" collapsed="false">
      <c r="A53" s="5" t="n">
        <f aca="false">ITEM_MASTER_CLEAN!A53</f>
        <v>52</v>
      </c>
      <c r="B53" s="5" t="n">
        <f aca="false">ITEM_MASTER_CLEAN!B53</f>
        <v>28988</v>
      </c>
      <c r="C53" s="5" t="str">
        <f aca="false">ITEM_MASTER_CLEAN!C53</f>
        <v>CAKE CARROT BEAUX 10" 14PC</v>
      </c>
      <c r="D53" s="12" t="n">
        <f aca="false">ITEM_MASTER_CLEAN!F53</f>
        <v>20.33</v>
      </c>
      <c r="E53" s="5" t="n">
        <f aca="false">ITEM_MASTER_CLEAN!G53</f>
        <v>1</v>
      </c>
      <c r="F53" s="5" t="n">
        <f aca="false">DEMAND_MODEL!K53*SafetyDays</f>
        <v>1.71428571428571</v>
      </c>
      <c r="G53" s="5" t="n">
        <f aca="false">DEMAND_MODEL!L53*SafetyDays</f>
        <v>0.428571428571429</v>
      </c>
      <c r="H53" s="5" t="n">
        <f aca="false">ITEM_MASTER_CLEAN!H53</f>
        <v>11</v>
      </c>
      <c r="I53" s="5" t="n">
        <f aca="false">ITEM_MASTER_CLEAN!I53</f>
        <v>0</v>
      </c>
      <c r="J53" s="5" t="str">
        <f aca="false">IF(H53&lt;F53,"YES","")</f>
        <v/>
      </c>
      <c r="K53" s="5" t="str">
        <f aca="false">IF(I53&lt;G53,"YES","")</f>
        <v>YES</v>
      </c>
      <c r="L53" s="5" t="n">
        <f aca="false">IF(J53="YES",MAX(CEILING(F53-H53,E53),0),0)</f>
        <v>0</v>
      </c>
      <c r="M53" s="5" t="n">
        <f aca="false">IF(K53="YES",MAX(CEILING(G53-I53,E53),0),0)</f>
        <v>1</v>
      </c>
      <c r="N53" s="12" t="n">
        <f aca="false">L53*D53</f>
        <v>0</v>
      </c>
      <c r="O53" s="12" t="n">
        <f aca="false">M53*D53</f>
        <v>20.33</v>
      </c>
      <c r="P53" s="12" t="n">
        <f aca="false">P52+N53+O53</f>
        <v>23194.24</v>
      </c>
      <c r="Q53" s="5" t="str">
        <f aca="false">IF(P53&lt;=CashCap,"YES","OVER CAP")</f>
        <v>OVER CAP</v>
      </c>
      <c r="R53" s="5" t="str">
        <f aca="false">IF(LowCashMode="OFF","Normal Mode",IF(AND(OR(J53="YES",K53="YES"),Q53="YES"),"BUY NOW",IF(OR(J53="YES",K53="YES"),"DEFERRED","—")))</f>
        <v>Normal Mode</v>
      </c>
    </row>
    <row r="54" customFormat="false" ht="15" hidden="false" customHeight="false" outlineLevel="0" collapsed="false">
      <c r="A54" s="5" t="n">
        <f aca="false">ITEM_MASTER_CLEAN!A54</f>
        <v>53</v>
      </c>
      <c r="B54" s="5" t="n">
        <f aca="false">ITEM_MASTER_CLEAN!B54</f>
        <v>28989</v>
      </c>
      <c r="C54" s="5" t="str">
        <f aca="false">ITEM_MASTER_CLEAN!C54</f>
        <v>CAKE REODELIGHT 10" 16PC</v>
      </c>
      <c r="D54" s="12" t="n">
        <f aca="false">ITEM_MASTER_CLEAN!F54</f>
        <v>37.82</v>
      </c>
      <c r="E54" s="5" t="n">
        <f aca="false">ITEM_MASTER_CLEAN!G54</f>
        <v>1</v>
      </c>
      <c r="F54" s="5" t="n">
        <f aca="false">DEMAND_MODEL!K54*SafetyDays</f>
        <v>1.71428571428571</v>
      </c>
      <c r="G54" s="5" t="n">
        <f aca="false">DEMAND_MODEL!L54*SafetyDays</f>
        <v>1.28571428571429</v>
      </c>
      <c r="H54" s="5" t="n">
        <f aca="false">ITEM_MASTER_CLEAN!H54</f>
        <v>2</v>
      </c>
      <c r="I54" s="5" t="n">
        <f aca="false">ITEM_MASTER_CLEAN!I54</f>
        <v>1</v>
      </c>
      <c r="J54" s="5" t="str">
        <f aca="false">IF(H54&lt;F54,"YES","")</f>
        <v/>
      </c>
      <c r="K54" s="5" t="str">
        <f aca="false">IF(I54&lt;G54,"YES","")</f>
        <v>YES</v>
      </c>
      <c r="L54" s="5" t="n">
        <f aca="false">IF(J54="YES",MAX(CEILING(F54-H54,E54),0),0)</f>
        <v>0</v>
      </c>
      <c r="M54" s="5" t="n">
        <f aca="false">IF(K54="YES",MAX(CEILING(G54-I54,E54),0),0)</f>
        <v>1</v>
      </c>
      <c r="N54" s="12" t="n">
        <f aca="false">L54*D54</f>
        <v>0</v>
      </c>
      <c r="O54" s="12" t="n">
        <f aca="false">M54*D54</f>
        <v>37.82</v>
      </c>
      <c r="P54" s="12" t="n">
        <f aca="false">P53+N54+O54</f>
        <v>23232.06</v>
      </c>
      <c r="Q54" s="5" t="str">
        <f aca="false">IF(P54&lt;=CashCap,"YES","OVER CAP")</f>
        <v>OVER CAP</v>
      </c>
      <c r="R54" s="5" t="str">
        <f aca="false">IF(LowCashMode="OFF","Normal Mode",IF(AND(OR(J54="YES",K54="YES"),Q54="YES"),"BUY NOW",IF(OR(J54="YES",K54="YES"),"DEFERRED","—")))</f>
        <v>Normal Mode</v>
      </c>
    </row>
    <row r="55" customFormat="false" ht="15" hidden="false" customHeight="false" outlineLevel="0" collapsed="false">
      <c r="A55" s="5" t="n">
        <f aca="false">ITEM_MASTER_CLEAN!A55</f>
        <v>54</v>
      </c>
      <c r="B55" s="5" t="n">
        <f aca="false">ITEM_MASTER_CLEAN!B55</f>
        <v>28990</v>
      </c>
      <c r="C55" s="5" t="str">
        <f aca="false">ITEM_MASTER_CLEAN!C55</f>
        <v>CAKE TIRAMISU 9" 12PC</v>
      </c>
      <c r="D55" s="12" t="n">
        <f aca="false">ITEM_MASTER_CLEAN!F55</f>
        <v>55.75</v>
      </c>
      <c r="E55" s="5" t="n">
        <f aca="false">ITEM_MASTER_CLEAN!G55</f>
        <v>1</v>
      </c>
      <c r="F55" s="5" t="n">
        <f aca="false">DEMAND_MODEL!K55*SafetyDays</f>
        <v>1.71428571428571</v>
      </c>
      <c r="G55" s="5" t="n">
        <f aca="false">DEMAND_MODEL!L55*SafetyDays</f>
        <v>1.28571428571429</v>
      </c>
      <c r="H55" s="5" t="n">
        <f aca="false">ITEM_MASTER_CLEAN!H55</f>
        <v>1</v>
      </c>
      <c r="I55" s="5" t="n">
        <f aca="false">ITEM_MASTER_CLEAN!I55</f>
        <v>2</v>
      </c>
      <c r="J55" s="5" t="str">
        <f aca="false">IF(H55&lt;F55,"YES","")</f>
        <v>YES</v>
      </c>
      <c r="K55" s="5" t="str">
        <f aca="false">IF(I55&lt;G55,"YES","")</f>
        <v/>
      </c>
      <c r="L55" s="5" t="n">
        <f aca="false">IF(J55="YES",MAX(CEILING(F55-H55,E55),0),0)</f>
        <v>1</v>
      </c>
      <c r="M55" s="5" t="n">
        <f aca="false">IF(K55="YES",MAX(CEILING(G55-I55,E55),0),0)</f>
        <v>0</v>
      </c>
      <c r="N55" s="12" t="n">
        <f aca="false">L55*D55</f>
        <v>55.75</v>
      </c>
      <c r="O55" s="12" t="n">
        <f aca="false">M55*D55</f>
        <v>0</v>
      </c>
      <c r="P55" s="12" t="n">
        <f aca="false">P54+N55+O55</f>
        <v>23287.81</v>
      </c>
      <c r="Q55" s="5" t="str">
        <f aca="false">IF(P55&lt;=CashCap,"YES","OVER CAP")</f>
        <v>OVER CAP</v>
      </c>
      <c r="R55" s="5" t="str">
        <f aca="false">IF(LowCashMode="OFF","Normal Mode",IF(AND(OR(J55="YES",K55="YES"),Q55="YES"),"BUY NOW",IF(OR(J55="YES",K55="YES"),"DEFERRED","—")))</f>
        <v>Normal Mode</v>
      </c>
    </row>
    <row r="56" customFormat="false" ht="15" hidden="false" customHeight="false" outlineLevel="0" collapsed="false">
      <c r="A56" s="5" t="n">
        <f aca="false">ITEM_MASTER_CLEAN!A56</f>
        <v>55</v>
      </c>
      <c r="B56" s="5" t="n">
        <f aca="false">ITEM_MASTER_CLEAN!B56</f>
        <v>28992</v>
      </c>
      <c r="C56" s="5" t="str">
        <f aca="false">ITEM_MASTER_CLEAN!C56</f>
        <v>CAKE RED VELVET 10" 14PC  X1</v>
      </c>
      <c r="D56" s="12" t="n">
        <f aca="false">ITEM_MASTER_CLEAN!F56</f>
        <v>56.99</v>
      </c>
      <c r="E56" s="5" t="n">
        <f aca="false">ITEM_MASTER_CLEAN!G56</f>
        <v>1</v>
      </c>
      <c r="F56" s="5" t="n">
        <f aca="false">DEMAND_MODEL!K56*SafetyDays</f>
        <v>1.28571428571429</v>
      </c>
      <c r="G56" s="5" t="n">
        <f aca="false">DEMAND_MODEL!L56*SafetyDays</f>
        <v>1.28571428571429</v>
      </c>
      <c r="H56" s="5" t="n">
        <f aca="false">ITEM_MASTER_CLEAN!H56</f>
        <v>1</v>
      </c>
      <c r="I56" s="5" t="n">
        <f aca="false">ITEM_MASTER_CLEAN!I56</f>
        <v>1</v>
      </c>
      <c r="J56" s="5" t="str">
        <f aca="false">IF(H56&lt;F56,"YES","")</f>
        <v>YES</v>
      </c>
      <c r="K56" s="5" t="str">
        <f aca="false">IF(I56&lt;G56,"YES","")</f>
        <v>YES</v>
      </c>
      <c r="L56" s="5" t="n">
        <f aca="false">IF(J56="YES",MAX(CEILING(F56-H56,E56),0),0)</f>
        <v>1</v>
      </c>
      <c r="M56" s="5" t="n">
        <f aca="false">IF(K56="YES",MAX(CEILING(G56-I56,E56),0),0)</f>
        <v>1</v>
      </c>
      <c r="N56" s="12" t="n">
        <f aca="false">L56*D56</f>
        <v>56.99</v>
      </c>
      <c r="O56" s="12" t="n">
        <f aca="false">M56*D56</f>
        <v>56.99</v>
      </c>
      <c r="P56" s="12" t="n">
        <f aca="false">P55+N56+O56</f>
        <v>23401.79</v>
      </c>
      <c r="Q56" s="5" t="str">
        <f aca="false">IF(P56&lt;=CashCap,"YES","OVER CAP")</f>
        <v>OVER CAP</v>
      </c>
      <c r="R56" s="5" t="str">
        <f aca="false">IF(LowCashMode="OFF","Normal Mode",IF(AND(OR(J56="YES",K56="YES"),Q56="YES"),"BUY NOW",IF(OR(J56="YES",K56="YES"),"DEFERRED","—")))</f>
        <v>Normal Mode</v>
      </c>
    </row>
    <row r="57" customFormat="false" ht="15" hidden="false" customHeight="false" outlineLevel="0" collapsed="false">
      <c r="A57" s="5" t="n">
        <f aca="false">ITEM_MASTER_CLEAN!A57</f>
        <v>56</v>
      </c>
      <c r="B57" s="5" t="n">
        <f aca="false">ITEM_MASTER_CLEAN!B57</f>
        <v>27030</v>
      </c>
      <c r="C57" s="5" t="str">
        <f aca="false">ITEM_MASTER_CLEAN!C57</f>
        <v>*NOUVEAU - gât choc décadent 6" 6un</v>
      </c>
      <c r="D57" s="12" t="n">
        <f aca="false">ITEM_MASTER_CLEAN!F57</f>
        <v>31.79</v>
      </c>
      <c r="E57" s="5" t="n">
        <f aca="false">ITEM_MASTER_CLEAN!G57</f>
        <v>6</v>
      </c>
      <c r="F57" s="5" t="n">
        <f aca="false">DEMAND_MODEL!K57*SafetyDays</f>
        <v>0.428571428571429</v>
      </c>
      <c r="G57" s="5" t="n">
        <f aca="false">DEMAND_MODEL!L57*SafetyDays</f>
        <v>0.428571428571429</v>
      </c>
      <c r="H57" s="5" t="n">
        <f aca="false">ITEM_MASTER_CLEAN!H57</f>
        <v>1</v>
      </c>
      <c r="I57" s="5" t="n">
        <f aca="false">ITEM_MASTER_CLEAN!I57</f>
        <v>1</v>
      </c>
      <c r="J57" s="5" t="str">
        <f aca="false">IF(H57&lt;F57,"YES","")</f>
        <v/>
      </c>
      <c r="K57" s="5" t="str">
        <f aca="false">IF(I57&lt;G57,"YES","")</f>
        <v/>
      </c>
      <c r="L57" s="5" t="n">
        <f aca="false">IF(J57="YES",MAX(CEILING(F57-H57,E57),0),0)</f>
        <v>0</v>
      </c>
      <c r="M57" s="5" t="n">
        <f aca="false">IF(K57="YES",MAX(CEILING(G57-I57,E57),0),0)</f>
        <v>0</v>
      </c>
      <c r="N57" s="12" t="n">
        <f aca="false">L57*D57</f>
        <v>0</v>
      </c>
      <c r="O57" s="12" t="n">
        <f aca="false">M57*D57</f>
        <v>0</v>
      </c>
      <c r="P57" s="12" t="n">
        <f aca="false">P56+N57+O57</f>
        <v>23401.79</v>
      </c>
      <c r="Q57" s="5" t="str">
        <f aca="false">IF(P57&lt;=CashCap,"YES","OVER CAP")</f>
        <v>OVER CAP</v>
      </c>
      <c r="R57" s="5" t="str">
        <f aca="false">IF(LowCashMode="OFF","Normal Mode",IF(AND(OR(J57="YES",K57="YES"),Q57="YES"),"BUY NOW",IF(OR(J57="YES",K57="YES"),"DEFERRED","—")))</f>
        <v>Normal Mode</v>
      </c>
    </row>
    <row r="58" customFormat="false" ht="15" hidden="false" customHeight="false" outlineLevel="0" collapsed="false">
      <c r="A58" s="5" t="n">
        <f aca="false">ITEM_MASTER_CLEAN!A58</f>
        <v>57</v>
      </c>
      <c r="B58" s="5" t="n">
        <f aca="false">ITEM_MASTER_CLEAN!B58</f>
        <v>27031</v>
      </c>
      <c r="C58" s="5" t="str">
        <f aca="false">ITEM_MASTER_CLEAN!C58</f>
        <v>*NOUVEAU - gât choc-noiset. 6" 6un</v>
      </c>
      <c r="D58" s="12" t="n">
        <f aca="false">ITEM_MASTER_CLEAN!F58</f>
        <v>31.54</v>
      </c>
      <c r="E58" s="5" t="n">
        <f aca="false">ITEM_MASTER_CLEAN!G58</f>
        <v>6</v>
      </c>
      <c r="F58" s="5" t="n">
        <f aca="false">DEMAND_MODEL!K58*SafetyDays</f>
        <v>1.71428571428571</v>
      </c>
      <c r="G58" s="5" t="n">
        <f aca="false">DEMAND_MODEL!L58*SafetyDays</f>
        <v>0.857142857142857</v>
      </c>
      <c r="H58" s="5" t="n">
        <f aca="false">ITEM_MASTER_CLEAN!H58</f>
        <v>7</v>
      </c>
      <c r="I58" s="5" t="n">
        <f aca="false">ITEM_MASTER_CLEAN!I58</f>
        <v>3</v>
      </c>
      <c r="J58" s="5" t="str">
        <f aca="false">IF(H58&lt;F58,"YES","")</f>
        <v/>
      </c>
      <c r="K58" s="5" t="str">
        <f aca="false">IF(I58&lt;G58,"YES","")</f>
        <v/>
      </c>
      <c r="L58" s="5" t="n">
        <f aca="false">IF(J58="YES",MAX(CEILING(F58-H58,E58),0),0)</f>
        <v>0</v>
      </c>
      <c r="M58" s="5" t="n">
        <f aca="false">IF(K58="YES",MAX(CEILING(G58-I58,E58),0),0)</f>
        <v>0</v>
      </c>
      <c r="N58" s="12" t="n">
        <f aca="false">L58*D58</f>
        <v>0</v>
      </c>
      <c r="O58" s="12" t="n">
        <f aca="false">M58*D58</f>
        <v>0</v>
      </c>
      <c r="P58" s="12" t="n">
        <f aca="false">P57+N58+O58</f>
        <v>23401.79</v>
      </c>
      <c r="Q58" s="5" t="str">
        <f aca="false">IF(P58&lt;=CashCap,"YES","OVER CAP")</f>
        <v>OVER CAP</v>
      </c>
      <c r="R58" s="5" t="str">
        <f aca="false">IF(LowCashMode="OFF","Normal Mode",IF(AND(OR(J58="YES",K58="YES"),Q58="YES"),"BUY NOW",IF(OR(J58="YES",K58="YES"),"DEFERRED","—")))</f>
        <v>Normal Mode</v>
      </c>
    </row>
    <row r="59" customFormat="false" ht="15" hidden="false" customHeight="false" outlineLevel="0" collapsed="false">
      <c r="A59" s="5" t="n">
        <f aca="false">ITEM_MASTER_CLEAN!A59</f>
        <v>58</v>
      </c>
      <c r="B59" s="5" t="n">
        <f aca="false">ITEM_MASTER_CLEAN!B59</f>
        <v>27032</v>
      </c>
      <c r="C59" s="5" t="str">
        <f aca="false">ITEM_MASTER_CLEAN!C59</f>
        <v>*NOUVEAU - gât Mangue Msse 6" 6un</v>
      </c>
      <c r="D59" s="12" t="n">
        <f aca="false">ITEM_MASTER_CLEAN!F59</f>
        <v>15.98</v>
      </c>
      <c r="E59" s="5" t="n">
        <f aca="false">ITEM_MASTER_CLEAN!G59</f>
        <v>6</v>
      </c>
      <c r="F59" s="5" t="n">
        <f aca="false">DEMAND_MODEL!K59*SafetyDays</f>
        <v>1.71428571428571</v>
      </c>
      <c r="G59" s="5" t="n">
        <f aca="false">DEMAND_MODEL!L59*SafetyDays</f>
        <v>0.857142857142857</v>
      </c>
      <c r="H59" s="5" t="n">
        <f aca="false">ITEM_MASTER_CLEAN!H59</f>
        <v>6</v>
      </c>
      <c r="I59" s="5" t="n">
        <f aca="false">ITEM_MASTER_CLEAN!I59</f>
        <v>3</v>
      </c>
      <c r="J59" s="5" t="str">
        <f aca="false">IF(H59&lt;F59,"YES","")</f>
        <v/>
      </c>
      <c r="K59" s="5" t="str">
        <f aca="false">IF(I59&lt;G59,"YES","")</f>
        <v/>
      </c>
      <c r="L59" s="5" t="n">
        <f aca="false">IF(J59="YES",MAX(CEILING(F59-H59,E59),0),0)</f>
        <v>0</v>
      </c>
      <c r="M59" s="5" t="n">
        <f aca="false">IF(K59="YES",MAX(CEILING(G59-I59,E59),0),0)</f>
        <v>0</v>
      </c>
      <c r="N59" s="12" t="n">
        <f aca="false">L59*D59</f>
        <v>0</v>
      </c>
      <c r="O59" s="12" t="n">
        <f aca="false">M59*D59</f>
        <v>0</v>
      </c>
      <c r="P59" s="12" t="n">
        <f aca="false">P58+N59+O59</f>
        <v>23401.79</v>
      </c>
      <c r="Q59" s="5" t="str">
        <f aca="false">IF(P59&lt;=CashCap,"YES","OVER CAP")</f>
        <v>OVER CAP</v>
      </c>
      <c r="R59" s="5" t="str">
        <f aca="false">IF(LowCashMode="OFF","Normal Mode",IF(AND(OR(J59="YES",K59="YES"),Q59="YES"),"BUY NOW",IF(OR(J59="YES",K59="YES"),"DEFERRED","—")))</f>
        <v>Normal Mode</v>
      </c>
    </row>
    <row r="60" customFormat="false" ht="15" hidden="false" customHeight="false" outlineLevel="0" collapsed="false">
      <c r="A60" s="5" t="n">
        <f aca="false">ITEM_MASTER_CLEAN!A60</f>
        <v>59</v>
      </c>
      <c r="B60" s="5" t="n">
        <f aca="false">ITEM_MASTER_CLEAN!B60</f>
        <v>27033</v>
      </c>
      <c r="C60" s="5" t="str">
        <f aca="false">ITEM_MASTER_CLEAN!C60</f>
        <v>LADIP CAKE RED BERRY MOUSSE 6" 6UN</v>
      </c>
      <c r="D60" s="12" t="n">
        <f aca="false">ITEM_MASTER_CLEAN!F60</f>
        <v>35.95</v>
      </c>
      <c r="E60" s="5" t="n">
        <f aca="false">ITEM_MASTER_CLEAN!G60</f>
        <v>6</v>
      </c>
      <c r="F60" s="5" t="n">
        <f aca="false">DEMAND_MODEL!K60*SafetyDays</f>
        <v>0.857142857142857</v>
      </c>
      <c r="G60" s="5" t="n">
        <f aca="false">DEMAND_MODEL!L60*SafetyDays</f>
        <v>0.857142857142857</v>
      </c>
      <c r="H60" s="5" t="n">
        <f aca="false">ITEM_MASTER_CLEAN!H60</f>
        <v>3</v>
      </c>
      <c r="I60" s="5" t="n">
        <f aca="false">ITEM_MASTER_CLEAN!I60</f>
        <v>2</v>
      </c>
      <c r="J60" s="5" t="str">
        <f aca="false">IF(H60&lt;F60,"YES","")</f>
        <v/>
      </c>
      <c r="K60" s="5" t="str">
        <f aca="false">IF(I60&lt;G60,"YES","")</f>
        <v/>
      </c>
      <c r="L60" s="5" t="n">
        <f aca="false">IF(J60="YES",MAX(CEILING(F60-H60,E60),0),0)</f>
        <v>0</v>
      </c>
      <c r="M60" s="5" t="n">
        <f aca="false">IF(K60="YES",MAX(CEILING(G60-I60,E60),0),0)</f>
        <v>0</v>
      </c>
      <c r="N60" s="12" t="n">
        <f aca="false">L60*D60</f>
        <v>0</v>
      </c>
      <c r="O60" s="12" t="n">
        <f aca="false">M60*D60</f>
        <v>0</v>
      </c>
      <c r="P60" s="12" t="n">
        <f aca="false">P59+N60+O60</f>
        <v>23401.79</v>
      </c>
      <c r="Q60" s="5" t="str">
        <f aca="false">IF(P60&lt;=CashCap,"YES","OVER CAP")</f>
        <v>OVER CAP</v>
      </c>
      <c r="R60" s="5" t="str">
        <f aca="false">IF(LowCashMode="OFF","Normal Mode",IF(AND(OR(J60="YES",K60="YES"),Q60="YES"),"BUY NOW",IF(OR(J60="YES",K60="YES"),"DEFERRED","—")))</f>
        <v>Normal Mode</v>
      </c>
    </row>
    <row r="61" customFormat="false" ht="15" hidden="false" customHeight="false" outlineLevel="0" collapsed="false">
      <c r="A61" s="5" t="n">
        <f aca="false">ITEM_MASTER_CLEAN!A61</f>
        <v>60</v>
      </c>
      <c r="B61" s="5" t="n">
        <f aca="false">ITEM_MASTER_CLEAN!B61</f>
        <v>27034</v>
      </c>
      <c r="C61" s="5" t="str">
        <f aca="false">ITEM_MASTER_CLEAN!C61</f>
        <v>*NOUVEAU -gât d'anniversaire 6"6un</v>
      </c>
      <c r="D61" s="12" t="n">
        <f aca="false">ITEM_MASTER_CLEAN!F61</f>
        <v>35.22</v>
      </c>
      <c r="E61" s="5" t="n">
        <f aca="false">ITEM_MASTER_CLEAN!G61</f>
        <v>6</v>
      </c>
      <c r="F61" s="5" t="n">
        <f aca="false">DEMAND_MODEL!K61*SafetyDays</f>
        <v>0.857142857142857</v>
      </c>
      <c r="G61" s="5" t="n">
        <f aca="false">DEMAND_MODEL!L61*SafetyDays</f>
        <v>0.857142857142857</v>
      </c>
      <c r="H61" s="5" t="n">
        <f aca="false">ITEM_MASTER_CLEAN!H61</f>
        <v>3</v>
      </c>
      <c r="I61" s="5" t="n">
        <f aca="false">ITEM_MASTER_CLEAN!I61</f>
        <v>2</v>
      </c>
      <c r="J61" s="5" t="str">
        <f aca="false">IF(H61&lt;F61,"YES","")</f>
        <v/>
      </c>
      <c r="K61" s="5" t="str">
        <f aca="false">IF(I61&lt;G61,"YES","")</f>
        <v/>
      </c>
      <c r="L61" s="5" t="n">
        <f aca="false">IF(J61="YES",MAX(CEILING(F61-H61,E61),0),0)</f>
        <v>0</v>
      </c>
      <c r="M61" s="5" t="n">
        <f aca="false">IF(K61="YES",MAX(CEILING(G61-I61,E61),0),0)</f>
        <v>0</v>
      </c>
      <c r="N61" s="12" t="n">
        <f aca="false">L61*D61</f>
        <v>0</v>
      </c>
      <c r="O61" s="12" t="n">
        <f aca="false">M61*D61</f>
        <v>0</v>
      </c>
      <c r="P61" s="12" t="n">
        <f aca="false">P60+N61+O61</f>
        <v>23401.79</v>
      </c>
      <c r="Q61" s="5" t="str">
        <f aca="false">IF(P61&lt;=CashCap,"YES","OVER CAP")</f>
        <v>OVER CAP</v>
      </c>
      <c r="R61" s="5" t="str">
        <f aca="false">IF(LowCashMode="OFF","Normal Mode",IF(AND(OR(J61="YES",K61="YES"),Q61="YES"),"BUY NOW",IF(OR(J61="YES",K61="YES"),"DEFERRED","—")))</f>
        <v>Normal Mode</v>
      </c>
    </row>
    <row r="62" customFormat="false" ht="15" hidden="false" customHeight="false" outlineLevel="0" collapsed="false">
      <c r="A62" s="5" t="n">
        <f aca="false">ITEM_MASTER_CLEAN!A62</f>
        <v>61</v>
      </c>
      <c r="B62" s="5" t="n">
        <f aca="false">ITEM_MASTER_CLEAN!B62</f>
        <v>28967</v>
      </c>
      <c r="C62" s="5" t="str">
        <f aca="false">ITEM_MASTER_CLEAN!C62</f>
        <v>PIE KEY LIME GRAHAM 10" KILO 12PC</v>
      </c>
      <c r="D62" s="12" t="n">
        <f aca="false">ITEM_MASTER_CLEAN!F62</f>
        <v>48.15</v>
      </c>
      <c r="E62" s="5" t="n">
        <f aca="false">ITEM_MASTER_CLEAN!G62</f>
        <v>1</v>
      </c>
      <c r="F62" s="5" t="n">
        <f aca="false">DEMAND_MODEL!K62*SafetyDays</f>
        <v>0.428571428571429</v>
      </c>
      <c r="G62" s="5" t="n">
        <f aca="false">DEMAND_MODEL!L62*SafetyDays</f>
        <v>1.28571428571429</v>
      </c>
      <c r="H62" s="5" t="n">
        <f aca="false">ITEM_MASTER_CLEAN!H62</f>
        <v>0</v>
      </c>
      <c r="I62" s="5" t="n">
        <f aca="false">ITEM_MASTER_CLEAN!I62</f>
        <v>0</v>
      </c>
      <c r="J62" s="5" t="str">
        <f aca="false">IF(H62&lt;F62,"YES","")</f>
        <v>YES</v>
      </c>
      <c r="K62" s="5" t="str">
        <f aca="false">IF(I62&lt;G62,"YES","")</f>
        <v>YES</v>
      </c>
      <c r="L62" s="5" t="n">
        <f aca="false">IF(J62="YES",MAX(CEILING(F62-H62,E62),0),0)</f>
        <v>1</v>
      </c>
      <c r="M62" s="5" t="n">
        <f aca="false">IF(K62="YES",MAX(CEILING(G62-I62,E62),0),0)</f>
        <v>2</v>
      </c>
      <c r="N62" s="12" t="n">
        <f aca="false">L62*D62</f>
        <v>48.15</v>
      </c>
      <c r="O62" s="12" t="n">
        <f aca="false">M62*D62</f>
        <v>96.3</v>
      </c>
      <c r="P62" s="12" t="n">
        <f aca="false">P61+N62+O62</f>
        <v>23546.24</v>
      </c>
      <c r="Q62" s="5" t="str">
        <f aca="false">IF(P62&lt;=CashCap,"YES","OVER CAP")</f>
        <v>OVER CAP</v>
      </c>
      <c r="R62" s="5" t="str">
        <f aca="false">IF(LowCashMode="OFF","Normal Mode",IF(AND(OR(J62="YES",K62="YES"),Q62="YES"),"BUY NOW",IF(OR(J62="YES",K62="YES"),"DEFERRED","—")))</f>
        <v>Normal Mode</v>
      </c>
    </row>
    <row r="63" customFormat="false" ht="15" hidden="false" customHeight="false" outlineLevel="0" collapsed="false">
      <c r="A63" s="5" t="n">
        <f aca="false">ITEM_MASTER_CLEAN!A63</f>
        <v>62</v>
      </c>
      <c r="B63" s="5" t="n">
        <f aca="false">ITEM_MASTER_CLEAN!B63</f>
        <v>31229</v>
      </c>
      <c r="C63" s="5" t="str">
        <f aca="false">ITEM_MASTER_CLEAN!C63</f>
        <v>LC ICE CRM MIX VANILLA 2X10L</v>
      </c>
      <c r="D63" s="12" t="n">
        <f aca="false">ITEM_MASTER_CLEAN!F63</f>
        <v>50.28</v>
      </c>
      <c r="E63" s="5" t="n">
        <f aca="false">ITEM_MASTER_CLEAN!G63</f>
        <v>2</v>
      </c>
      <c r="F63" s="5" t="n">
        <f aca="false">DEMAND_MODEL!K63*SafetyDays</f>
        <v>2.57142857142857</v>
      </c>
      <c r="G63" s="5" t="n">
        <f aca="false">DEMAND_MODEL!L63*SafetyDays</f>
        <v>2.57142857142857</v>
      </c>
      <c r="H63" s="5" t="n">
        <f aca="false">ITEM_MASTER_CLEAN!H63</f>
        <v>11</v>
      </c>
      <c r="I63" s="5" t="n">
        <f aca="false">ITEM_MASTER_CLEAN!I63</f>
        <v>9</v>
      </c>
      <c r="J63" s="5" t="str">
        <f aca="false">IF(H63&lt;F63,"YES","")</f>
        <v/>
      </c>
      <c r="K63" s="5" t="str">
        <f aca="false">IF(I63&lt;G63,"YES","")</f>
        <v/>
      </c>
      <c r="L63" s="5" t="n">
        <f aca="false">IF(J63="YES",MAX(CEILING(F63-H63,E63),0),0)</f>
        <v>0</v>
      </c>
      <c r="M63" s="5" t="n">
        <f aca="false">IF(K63="YES",MAX(CEILING(G63-I63,E63),0),0)</f>
        <v>0</v>
      </c>
      <c r="N63" s="12" t="n">
        <f aca="false">L63*D63</f>
        <v>0</v>
      </c>
      <c r="O63" s="12" t="n">
        <f aca="false">M63*D63</f>
        <v>0</v>
      </c>
      <c r="P63" s="12" t="n">
        <f aca="false">P62+N63+O63</f>
        <v>23546.24</v>
      </c>
      <c r="Q63" s="5" t="str">
        <f aca="false">IF(P63&lt;=CashCap,"YES","OVER CAP")</f>
        <v>OVER CAP</v>
      </c>
      <c r="R63" s="5" t="str">
        <f aca="false">IF(LowCashMode="OFF","Normal Mode",IF(AND(OR(J63="YES",K63="YES"),Q63="YES"),"BUY NOW",IF(OR(J63="YES",K63="YES"),"DEFERRED","—")))</f>
        <v>Normal Mode</v>
      </c>
    </row>
    <row r="64" customFormat="false" ht="15" hidden="false" customHeight="false" outlineLevel="0" collapsed="false">
      <c r="A64" s="5" t="n">
        <f aca="false">ITEM_MASTER_CLEAN!A64</f>
        <v>63</v>
      </c>
      <c r="B64" s="5" t="n">
        <f aca="false">ITEM_MASTER_CLEAN!B64</f>
        <v>36756</v>
      </c>
      <c r="C64" s="5" t="str">
        <f aca="false">ITEM_MASTER_CLEAN!C64</f>
        <v>LADIP MANGO S/SERVE VEGAN 8X1.89L</v>
      </c>
      <c r="D64" s="12" t="n">
        <f aca="false">ITEM_MASTER_CLEAN!F64</f>
        <v>58.22</v>
      </c>
      <c r="E64" s="5" t="n">
        <f aca="false">ITEM_MASTER_CLEAN!G64</f>
        <v>8</v>
      </c>
      <c r="F64" s="5" t="n">
        <f aca="false">DEMAND_MODEL!K64*SafetyDays</f>
        <v>1.71428571428571</v>
      </c>
      <c r="G64" s="5" t="n">
        <f aca="false">DEMAND_MODEL!L64*SafetyDays</f>
        <v>2.14285714285714</v>
      </c>
      <c r="H64" s="5" t="n">
        <f aca="false">ITEM_MASTER_CLEAN!H64</f>
        <v>10</v>
      </c>
      <c r="I64" s="5" t="n">
        <f aca="false">ITEM_MASTER_CLEAN!I64</f>
        <v>0</v>
      </c>
      <c r="J64" s="5" t="str">
        <f aca="false">IF(H64&lt;F64,"YES","")</f>
        <v/>
      </c>
      <c r="K64" s="5" t="str">
        <f aca="false">IF(I64&lt;G64,"YES","")</f>
        <v>YES</v>
      </c>
      <c r="L64" s="5" t="n">
        <f aca="false">IF(J64="YES",MAX(CEILING(F64-H64,E64),0),0)</f>
        <v>0</v>
      </c>
      <c r="M64" s="5" t="n">
        <f aca="false">IF(K64="YES",MAX(CEILING(G64-I64,E64),0),0)</f>
        <v>8</v>
      </c>
      <c r="N64" s="12" t="n">
        <f aca="false">L64*D64</f>
        <v>0</v>
      </c>
      <c r="O64" s="12" t="n">
        <f aca="false">M64*D64</f>
        <v>465.76</v>
      </c>
      <c r="P64" s="12" t="n">
        <f aca="false">P63+N64+O64</f>
        <v>24012</v>
      </c>
      <c r="Q64" s="5" t="str">
        <f aca="false">IF(P64&lt;=CashCap,"YES","OVER CAP")</f>
        <v>OVER CAP</v>
      </c>
      <c r="R64" s="5" t="str">
        <f aca="false">IF(LowCashMode="OFF","Normal Mode",IF(AND(OR(J64="YES",K64="YES"),Q64="YES"),"BUY NOW",IF(OR(J64="YES",K64="YES"),"DEFERRED","—")))</f>
        <v>Normal Mode</v>
      </c>
    </row>
    <row r="65" customFormat="false" ht="15" hidden="false" customHeight="false" outlineLevel="0" collapsed="false">
      <c r="A65" s="5" t="n">
        <f aca="false">ITEM_MASTER_CLEAN!A65</f>
        <v>64</v>
      </c>
      <c r="B65" s="5" t="n">
        <f aca="false">ITEM_MASTER_CLEAN!B65</f>
        <v>31231</v>
      </c>
      <c r="C65" s="5" t="str">
        <f aca="false">ITEM_MASTER_CLEAN!C65</f>
        <v>LC ICE CRM MIX CHOCOLATE 2X10L</v>
      </c>
      <c r="D65" s="12" t="n">
        <f aca="false">ITEM_MASTER_CLEAN!F65</f>
        <v>60.66</v>
      </c>
      <c r="E65" s="5" t="n">
        <f aca="false">ITEM_MASTER_CLEAN!G65</f>
        <v>2</v>
      </c>
      <c r="F65" s="5" t="n">
        <f aca="false">DEMAND_MODEL!K65*SafetyDays</f>
        <v>3.42857142857143</v>
      </c>
      <c r="G65" s="5" t="n">
        <f aca="false">DEMAND_MODEL!L65*SafetyDays</f>
        <v>1.71428571428571</v>
      </c>
      <c r="H65" s="5" t="n">
        <f aca="false">ITEM_MASTER_CLEAN!H65</f>
        <v>13</v>
      </c>
      <c r="I65" s="5" t="n">
        <f aca="false">ITEM_MASTER_CLEAN!I65</f>
        <v>5</v>
      </c>
      <c r="J65" s="5" t="str">
        <f aca="false">IF(H65&lt;F65,"YES","")</f>
        <v/>
      </c>
      <c r="K65" s="5" t="str">
        <f aca="false">IF(I65&lt;G65,"YES","")</f>
        <v/>
      </c>
      <c r="L65" s="5" t="n">
        <f aca="false">IF(J65="YES",MAX(CEILING(F65-H65,E65),0),0)</f>
        <v>0</v>
      </c>
      <c r="M65" s="5" t="n">
        <f aca="false">IF(K65="YES",MAX(CEILING(G65-I65,E65),0),0)</f>
        <v>0</v>
      </c>
      <c r="N65" s="12" t="n">
        <f aca="false">L65*D65</f>
        <v>0</v>
      </c>
      <c r="O65" s="12" t="n">
        <f aca="false">M65*D65</f>
        <v>0</v>
      </c>
      <c r="P65" s="12" t="n">
        <f aca="false">P64+N65+O65</f>
        <v>24012</v>
      </c>
      <c r="Q65" s="5" t="str">
        <f aca="false">IF(P65&lt;=CashCap,"YES","OVER CAP")</f>
        <v>OVER CAP</v>
      </c>
      <c r="R65" s="5" t="str">
        <f aca="false">IF(LowCashMode="OFF","Normal Mode",IF(AND(OR(J65="YES",K65="YES"),Q65="YES"),"BUY NOW",IF(OR(J65="YES",K65="YES"),"DEFERRED","—")))</f>
        <v>Normal Mode</v>
      </c>
    </row>
    <row r="66" customFormat="false" ht="15" hidden="false" customHeight="false" outlineLevel="0" collapsed="false">
      <c r="A66" s="5" t="n">
        <f aca="false">ITEM_MASTER_CLEAN!A66</f>
        <v>65</v>
      </c>
      <c r="B66" s="5" t="n">
        <f aca="false">ITEM_MASTER_CLEAN!B66</f>
        <v>30283</v>
      </c>
      <c r="C66" s="5" t="str">
        <f aca="false">ITEM_MASTER_CLEAN!C66</f>
        <v>BEV MILKSHAKE CARAMILK 12X310ML</v>
      </c>
      <c r="D66" s="12" t="n">
        <f aca="false">ITEM_MASTER_CLEAN!F66</f>
        <v>17.81</v>
      </c>
      <c r="E66" s="5" t="n">
        <f aca="false">ITEM_MASTER_CLEAN!G66</f>
        <v>12</v>
      </c>
      <c r="F66" s="5" t="n">
        <f aca="false">DEMAND_MODEL!K66*SafetyDays</f>
        <v>3.42857142857143</v>
      </c>
      <c r="G66" s="5" t="n">
        <f aca="false">DEMAND_MODEL!L66*SafetyDays</f>
        <v>1.28571428571429</v>
      </c>
      <c r="H66" s="5" t="n">
        <f aca="false">ITEM_MASTER_CLEAN!H66</f>
        <v>2</v>
      </c>
      <c r="I66" s="5" t="n">
        <f aca="false">ITEM_MASTER_CLEAN!I66</f>
        <v>9</v>
      </c>
      <c r="J66" s="5" t="str">
        <f aca="false">IF(H66&lt;F66,"YES","")</f>
        <v>YES</v>
      </c>
      <c r="K66" s="5" t="str">
        <f aca="false">IF(I66&lt;G66,"YES","")</f>
        <v/>
      </c>
      <c r="L66" s="5" t="n">
        <f aca="false">IF(J66="YES",MAX(CEILING(F66-H66,E66),0),0)</f>
        <v>12</v>
      </c>
      <c r="M66" s="5" t="n">
        <f aca="false">IF(K66="YES",MAX(CEILING(G66-I66,E66),0),0)</f>
        <v>0</v>
      </c>
      <c r="N66" s="12" t="n">
        <f aca="false">L66*D66</f>
        <v>213.72</v>
      </c>
      <c r="O66" s="12" t="n">
        <f aca="false">M66*D66</f>
        <v>0</v>
      </c>
      <c r="P66" s="12" t="n">
        <f aca="false">P65+N66+O66</f>
        <v>24225.72</v>
      </c>
      <c r="Q66" s="5" t="str">
        <f aca="false">IF(P66&lt;=CashCap,"YES","OVER CAP")</f>
        <v>OVER CAP</v>
      </c>
      <c r="R66" s="5" t="str">
        <f aca="false">IF(LowCashMode="OFF","Normal Mode",IF(AND(OR(J66="YES",K66="YES"),Q66="YES"),"BUY NOW",IF(OR(J66="YES",K66="YES"),"DEFERRED","—")))</f>
        <v>Normal Mode</v>
      </c>
    </row>
    <row r="67" customFormat="false" ht="15" hidden="false" customHeight="false" outlineLevel="0" collapsed="false">
      <c r="A67" s="5" t="n">
        <f aca="false">ITEM_MASTER_CLEAN!A67</f>
        <v>66</v>
      </c>
      <c r="B67" s="5" t="n">
        <f aca="false">ITEM_MASTER_CLEAN!B67</f>
        <v>30282</v>
      </c>
      <c r="C67" s="5" t="str">
        <f aca="false">ITEM_MASTER_CLEAN!C67</f>
        <v>BEV MILKSHAKE COFFE CRISP 12X473ML</v>
      </c>
      <c r="D67" s="12" t="n">
        <f aca="false">ITEM_MASTER_CLEAN!F67</f>
        <v>5.23</v>
      </c>
      <c r="E67" s="5" t="n">
        <f aca="false">ITEM_MASTER_CLEAN!G67</f>
        <v>12</v>
      </c>
      <c r="F67" s="5" t="n">
        <f aca="false">DEMAND_MODEL!K67*SafetyDays</f>
        <v>3.85714285714286</v>
      </c>
      <c r="G67" s="5" t="n">
        <f aca="false">DEMAND_MODEL!L67*SafetyDays</f>
        <v>2.14285714285714</v>
      </c>
      <c r="H67" s="5" t="n">
        <f aca="false">ITEM_MASTER_CLEAN!H67</f>
        <v>10</v>
      </c>
      <c r="I67" s="5" t="n">
        <f aca="false">ITEM_MASTER_CLEAN!I67</f>
        <v>6</v>
      </c>
      <c r="J67" s="5" t="str">
        <f aca="false">IF(H67&lt;F67,"YES","")</f>
        <v/>
      </c>
      <c r="K67" s="5" t="str">
        <f aca="false">IF(I67&lt;G67,"YES","")</f>
        <v/>
      </c>
      <c r="L67" s="5" t="n">
        <f aca="false">IF(J67="YES",MAX(CEILING(F67-H67,E67),0),0)</f>
        <v>0</v>
      </c>
      <c r="M67" s="5" t="n">
        <f aca="false">IF(K67="YES",MAX(CEILING(G67-I67,E67),0),0)</f>
        <v>0</v>
      </c>
      <c r="N67" s="12" t="n">
        <f aca="false">L67*D67</f>
        <v>0</v>
      </c>
      <c r="O67" s="12" t="n">
        <f aca="false">M67*D67</f>
        <v>0</v>
      </c>
      <c r="P67" s="12" t="n">
        <f aca="false">P66+N67+O67</f>
        <v>24225.72</v>
      </c>
      <c r="Q67" s="5" t="str">
        <f aca="false">IF(P67&lt;=CashCap,"YES","OVER CAP")</f>
        <v>OVER CAP</v>
      </c>
      <c r="R67" s="5" t="str">
        <f aca="false">IF(LowCashMode="OFF","Normal Mode",IF(AND(OR(J67="YES",K67="YES"),Q67="YES"),"BUY NOW",IF(OR(J67="YES",K67="YES"),"DEFERRED","—")))</f>
        <v>Normal Mode</v>
      </c>
    </row>
    <row r="68" customFormat="false" ht="15" hidden="false" customHeight="false" outlineLevel="0" collapsed="false">
      <c r="A68" s="5" t="n">
        <f aca="false">ITEM_MASTER_CLEAN!A68</f>
        <v>67</v>
      </c>
      <c r="B68" s="5" t="n">
        <f aca="false">ITEM_MASTER_CLEAN!B68</f>
        <v>31225</v>
      </c>
      <c r="C68" s="5" t="str">
        <f aca="false">ITEM_MASTER_CLEAN!C68</f>
        <v>PRVT MILK HOMO 2L</v>
      </c>
      <c r="D68" s="12" t="n">
        <f aca="false">ITEM_MASTER_CLEAN!F68</f>
        <v>4.4</v>
      </c>
      <c r="E68" s="5" t="n">
        <f aca="false">ITEM_MASTER_CLEAN!G68</f>
        <v>1</v>
      </c>
      <c r="F68" s="5" t="n">
        <f aca="false">DEMAND_MODEL!K68*SafetyDays</f>
        <v>1.71428571428571</v>
      </c>
      <c r="G68" s="5" t="n">
        <f aca="false">DEMAND_MODEL!L68*SafetyDays</f>
        <v>2.57142857142857</v>
      </c>
      <c r="H68" s="5" t="n">
        <f aca="false">ITEM_MASTER_CLEAN!H68</f>
        <v>0</v>
      </c>
      <c r="I68" s="5" t="n">
        <f aca="false">ITEM_MASTER_CLEAN!I68</f>
        <v>21</v>
      </c>
      <c r="J68" s="5" t="str">
        <f aca="false">IF(H68&lt;F68,"YES","")</f>
        <v>YES</v>
      </c>
      <c r="K68" s="5" t="str">
        <f aca="false">IF(I68&lt;G68,"YES","")</f>
        <v/>
      </c>
      <c r="L68" s="5" t="n">
        <f aca="false">IF(J68="YES",MAX(CEILING(F68-H68,E68),0),0)</f>
        <v>2</v>
      </c>
      <c r="M68" s="5" t="n">
        <f aca="false">IF(K68="YES",MAX(CEILING(G68-I68,E68),0),0)</f>
        <v>0</v>
      </c>
      <c r="N68" s="12" t="n">
        <f aca="false">L68*D68</f>
        <v>8.8</v>
      </c>
      <c r="O68" s="12" t="n">
        <f aca="false">M68*D68</f>
        <v>0</v>
      </c>
      <c r="P68" s="12" t="n">
        <f aca="false">P67+N68+O68</f>
        <v>24234.52</v>
      </c>
      <c r="Q68" s="5" t="str">
        <f aca="false">IF(P68&lt;=CashCap,"YES","OVER CAP")</f>
        <v>OVER CAP</v>
      </c>
      <c r="R68" s="5" t="str">
        <f aca="false">IF(LowCashMode="OFF","Normal Mode",IF(AND(OR(J68="YES",K68="YES"),Q68="YES"),"BUY NOW",IF(OR(J68="YES",K68="YES"),"DEFERRED","—")))</f>
        <v>Normal Mode</v>
      </c>
    </row>
    <row r="69" customFormat="false" ht="15" hidden="false" customHeight="false" outlineLevel="0" collapsed="false">
      <c r="A69" s="5" t="n">
        <f aca="false">ITEM_MASTER_CLEAN!A69</f>
        <v>68</v>
      </c>
      <c r="B69" s="5" t="n">
        <f aca="false">ITEM_MASTER_CLEAN!B69</f>
        <v>31227</v>
      </c>
      <c r="C69" s="5" t="str">
        <f aca="false">ITEM_MASTER_CLEAN!C69</f>
        <v>PRVT MILK CHOCOLATE 2L</v>
      </c>
      <c r="D69" s="12" t="n">
        <f aca="false">ITEM_MASTER_CLEAN!F69</f>
        <v>4.97</v>
      </c>
      <c r="E69" s="5" t="n">
        <f aca="false">ITEM_MASTER_CLEAN!G69</f>
        <v>1</v>
      </c>
      <c r="F69" s="5" t="n">
        <f aca="false">DEMAND_MODEL!K69*SafetyDays</f>
        <v>3.85714285714286</v>
      </c>
      <c r="G69" s="5" t="n">
        <f aca="false">DEMAND_MODEL!L69*SafetyDays</f>
        <v>1.71428571428571</v>
      </c>
      <c r="H69" s="5" t="n">
        <f aca="false">ITEM_MASTER_CLEAN!H69</f>
        <v>41</v>
      </c>
      <c r="I69" s="5" t="n">
        <f aca="false">ITEM_MASTER_CLEAN!I69</f>
        <v>17</v>
      </c>
      <c r="J69" s="5" t="str">
        <f aca="false">IF(H69&lt;F69,"YES","")</f>
        <v/>
      </c>
      <c r="K69" s="5" t="str">
        <f aca="false">IF(I69&lt;G69,"YES","")</f>
        <v/>
      </c>
      <c r="L69" s="5" t="n">
        <f aca="false">IF(J69="YES",MAX(CEILING(F69-H69,E69),0),0)</f>
        <v>0</v>
      </c>
      <c r="M69" s="5" t="n">
        <f aca="false">IF(K69="YES",MAX(CEILING(G69-I69,E69),0),0)</f>
        <v>0</v>
      </c>
      <c r="N69" s="12" t="n">
        <f aca="false">L69*D69</f>
        <v>0</v>
      </c>
      <c r="O69" s="12" t="n">
        <f aca="false">M69*D69</f>
        <v>0</v>
      </c>
      <c r="P69" s="12" t="n">
        <f aca="false">P68+N69+O69</f>
        <v>24234.52</v>
      </c>
      <c r="Q69" s="5" t="str">
        <f aca="false">IF(P69&lt;=CashCap,"YES","OVER CAP")</f>
        <v>OVER CAP</v>
      </c>
      <c r="R69" s="5" t="str">
        <f aca="false">IF(LowCashMode="OFF","Normal Mode",IF(AND(OR(J69="YES",K69="YES"),Q69="YES"),"BUY NOW",IF(OR(J69="YES",K69="YES"),"DEFERRED","—")))</f>
        <v>Normal Mode</v>
      </c>
    </row>
    <row r="70" customFormat="false" ht="15" hidden="false" customHeight="false" outlineLevel="0" collapsed="false">
      <c r="A70" s="5" t="n">
        <f aca="false">ITEM_MASTER_CLEAN!A70</f>
        <v>69</v>
      </c>
      <c r="B70" s="5" t="n">
        <f aca="false">ITEM_MASTER_CLEAN!B70</f>
        <v>31226</v>
      </c>
      <c r="C70" s="5" t="str">
        <f aca="false">ITEM_MASTER_CLEAN!C70</f>
        <v>PRVT MILK STRAWBERRY 473ML</v>
      </c>
      <c r="D70" s="12" t="n">
        <f aca="false">ITEM_MASTER_CLEAN!F70</f>
        <v>4.31</v>
      </c>
      <c r="E70" s="5" t="n">
        <f aca="false">ITEM_MASTER_CLEAN!G70</f>
        <v>1</v>
      </c>
      <c r="F70" s="5" t="n">
        <f aca="false">DEMAND_MODEL!K70*SafetyDays</f>
        <v>4.28571428571429</v>
      </c>
      <c r="G70" s="5" t="n">
        <f aca="false">DEMAND_MODEL!L70*SafetyDays</f>
        <v>2.14285714285714</v>
      </c>
      <c r="H70" s="5" t="n">
        <f aca="false">ITEM_MASTER_CLEAN!H70</f>
        <v>6</v>
      </c>
      <c r="I70" s="5" t="n">
        <f aca="false">ITEM_MASTER_CLEAN!I70</f>
        <v>1</v>
      </c>
      <c r="J70" s="5" t="str">
        <f aca="false">IF(H70&lt;F70,"YES","")</f>
        <v/>
      </c>
      <c r="K70" s="5" t="str">
        <f aca="false">IF(I70&lt;G70,"YES","")</f>
        <v>YES</v>
      </c>
      <c r="L70" s="5" t="n">
        <f aca="false">IF(J70="YES",MAX(CEILING(F70-H70,E70),0),0)</f>
        <v>0</v>
      </c>
      <c r="M70" s="5" t="n">
        <f aca="false">IF(K70="YES",MAX(CEILING(G70-I70,E70),0),0)</f>
        <v>2</v>
      </c>
      <c r="N70" s="12" t="n">
        <f aca="false">L70*D70</f>
        <v>0</v>
      </c>
      <c r="O70" s="12" t="n">
        <f aca="false">M70*D70</f>
        <v>8.62</v>
      </c>
      <c r="P70" s="12" t="n">
        <f aca="false">P69+N70+O70</f>
        <v>24243.14</v>
      </c>
      <c r="Q70" s="5" t="str">
        <f aca="false">IF(P70&lt;=CashCap,"YES","OVER CAP")</f>
        <v>OVER CAP</v>
      </c>
      <c r="R70" s="5" t="str">
        <f aca="false">IF(LowCashMode="OFF","Normal Mode",IF(AND(OR(J70="YES",K70="YES"),Q70="YES"),"BUY NOW",IF(OR(J70="YES",K70="YES"),"DEFERRED","—")))</f>
        <v>Normal Mode</v>
      </c>
    </row>
    <row r="71" customFormat="false" ht="15" hidden="false" customHeight="false" outlineLevel="0" collapsed="false">
      <c r="A71" s="5" t="n">
        <f aca="false">ITEM_MASTER_CLEAN!A71</f>
        <v>70</v>
      </c>
      <c r="B71" s="5" t="n">
        <f aca="false">ITEM_MASTER_CLEAN!B71</f>
        <v>31221</v>
      </c>
      <c r="C71" s="5" t="str">
        <f aca="false">ITEM_MASTER_CLEAN!C71</f>
        <v>WHIP CREAM AEROSOL 19% 12X225G</v>
      </c>
      <c r="D71" s="12" t="n">
        <f aca="false">ITEM_MASTER_CLEAN!F71</f>
        <v>48.22</v>
      </c>
      <c r="E71" s="5" t="n">
        <f aca="false">ITEM_MASTER_CLEAN!G71</f>
        <v>12</v>
      </c>
      <c r="F71" s="5" t="n">
        <f aca="false">DEMAND_MODEL!K71*SafetyDays</f>
        <v>2.57142857142857</v>
      </c>
      <c r="G71" s="5" t="n">
        <f aca="false">DEMAND_MODEL!L71*SafetyDays</f>
        <v>2.14285714285714</v>
      </c>
      <c r="H71" s="5" t="n">
        <f aca="false">ITEM_MASTER_CLEAN!H71</f>
        <v>26</v>
      </c>
      <c r="I71" s="5" t="n">
        <f aca="false">ITEM_MASTER_CLEAN!I71</f>
        <v>18</v>
      </c>
      <c r="J71" s="5" t="str">
        <f aca="false">IF(H71&lt;F71,"YES","")</f>
        <v/>
      </c>
      <c r="K71" s="5" t="str">
        <f aca="false">IF(I71&lt;G71,"YES","")</f>
        <v/>
      </c>
      <c r="L71" s="5" t="n">
        <f aca="false">IF(J71="YES",MAX(CEILING(F71-H71,E71),0),0)</f>
        <v>0</v>
      </c>
      <c r="M71" s="5" t="n">
        <f aca="false">IF(K71="YES",MAX(CEILING(G71-I71,E71),0),0)</f>
        <v>0</v>
      </c>
      <c r="N71" s="12" t="n">
        <f aca="false">L71*D71</f>
        <v>0</v>
      </c>
      <c r="O71" s="12" t="n">
        <f aca="false">M71*D71</f>
        <v>0</v>
      </c>
      <c r="P71" s="12" t="n">
        <f aca="false">P70+N71+O71</f>
        <v>24243.14</v>
      </c>
      <c r="Q71" s="5" t="str">
        <f aca="false">IF(P71&lt;=CashCap,"YES","OVER CAP")</f>
        <v>OVER CAP</v>
      </c>
      <c r="R71" s="5" t="str">
        <f aca="false">IF(LowCashMode="OFF","Normal Mode",IF(AND(OR(J71="YES",K71="YES"),Q71="YES"),"BUY NOW",IF(OR(J71="YES",K71="YES"),"DEFERRED","—")))</f>
        <v>Normal Mode</v>
      </c>
    </row>
    <row r="72" customFormat="false" ht="15" hidden="false" customHeight="false" outlineLevel="0" collapsed="false">
      <c r="A72" s="5" t="n">
        <f aca="false">ITEM_MASTER_CLEAN!A72</f>
        <v>71</v>
      </c>
      <c r="B72" s="5" t="n">
        <f aca="false">ITEM_MASTER_CLEAN!B72</f>
        <v>64878</v>
      </c>
      <c r="C72" s="5" t="str">
        <f aca="false">ITEM_MASTER_CLEAN!C72</f>
        <v>DIPP CUP 16OZ PL 31016MTYL PP* 1M</v>
      </c>
      <c r="D72" s="12" t="n">
        <f aca="false">ITEM_MASTER_CLEAN!F72</f>
        <v>19.1</v>
      </c>
      <c r="E72" s="5" t="n">
        <f aca="false">ITEM_MASTER_CLEAN!G72</f>
        <v>20</v>
      </c>
      <c r="F72" s="5" t="n">
        <f aca="false">DEMAND_MODEL!K72*SafetyDays</f>
        <v>3</v>
      </c>
      <c r="G72" s="5" t="n">
        <f aca="false">DEMAND_MODEL!L72*SafetyDays</f>
        <v>1.71428571428571</v>
      </c>
      <c r="H72" s="5" t="n">
        <f aca="false">ITEM_MASTER_CLEAN!H72</f>
        <v>12</v>
      </c>
      <c r="I72" s="5" t="n">
        <f aca="false">ITEM_MASTER_CLEAN!I72</f>
        <v>7</v>
      </c>
      <c r="J72" s="5" t="str">
        <f aca="false">IF(H72&lt;F72,"YES","")</f>
        <v/>
      </c>
      <c r="K72" s="5" t="str">
        <f aca="false">IF(I72&lt;G72,"YES","")</f>
        <v/>
      </c>
      <c r="L72" s="5" t="n">
        <f aca="false">IF(J72="YES",MAX(CEILING(F72-H72,E72),0),0)</f>
        <v>0</v>
      </c>
      <c r="M72" s="5" t="n">
        <f aca="false">IF(K72="YES",MAX(CEILING(G72-I72,E72),0),0)</f>
        <v>0</v>
      </c>
      <c r="N72" s="12" t="n">
        <f aca="false">L72*D72</f>
        <v>0</v>
      </c>
      <c r="O72" s="12" t="n">
        <f aca="false">M72*D72</f>
        <v>0</v>
      </c>
      <c r="P72" s="12" t="n">
        <f aca="false">P71+N72+O72</f>
        <v>24243.14</v>
      </c>
      <c r="Q72" s="5" t="str">
        <f aca="false">IF(P72&lt;=CashCap,"YES","OVER CAP")</f>
        <v>OVER CAP</v>
      </c>
      <c r="R72" s="5" t="str">
        <f aca="false">IF(LowCashMode="OFF","Normal Mode",IF(AND(OR(J72="YES",K72="YES"),Q72="YES"),"BUY NOW",IF(OR(J72="YES",K72="YES"),"DEFERRED","—")))</f>
        <v>Normal Mode</v>
      </c>
    </row>
    <row r="73" customFormat="false" ht="15" hidden="false" customHeight="false" outlineLevel="0" collapsed="false">
      <c r="A73" s="5" t="n">
        <f aca="false">ITEM_MASTER_CLEAN!A73</f>
        <v>72</v>
      </c>
      <c r="B73" s="5" t="n">
        <f aca="false">ITEM_MASTER_CLEAN!B73</f>
        <v>61594</v>
      </c>
      <c r="C73" s="5" t="str">
        <f aca="false">ITEM_MASTER_CLEAN!C73</f>
        <v>Couv. Plat 16oz 10x100 units</v>
      </c>
      <c r="D73" s="12" t="n">
        <f aca="false">ITEM_MASTER_CLEAN!F73</f>
        <v>16.83</v>
      </c>
      <c r="E73" s="5" t="n">
        <f aca="false">ITEM_MASTER_CLEAN!G73</f>
        <v>10</v>
      </c>
      <c r="F73" s="5" t="n">
        <f aca="false">DEMAND_MODEL!K73*SafetyDays</f>
        <v>3.85714285714286</v>
      </c>
      <c r="G73" s="5" t="n">
        <f aca="false">DEMAND_MODEL!L73*SafetyDays</f>
        <v>2.14285714285714</v>
      </c>
      <c r="H73" s="5" t="n">
        <f aca="false">ITEM_MASTER_CLEAN!H73</f>
        <v>31</v>
      </c>
      <c r="I73" s="5" t="n">
        <f aca="false">ITEM_MASTER_CLEAN!I73</f>
        <v>19</v>
      </c>
      <c r="J73" s="5" t="str">
        <f aca="false">IF(H73&lt;F73,"YES","")</f>
        <v/>
      </c>
      <c r="K73" s="5" t="str">
        <f aca="false">IF(I73&lt;G73,"YES","")</f>
        <v/>
      </c>
      <c r="L73" s="5" t="n">
        <f aca="false">IF(J73="YES",MAX(CEILING(F73-H73,E73),0),0)</f>
        <v>0</v>
      </c>
      <c r="M73" s="5" t="n">
        <f aca="false">IF(K73="YES",MAX(CEILING(G73-I73,E73),0),0)</f>
        <v>0</v>
      </c>
      <c r="N73" s="12" t="n">
        <f aca="false">L73*D73</f>
        <v>0</v>
      </c>
      <c r="O73" s="12" t="n">
        <f aca="false">M73*D73</f>
        <v>0</v>
      </c>
      <c r="P73" s="12" t="n">
        <f aca="false">P72+N73+O73</f>
        <v>24243.14</v>
      </c>
      <c r="Q73" s="5" t="str">
        <f aca="false">IF(P73&lt;=CashCap,"YES","OVER CAP")</f>
        <v>OVER CAP</v>
      </c>
      <c r="R73" s="5" t="str">
        <f aca="false">IF(LowCashMode="OFF","Normal Mode",IF(AND(OR(J73="YES",K73="YES"),Q73="YES"),"BUY NOW",IF(OR(J73="YES",K73="YES"),"DEFERRED","—")))</f>
        <v>Normal Mode</v>
      </c>
    </row>
    <row r="74" customFormat="false" ht="15" hidden="false" customHeight="false" outlineLevel="0" collapsed="false">
      <c r="A74" s="5" t="n">
        <f aca="false">ITEM_MASTER_CLEAN!A74</f>
        <v>73</v>
      </c>
      <c r="B74" s="5" t="n">
        <f aca="false">ITEM_MASTER_CLEAN!B74</f>
        <v>61593</v>
      </c>
      <c r="C74" s="5" t="str">
        <f aca="false">ITEM_MASTER_CLEAN!C74</f>
        <v>LID 16 OZ DOME W/SPOON HOLE PP X100</v>
      </c>
      <c r="D74" s="12" t="n">
        <f aca="false">ITEM_MASTER_CLEAN!F74</f>
        <v>17.88</v>
      </c>
      <c r="E74" s="5" t="n">
        <f aca="false">ITEM_MASTER_CLEAN!G74</f>
        <v>1</v>
      </c>
      <c r="F74" s="5" t="n">
        <f aca="false">DEMAND_MODEL!K74*SafetyDays</f>
        <v>3.85714285714286</v>
      </c>
      <c r="G74" s="5" t="n">
        <f aca="false">DEMAND_MODEL!L74*SafetyDays</f>
        <v>3</v>
      </c>
      <c r="H74" s="5" t="n">
        <f aca="false">ITEM_MASTER_CLEAN!H74</f>
        <v>16</v>
      </c>
      <c r="I74" s="5" t="n">
        <f aca="false">ITEM_MASTER_CLEAN!I74</f>
        <v>11</v>
      </c>
      <c r="J74" s="5" t="str">
        <f aca="false">IF(H74&lt;F74,"YES","")</f>
        <v/>
      </c>
      <c r="K74" s="5" t="str">
        <f aca="false">IF(I74&lt;G74,"YES","")</f>
        <v/>
      </c>
      <c r="L74" s="5" t="n">
        <f aca="false">IF(J74="YES",MAX(CEILING(F74-H74,E74),0),0)</f>
        <v>0</v>
      </c>
      <c r="M74" s="5" t="n">
        <f aca="false">IF(K74="YES",MAX(CEILING(G74-I74,E74),0),0)</f>
        <v>0</v>
      </c>
      <c r="N74" s="12" t="n">
        <f aca="false">L74*D74</f>
        <v>0</v>
      </c>
      <c r="O74" s="12" t="n">
        <f aca="false">M74*D74</f>
        <v>0</v>
      </c>
      <c r="P74" s="12" t="n">
        <f aca="false">P73+N74+O74</f>
        <v>24243.14</v>
      </c>
      <c r="Q74" s="5" t="str">
        <f aca="false">IF(P74&lt;=CashCap,"YES","OVER CAP")</f>
        <v>OVER CAP</v>
      </c>
      <c r="R74" s="5" t="str">
        <f aca="false">IF(LowCashMode="OFF","Normal Mode",IF(AND(OR(J74="YES",K74="YES"),Q74="YES"),"BUY NOW",IF(OR(J74="YES",K74="YES"),"DEFERRED","—")))</f>
        <v>Normal Mode</v>
      </c>
    </row>
    <row r="75" customFormat="false" ht="15" hidden="false" customHeight="false" outlineLevel="0" collapsed="false">
      <c r="A75" s="5" t="n">
        <f aca="false">ITEM_MASTER_CLEAN!A75</f>
        <v>74</v>
      </c>
      <c r="B75" s="5" t="n">
        <f aca="false">ITEM_MASTER_CLEAN!B75</f>
        <v>32911</v>
      </c>
      <c r="C75" s="5" t="str">
        <f aca="false">ITEM_MASTER_CLEAN!C75</f>
        <v>Montreal paper cup 16oz</v>
      </c>
      <c r="D75" s="12" t="n">
        <f aca="false">ITEM_MASTER_CLEAN!F75</f>
        <v>54.83</v>
      </c>
      <c r="E75" s="5" t="n">
        <f aca="false">ITEM_MASTER_CLEAN!G75</f>
        <v>1</v>
      </c>
      <c r="F75" s="5" t="n">
        <f aca="false">DEMAND_MODEL!K75*SafetyDays</f>
        <v>3.42857142857143</v>
      </c>
      <c r="G75" s="5" t="n">
        <f aca="false">DEMAND_MODEL!L75*SafetyDays</f>
        <v>1.71428571428571</v>
      </c>
      <c r="H75" s="5" t="n">
        <f aca="false">ITEM_MASTER_CLEAN!H75</f>
        <v>1</v>
      </c>
      <c r="I75" s="5" t="n">
        <f aca="false">ITEM_MASTER_CLEAN!I75</f>
        <v>11</v>
      </c>
      <c r="J75" s="5" t="str">
        <f aca="false">IF(H75&lt;F75,"YES","")</f>
        <v>YES</v>
      </c>
      <c r="K75" s="5" t="str">
        <f aca="false">IF(I75&lt;G75,"YES","")</f>
        <v/>
      </c>
      <c r="L75" s="5" t="n">
        <f aca="false">IF(J75="YES",MAX(CEILING(F75-H75,E75),0),0)</f>
        <v>3</v>
      </c>
      <c r="M75" s="5" t="n">
        <f aca="false">IF(K75="YES",MAX(CEILING(G75-I75,E75),0),0)</f>
        <v>0</v>
      </c>
      <c r="N75" s="12" t="n">
        <f aca="false">L75*D75</f>
        <v>164.49</v>
      </c>
      <c r="O75" s="12" t="n">
        <f aca="false">M75*D75</f>
        <v>0</v>
      </c>
      <c r="P75" s="12" t="n">
        <f aca="false">P74+N75+O75</f>
        <v>24407.63</v>
      </c>
      <c r="Q75" s="5" t="str">
        <f aca="false">IF(P75&lt;=CashCap,"YES","OVER CAP")</f>
        <v>OVER CAP</v>
      </c>
      <c r="R75" s="5" t="str">
        <f aca="false">IF(LowCashMode="OFF","Normal Mode",IF(AND(OR(J75="YES",K75="YES"),Q75="YES"),"BUY NOW",IF(OR(J75="YES",K75="YES"),"DEFERRED","—")))</f>
        <v>Normal Mode</v>
      </c>
    </row>
    <row r="76" customFormat="false" ht="15" hidden="false" customHeight="false" outlineLevel="0" collapsed="false">
      <c r="A76" s="5" t="n">
        <f aca="false">ITEM_MASTER_CLEAN!A76</f>
        <v>75</v>
      </c>
      <c r="B76" s="5" t="n">
        <f aca="false">ITEM_MASTER_CLEAN!B76</f>
        <v>32912</v>
      </c>
      <c r="C76" s="5" t="str">
        <f aca="false">ITEM_MASTER_CLEAN!C76</f>
        <v>Montreal 16oz flat lid</v>
      </c>
      <c r="D76" s="12" t="n">
        <f aca="false">ITEM_MASTER_CLEAN!F76</f>
        <v>31.79</v>
      </c>
      <c r="E76" s="5" t="n">
        <f aca="false">ITEM_MASTER_CLEAN!G76</f>
        <v>1</v>
      </c>
      <c r="F76" s="5" t="n">
        <f aca="false">DEMAND_MODEL!K76*SafetyDays</f>
        <v>2.14285714285714</v>
      </c>
      <c r="G76" s="5" t="n">
        <f aca="false">DEMAND_MODEL!L76*SafetyDays</f>
        <v>1.28571428571429</v>
      </c>
      <c r="H76" s="5" t="n">
        <f aca="false">ITEM_MASTER_CLEAN!H76</f>
        <v>8</v>
      </c>
      <c r="I76" s="5" t="n">
        <f aca="false">ITEM_MASTER_CLEAN!I76</f>
        <v>5</v>
      </c>
      <c r="J76" s="5" t="str">
        <f aca="false">IF(H76&lt;F76,"YES","")</f>
        <v/>
      </c>
      <c r="K76" s="5" t="str">
        <f aca="false">IF(I76&lt;G76,"YES","")</f>
        <v/>
      </c>
      <c r="L76" s="5" t="n">
        <f aca="false">IF(J76="YES",MAX(CEILING(F76-H76,E76),0),0)</f>
        <v>0</v>
      </c>
      <c r="M76" s="5" t="n">
        <f aca="false">IF(K76="YES",MAX(CEILING(G76-I76,E76),0),0)</f>
        <v>0</v>
      </c>
      <c r="N76" s="12" t="n">
        <f aca="false">L76*D76</f>
        <v>0</v>
      </c>
      <c r="O76" s="12" t="n">
        <f aca="false">M76*D76</f>
        <v>0</v>
      </c>
      <c r="P76" s="12" t="n">
        <f aca="false">P75+N76+O76</f>
        <v>24407.63</v>
      </c>
      <c r="Q76" s="5" t="str">
        <f aca="false">IF(P76&lt;=CashCap,"YES","OVER CAP")</f>
        <v>OVER CAP</v>
      </c>
      <c r="R76" s="5" t="str">
        <f aca="false">IF(LowCashMode="OFF","Normal Mode",IF(AND(OR(J76="YES",K76="YES"),Q76="YES"),"BUY NOW",IF(OR(J76="YES",K76="YES"),"DEFERRED","—")))</f>
        <v>Normal Mode</v>
      </c>
    </row>
    <row r="77" customFormat="false" ht="15" hidden="false" customHeight="false" outlineLevel="0" collapsed="false">
      <c r="A77" s="5" t="n">
        <f aca="false">ITEM_MASTER_CLEAN!A77</f>
        <v>76</v>
      </c>
      <c r="B77" s="5" t="n">
        <f aca="false">ITEM_MASTER_CLEAN!B77</f>
        <v>34434</v>
      </c>
      <c r="C77" s="5" t="str">
        <f aca="false">ITEM_MASTER_CLEAN!C77</f>
        <v>Montreal 16oz dome lids</v>
      </c>
      <c r="D77" s="12" t="n">
        <f aca="false">ITEM_MASTER_CLEAN!F77</f>
        <v>19.15</v>
      </c>
      <c r="E77" s="5" t="n">
        <f aca="false">ITEM_MASTER_CLEAN!G77</f>
        <v>1</v>
      </c>
      <c r="F77" s="5" t="n">
        <f aca="false">DEMAND_MODEL!K77*SafetyDays</f>
        <v>1.71428571428571</v>
      </c>
      <c r="G77" s="5" t="n">
        <f aca="false">DEMAND_MODEL!L77*SafetyDays</f>
        <v>1.28571428571429</v>
      </c>
      <c r="H77" s="5" t="n">
        <f aca="false">ITEM_MASTER_CLEAN!H77</f>
        <v>0</v>
      </c>
      <c r="I77" s="5" t="n">
        <f aca="false">ITEM_MASTER_CLEAN!I77</f>
        <v>7</v>
      </c>
      <c r="J77" s="5" t="str">
        <f aca="false">IF(H77&lt;F77,"YES","")</f>
        <v>YES</v>
      </c>
      <c r="K77" s="5" t="str">
        <f aca="false">IF(I77&lt;G77,"YES","")</f>
        <v/>
      </c>
      <c r="L77" s="5" t="n">
        <f aca="false">IF(J77="YES",MAX(CEILING(F77-H77,E77),0),0)</f>
        <v>2</v>
      </c>
      <c r="M77" s="5" t="n">
        <f aca="false">IF(K77="YES",MAX(CEILING(G77-I77,E77),0),0)</f>
        <v>0</v>
      </c>
      <c r="N77" s="12" t="n">
        <f aca="false">L77*D77</f>
        <v>38.3</v>
      </c>
      <c r="O77" s="12" t="n">
        <f aca="false">M77*D77</f>
        <v>0</v>
      </c>
      <c r="P77" s="12" t="n">
        <f aca="false">P76+N77+O77</f>
        <v>24445.93</v>
      </c>
      <c r="Q77" s="5" t="str">
        <f aca="false">IF(P77&lt;=CashCap,"YES","OVER CAP")</f>
        <v>OVER CAP</v>
      </c>
      <c r="R77" s="5" t="str">
        <f aca="false">IF(LowCashMode="OFF","Normal Mode",IF(AND(OR(J77="YES",K77="YES"),Q77="YES"),"BUY NOW",IF(OR(J77="YES",K77="YES"),"DEFERRED","—")))</f>
        <v>Normal Mode</v>
      </c>
    </row>
    <row r="78" customFormat="false" ht="15" hidden="false" customHeight="false" outlineLevel="0" collapsed="false">
      <c r="A78" s="5" t="n">
        <f aca="false">ITEM_MASTER_CLEAN!A78</f>
        <v>77</v>
      </c>
      <c r="B78" s="5" t="n">
        <f aca="false">ITEM_MASTER_CLEAN!B78</f>
        <v>63815</v>
      </c>
      <c r="C78" s="5" t="str">
        <f aca="false">ITEM_MASTER_CLEAN!C78</f>
        <v>STRAW 10" PAP  BLK JUMBO 8MM WRP 2M</v>
      </c>
      <c r="D78" s="12" t="n">
        <f aca="false">ITEM_MASTER_CLEAN!F78</f>
        <v>27.44</v>
      </c>
      <c r="E78" s="5" t="n">
        <f aca="false">ITEM_MASTER_CLEAN!G78</f>
        <v>1</v>
      </c>
      <c r="F78" s="5" t="n">
        <f aca="false">DEMAND_MODEL!K78*SafetyDays</f>
        <v>4.28571428571429</v>
      </c>
      <c r="G78" s="5" t="n">
        <f aca="false">DEMAND_MODEL!L78*SafetyDays</f>
        <v>0.857142857142857</v>
      </c>
      <c r="H78" s="5" t="n">
        <f aca="false">ITEM_MASTER_CLEAN!H78</f>
        <v>4</v>
      </c>
      <c r="I78" s="5" t="n">
        <f aca="false">ITEM_MASTER_CLEAN!I78</f>
        <v>5</v>
      </c>
      <c r="J78" s="5" t="str">
        <f aca="false">IF(H78&lt;F78,"YES","")</f>
        <v>YES</v>
      </c>
      <c r="K78" s="5" t="str">
        <f aca="false">IF(I78&lt;G78,"YES","")</f>
        <v/>
      </c>
      <c r="L78" s="5" t="n">
        <f aca="false">IF(J78="YES",MAX(CEILING(F78-H78,E78),0),0)</f>
        <v>1</v>
      </c>
      <c r="M78" s="5" t="n">
        <f aca="false">IF(K78="YES",MAX(CEILING(G78-I78,E78),0),0)</f>
        <v>0</v>
      </c>
      <c r="N78" s="12" t="n">
        <f aca="false">L78*D78</f>
        <v>27.44</v>
      </c>
      <c r="O78" s="12" t="n">
        <f aca="false">M78*D78</f>
        <v>0</v>
      </c>
      <c r="P78" s="12" t="n">
        <f aca="false">P77+N78+O78</f>
        <v>24473.37</v>
      </c>
      <c r="Q78" s="5" t="str">
        <f aca="false">IF(P78&lt;=CashCap,"YES","OVER CAP")</f>
        <v>OVER CAP</v>
      </c>
      <c r="R78" s="5" t="str">
        <f aca="false">IF(LowCashMode="OFF","Normal Mode",IF(AND(OR(J78="YES",K78="YES"),Q78="YES"),"BUY NOW",IF(OR(J78="YES",K78="YES"),"DEFERRED","—")))</f>
        <v>Normal Mode</v>
      </c>
    </row>
    <row r="79" customFormat="false" ht="15" hidden="false" customHeight="false" outlineLevel="0" collapsed="false">
      <c r="A79" s="5" t="n">
        <f aca="false">ITEM_MASTER_CLEAN!A79</f>
        <v>78</v>
      </c>
      <c r="B79" s="5" t="n">
        <f aca="false">ITEM_MASTER_CLEAN!B79</f>
        <v>63816</v>
      </c>
      <c r="C79" s="5" t="str">
        <f aca="false">ITEM_MASTER_CLEAN!C79</f>
        <v>STRAW 7.75"PAPER S/J 8MM BLK WRP 2M</v>
      </c>
      <c r="D79" s="12" t="n">
        <f aca="false">ITEM_MASTER_CLEAN!F79</f>
        <v>26.22</v>
      </c>
      <c r="E79" s="5" t="n">
        <f aca="false">ITEM_MASTER_CLEAN!G79</f>
        <v>1</v>
      </c>
      <c r="F79" s="5" t="n">
        <f aca="false">DEMAND_MODEL!K79*SafetyDays</f>
        <v>3.85714285714286</v>
      </c>
      <c r="G79" s="5" t="n">
        <f aca="false">DEMAND_MODEL!L79*SafetyDays</f>
        <v>2.14285714285714</v>
      </c>
      <c r="H79" s="5" t="n">
        <f aca="false">ITEM_MASTER_CLEAN!H79</f>
        <v>30</v>
      </c>
      <c r="I79" s="5" t="n">
        <f aca="false">ITEM_MASTER_CLEAN!I79</f>
        <v>1</v>
      </c>
      <c r="J79" s="5" t="str">
        <f aca="false">IF(H79&lt;F79,"YES","")</f>
        <v/>
      </c>
      <c r="K79" s="5" t="str">
        <f aca="false">IF(I79&lt;G79,"YES","")</f>
        <v>YES</v>
      </c>
      <c r="L79" s="5" t="n">
        <f aca="false">IF(J79="YES",MAX(CEILING(F79-H79,E79),0),0)</f>
        <v>0</v>
      </c>
      <c r="M79" s="5" t="n">
        <f aca="false">IF(K79="YES",MAX(CEILING(G79-I79,E79),0),0)</f>
        <v>2</v>
      </c>
      <c r="N79" s="12" t="n">
        <f aca="false">L79*D79</f>
        <v>0</v>
      </c>
      <c r="O79" s="12" t="n">
        <f aca="false">M79*D79</f>
        <v>52.44</v>
      </c>
      <c r="P79" s="12" t="n">
        <f aca="false">P78+N79+O79</f>
        <v>24525.81</v>
      </c>
      <c r="Q79" s="5" t="str">
        <f aca="false">IF(P79&lt;=CashCap,"YES","OVER CAP")</f>
        <v>OVER CAP</v>
      </c>
      <c r="R79" s="5" t="str">
        <f aca="false">IF(LowCashMode="OFF","Normal Mode",IF(AND(OR(J79="YES",K79="YES"),Q79="YES"),"BUY NOW",IF(OR(J79="YES",K79="YES"),"DEFERRED","—")))</f>
        <v>Normal Mode</v>
      </c>
    </row>
    <row r="80" customFormat="false" ht="15" hidden="false" customHeight="false" outlineLevel="0" collapsed="false">
      <c r="A80" s="5" t="n">
        <f aca="false">ITEM_MASTER_CLEAN!A80</f>
        <v>79</v>
      </c>
      <c r="B80" s="5" t="n">
        <f aca="false">ITEM_MASTER_CLEAN!B80</f>
        <v>61558</v>
      </c>
      <c r="C80" s="5" t="str">
        <f aca="false">ITEM_MASTER_CLEAN!C80</f>
        <v>STRAW 8.5" BBL/TEA 12MM WH/PAP 2M</v>
      </c>
      <c r="D80" s="12" t="n">
        <f aca="false">ITEM_MASTER_CLEAN!F80</f>
        <v>19.18</v>
      </c>
      <c r="E80" s="5" t="n">
        <f aca="false">ITEM_MASTER_CLEAN!G80</f>
        <v>1</v>
      </c>
      <c r="F80" s="5" t="n">
        <f aca="false">DEMAND_MODEL!K80*SafetyDays</f>
        <v>3.85714285714286</v>
      </c>
      <c r="G80" s="5" t="n">
        <f aca="false">DEMAND_MODEL!L80*SafetyDays</f>
        <v>2.57142857142857</v>
      </c>
      <c r="H80" s="5" t="n">
        <f aca="false">ITEM_MASTER_CLEAN!H80</f>
        <v>38</v>
      </c>
      <c r="I80" s="5" t="n">
        <f aca="false">ITEM_MASTER_CLEAN!I80</f>
        <v>27</v>
      </c>
      <c r="J80" s="5" t="str">
        <f aca="false">IF(H80&lt;F80,"YES","")</f>
        <v/>
      </c>
      <c r="K80" s="5" t="str">
        <f aca="false">IF(I80&lt;G80,"YES","")</f>
        <v/>
      </c>
      <c r="L80" s="5" t="n">
        <f aca="false">IF(J80="YES",MAX(CEILING(F80-H80,E80),0),0)</f>
        <v>0</v>
      </c>
      <c r="M80" s="5" t="n">
        <f aca="false">IF(K80="YES",MAX(CEILING(G80-I80,E80),0),0)</f>
        <v>0</v>
      </c>
      <c r="N80" s="12" t="n">
        <f aca="false">L80*D80</f>
        <v>0</v>
      </c>
      <c r="O80" s="12" t="n">
        <f aca="false">M80*D80</f>
        <v>0</v>
      </c>
      <c r="P80" s="12" t="n">
        <f aca="false">P79+N80+O80</f>
        <v>24525.81</v>
      </c>
      <c r="Q80" s="5" t="str">
        <f aca="false">IF(P80&lt;=CashCap,"YES","OVER CAP")</f>
        <v>OVER CAP</v>
      </c>
      <c r="R80" s="5" t="str">
        <f aca="false">IF(LowCashMode="OFF","Normal Mode",IF(AND(OR(J80="YES",K80="YES"),Q80="YES"),"BUY NOW",IF(OR(J80="YES",K80="YES"),"DEFERRED","—")))</f>
        <v>Normal Mode</v>
      </c>
    </row>
    <row r="81" customFormat="false" ht="15" hidden="false" customHeight="false" outlineLevel="0" collapsed="false">
      <c r="A81" s="5" t="n">
        <f aca="false">ITEM_MASTER_CLEAN!A81</f>
        <v>80</v>
      </c>
      <c r="B81" s="5" t="n">
        <f aca="false">ITEM_MASTER_CLEAN!B81</f>
        <v>23511</v>
      </c>
      <c r="C81" s="5" t="str">
        <f aca="false">ITEM_MASTER_CLEAN!C81</f>
        <v>Nouv CRM GLC BISC MONSTRE 11.4L</v>
      </c>
      <c r="D81" s="12" t="n">
        <f aca="false">ITEM_MASTER_CLEAN!F81</f>
        <v>36.97</v>
      </c>
      <c r="E81" s="5" t="n">
        <f aca="false">ITEM_MASTER_CLEAN!G81</f>
        <v>1</v>
      </c>
      <c r="F81" s="5" t="n">
        <f aca="false">DEMAND_MODEL!K81*SafetyDays</f>
        <v>2.57142857142857</v>
      </c>
      <c r="G81" s="5" t="n">
        <f aca="false">DEMAND_MODEL!L81*SafetyDays</f>
        <v>1.71428571428571</v>
      </c>
      <c r="H81" s="5" t="n">
        <f aca="false">ITEM_MASTER_CLEAN!H81</f>
        <v>3</v>
      </c>
      <c r="I81" s="5" t="n">
        <f aca="false">ITEM_MASTER_CLEAN!I81</f>
        <v>2</v>
      </c>
      <c r="J81" s="5" t="str">
        <f aca="false">IF(H81&lt;F81,"YES","")</f>
        <v/>
      </c>
      <c r="K81" s="5" t="str">
        <f aca="false">IF(I81&lt;G81,"YES","")</f>
        <v/>
      </c>
      <c r="L81" s="5" t="n">
        <f aca="false">IF(J81="YES",MAX(CEILING(F81-H81,E81),0),0)</f>
        <v>0</v>
      </c>
      <c r="M81" s="5" t="n">
        <f aca="false">IF(K81="YES",MAX(CEILING(G81-I81,E81),0),0)</f>
        <v>0</v>
      </c>
      <c r="N81" s="12" t="n">
        <f aca="false">L81*D81</f>
        <v>0</v>
      </c>
      <c r="O81" s="12" t="n">
        <f aca="false">M81*D81</f>
        <v>0</v>
      </c>
      <c r="P81" s="12" t="n">
        <f aca="false">P80+N81+O81</f>
        <v>24525.81</v>
      </c>
      <c r="Q81" s="5" t="str">
        <f aca="false">IF(P81&lt;=CashCap,"YES","OVER CAP")</f>
        <v>OVER CAP</v>
      </c>
      <c r="R81" s="5" t="str">
        <f aca="false">IF(LowCashMode="OFF","Normal Mode",IF(AND(OR(J81="YES",K81="YES"),Q81="YES"),"BUY NOW",IF(OR(J81="YES",K81="YES"),"DEFERRED","—")))</f>
        <v>Normal Mode</v>
      </c>
    </row>
    <row r="82" customFormat="false" ht="15" hidden="false" customHeight="false" outlineLevel="0" collapsed="false">
      <c r="A82" s="5" t="n">
        <f aca="false">ITEM_MASTER_CLEAN!A82</f>
        <v>81</v>
      </c>
      <c r="B82" s="5" t="n">
        <f aca="false">ITEM_MASTER_CLEAN!B82</f>
        <v>15422</v>
      </c>
      <c r="C82" s="5" t="str">
        <f aca="false">ITEM_MASTER_CLEAN!C82</f>
        <v>ICE CREAM CHOCOLATE 11.4L</v>
      </c>
      <c r="D82" s="12" t="n">
        <f aca="false">ITEM_MASTER_CLEAN!F82</f>
        <v>34.08</v>
      </c>
      <c r="E82" s="5" t="n">
        <f aca="false">ITEM_MASTER_CLEAN!G82</f>
        <v>1</v>
      </c>
      <c r="F82" s="5" t="n">
        <f aca="false">DEMAND_MODEL!K82*SafetyDays</f>
        <v>1.71428571428571</v>
      </c>
      <c r="G82" s="5" t="n">
        <f aca="false">DEMAND_MODEL!L82*SafetyDays</f>
        <v>1.28571428571429</v>
      </c>
      <c r="H82" s="5" t="n">
        <f aca="false">ITEM_MASTER_CLEAN!H82</f>
        <v>6</v>
      </c>
      <c r="I82" s="5" t="n">
        <f aca="false">ITEM_MASTER_CLEAN!I82</f>
        <v>4</v>
      </c>
      <c r="J82" s="5" t="str">
        <f aca="false">IF(H82&lt;F82,"YES","")</f>
        <v/>
      </c>
      <c r="K82" s="5" t="str">
        <f aca="false">IF(I82&lt;G82,"YES","")</f>
        <v/>
      </c>
      <c r="L82" s="5" t="n">
        <f aca="false">IF(J82="YES",MAX(CEILING(F82-H82,E82),0),0)</f>
        <v>0</v>
      </c>
      <c r="M82" s="5" t="n">
        <f aca="false">IF(K82="YES",MAX(CEILING(G82-I82,E82),0),0)</f>
        <v>0</v>
      </c>
      <c r="N82" s="12" t="n">
        <f aca="false">L82*D82</f>
        <v>0</v>
      </c>
      <c r="O82" s="12" t="n">
        <f aca="false">M82*D82</f>
        <v>0</v>
      </c>
      <c r="P82" s="12" t="n">
        <f aca="false">P81+N82+O82</f>
        <v>24525.81</v>
      </c>
      <c r="Q82" s="5" t="str">
        <f aca="false">IF(P82&lt;=CashCap,"YES","OVER CAP")</f>
        <v>OVER CAP</v>
      </c>
      <c r="R82" s="5" t="str">
        <f aca="false">IF(LowCashMode="OFF","Normal Mode",IF(AND(OR(J82="YES",K82="YES"),Q82="YES"),"BUY NOW",IF(OR(J82="YES",K82="YES"),"DEFERRED","—")))</f>
        <v>Normal Mode</v>
      </c>
    </row>
    <row r="83" customFormat="false" ht="15" hidden="false" customHeight="false" outlineLevel="0" collapsed="false">
      <c r="A83" s="5" t="n">
        <f aca="false">ITEM_MASTER_CLEAN!A83</f>
        <v>82</v>
      </c>
      <c r="B83" s="5" t="n">
        <f aca="false">ITEM_MASTER_CLEAN!B83</f>
        <v>36840</v>
      </c>
      <c r="C83" s="5" t="str">
        <f aca="false">ITEM_MASTER_CLEAN!C83</f>
        <v>ICE CREAM COTTON CANDY 11449 11.4L</v>
      </c>
      <c r="D83" s="12" t="n">
        <f aca="false">ITEM_MASTER_CLEAN!F83</f>
        <v>36.7</v>
      </c>
      <c r="E83" s="5" t="n">
        <f aca="false">ITEM_MASTER_CLEAN!G83</f>
        <v>1</v>
      </c>
      <c r="F83" s="5" t="n">
        <f aca="false">DEMAND_MODEL!K83*SafetyDays</f>
        <v>0.857142857142857</v>
      </c>
      <c r="G83" s="5" t="n">
        <f aca="false">DEMAND_MODEL!L83*SafetyDays</f>
        <v>0.857142857142857</v>
      </c>
      <c r="H83" s="5" t="n">
        <f aca="false">ITEM_MASTER_CLEAN!H83</f>
        <v>5</v>
      </c>
      <c r="I83" s="5" t="n">
        <f aca="false">ITEM_MASTER_CLEAN!I83</f>
        <v>0</v>
      </c>
      <c r="J83" s="5" t="str">
        <f aca="false">IF(H83&lt;F83,"YES","")</f>
        <v/>
      </c>
      <c r="K83" s="5" t="str">
        <f aca="false">IF(I83&lt;G83,"YES","")</f>
        <v>YES</v>
      </c>
      <c r="L83" s="5" t="n">
        <f aca="false">IF(J83="YES",MAX(CEILING(F83-H83,E83),0),0)</f>
        <v>0</v>
      </c>
      <c r="M83" s="5" t="n">
        <f aca="false">IF(K83="YES",MAX(CEILING(G83-I83,E83),0),0)</f>
        <v>1</v>
      </c>
      <c r="N83" s="12" t="n">
        <f aca="false">L83*D83</f>
        <v>0</v>
      </c>
      <c r="O83" s="12" t="n">
        <f aca="false">M83*D83</f>
        <v>36.7</v>
      </c>
      <c r="P83" s="12" t="n">
        <f aca="false">P82+N83+O83</f>
        <v>24562.51</v>
      </c>
      <c r="Q83" s="5" t="str">
        <f aca="false">IF(P83&lt;=CashCap,"YES","OVER CAP")</f>
        <v>OVER CAP</v>
      </c>
      <c r="R83" s="5" t="str">
        <f aca="false">IF(LowCashMode="OFF","Normal Mode",IF(AND(OR(J83="YES",K83="YES"),Q83="YES"),"BUY NOW",IF(OR(J83="YES",K83="YES"),"DEFERRED","—")))</f>
        <v>Normal Mode</v>
      </c>
    </row>
    <row r="84" customFormat="false" ht="15" hidden="false" customHeight="false" outlineLevel="0" collapsed="false">
      <c r="A84" s="5" t="n">
        <f aca="false">ITEM_MASTER_CLEAN!A84</f>
        <v>83</v>
      </c>
      <c r="B84" s="5" t="n">
        <f aca="false">ITEM_MASTER_CLEAN!B84</f>
        <v>36827</v>
      </c>
      <c r="C84" s="5" t="str">
        <f aca="false">ITEM_MASTER_CLEAN!C84</f>
        <v>ICE CREAM COOKIE/CRM 11438 11.4L</v>
      </c>
      <c r="D84" s="12" t="n">
        <f aca="false">ITEM_MASTER_CLEAN!F84</f>
        <v>39.91</v>
      </c>
      <c r="E84" s="5" t="n">
        <f aca="false">ITEM_MASTER_CLEAN!G84</f>
        <v>1</v>
      </c>
      <c r="F84" s="5" t="n">
        <f aca="false">DEMAND_MODEL!K84*SafetyDays</f>
        <v>2.57142857142857</v>
      </c>
      <c r="G84" s="5" t="n">
        <f aca="false">DEMAND_MODEL!L84*SafetyDays</f>
        <v>0.857142857142857</v>
      </c>
      <c r="H84" s="5" t="n">
        <f aca="false">ITEM_MASTER_CLEAN!H84</f>
        <v>3</v>
      </c>
      <c r="I84" s="5" t="n">
        <f aca="false">ITEM_MASTER_CLEAN!I84</f>
        <v>1</v>
      </c>
      <c r="J84" s="5" t="str">
        <f aca="false">IF(H84&lt;F84,"YES","")</f>
        <v/>
      </c>
      <c r="K84" s="5" t="str">
        <f aca="false">IF(I84&lt;G84,"YES","")</f>
        <v/>
      </c>
      <c r="L84" s="5" t="n">
        <f aca="false">IF(J84="YES",MAX(CEILING(F84-H84,E84),0),0)</f>
        <v>0</v>
      </c>
      <c r="M84" s="5" t="n">
        <f aca="false">IF(K84="YES",MAX(CEILING(G84-I84,E84),0),0)</f>
        <v>0</v>
      </c>
      <c r="N84" s="12" t="n">
        <f aca="false">L84*D84</f>
        <v>0</v>
      </c>
      <c r="O84" s="12" t="n">
        <f aca="false">M84*D84</f>
        <v>0</v>
      </c>
      <c r="P84" s="12" t="n">
        <f aca="false">P83+N84+O84</f>
        <v>24562.51</v>
      </c>
      <c r="Q84" s="5" t="str">
        <f aca="false">IF(P84&lt;=CashCap,"YES","OVER CAP")</f>
        <v>OVER CAP</v>
      </c>
      <c r="R84" s="5" t="str">
        <f aca="false">IF(LowCashMode="OFF","Normal Mode",IF(AND(OR(J84="YES",K84="YES"),Q84="YES"),"BUY NOW",IF(OR(J84="YES",K84="YES"),"DEFERRED","—")))</f>
        <v>Normal Mode</v>
      </c>
    </row>
    <row r="85" customFormat="false" ht="15" hidden="false" customHeight="false" outlineLevel="0" collapsed="false">
      <c r="A85" s="5" t="n">
        <f aca="false">ITEM_MASTER_CLEAN!A85</f>
        <v>84</v>
      </c>
      <c r="B85" s="5" t="n">
        <f aca="false">ITEM_MASTER_CLEAN!B85</f>
        <v>36830</v>
      </c>
      <c r="C85" s="5" t="str">
        <f aca="false">ITEM_MASTER_CLEAN!C85</f>
        <v>ICE CREAM CHOC BROWNIE 11446 11.4L</v>
      </c>
      <c r="D85" s="12" t="n">
        <f aca="false">ITEM_MASTER_CLEAN!F85</f>
        <v>32.71</v>
      </c>
      <c r="E85" s="5" t="n">
        <f aca="false">ITEM_MASTER_CLEAN!G85</f>
        <v>1</v>
      </c>
      <c r="F85" s="5" t="n">
        <f aca="false">DEMAND_MODEL!K85*SafetyDays</f>
        <v>1.28571428571429</v>
      </c>
      <c r="G85" s="5" t="n">
        <f aca="false">DEMAND_MODEL!L85*SafetyDays</f>
        <v>1.28571428571429</v>
      </c>
      <c r="H85" s="5" t="n">
        <f aca="false">ITEM_MASTER_CLEAN!H85</f>
        <v>13</v>
      </c>
      <c r="I85" s="5" t="n">
        <f aca="false">ITEM_MASTER_CLEAN!I85</f>
        <v>14</v>
      </c>
      <c r="J85" s="5" t="str">
        <f aca="false">IF(H85&lt;F85,"YES","")</f>
        <v/>
      </c>
      <c r="K85" s="5" t="str">
        <f aca="false">IF(I85&lt;G85,"YES","")</f>
        <v/>
      </c>
      <c r="L85" s="5" t="n">
        <f aca="false">IF(J85="YES",MAX(CEILING(F85-H85,E85),0),0)</f>
        <v>0</v>
      </c>
      <c r="M85" s="5" t="n">
        <f aca="false">IF(K85="YES",MAX(CEILING(G85-I85,E85),0),0)</f>
        <v>0</v>
      </c>
      <c r="N85" s="12" t="n">
        <f aca="false">L85*D85</f>
        <v>0</v>
      </c>
      <c r="O85" s="12" t="n">
        <f aca="false">M85*D85</f>
        <v>0</v>
      </c>
      <c r="P85" s="12" t="n">
        <f aca="false">P84+N85+O85</f>
        <v>24562.51</v>
      </c>
      <c r="Q85" s="5" t="str">
        <f aca="false">IF(P85&lt;=CashCap,"YES","OVER CAP")</f>
        <v>OVER CAP</v>
      </c>
      <c r="R85" s="5" t="str">
        <f aca="false">IF(LowCashMode="OFF","Normal Mode",IF(AND(OR(J85="YES",K85="YES"),Q85="YES"),"BUY NOW",IF(OR(J85="YES",K85="YES"),"DEFERRED","—")))</f>
        <v>Normal Mode</v>
      </c>
    </row>
    <row r="86" customFormat="false" ht="15" hidden="false" customHeight="false" outlineLevel="0" collapsed="false">
      <c r="A86" s="5" t="n">
        <f aca="false">ITEM_MASTER_CLEAN!A86</f>
        <v>85</v>
      </c>
      <c r="B86" s="5" t="n">
        <f aca="false">ITEM_MASTER_CLEAN!B86</f>
        <v>36828</v>
      </c>
      <c r="C86" s="5" t="str">
        <f aca="false">ITEM_MASTER_CLEAN!C86</f>
        <v>ICE CREAM PRALN/CRM 11440 11.4L</v>
      </c>
      <c r="D86" s="12" t="n">
        <f aca="false">ITEM_MASTER_CLEAN!F86</f>
        <v>35.04</v>
      </c>
      <c r="E86" s="5" t="n">
        <f aca="false">ITEM_MASTER_CLEAN!G86</f>
        <v>1</v>
      </c>
      <c r="F86" s="5" t="n">
        <f aca="false">DEMAND_MODEL!K86*SafetyDays</f>
        <v>2.14285714285714</v>
      </c>
      <c r="G86" s="5" t="n">
        <f aca="false">DEMAND_MODEL!L86*SafetyDays</f>
        <v>1.28571428571429</v>
      </c>
      <c r="H86" s="5" t="n">
        <f aca="false">ITEM_MASTER_CLEAN!H86</f>
        <v>16</v>
      </c>
      <c r="I86" s="5" t="n">
        <f aca="false">ITEM_MASTER_CLEAN!I86</f>
        <v>0</v>
      </c>
      <c r="J86" s="5" t="str">
        <f aca="false">IF(H86&lt;F86,"YES","")</f>
        <v/>
      </c>
      <c r="K86" s="5" t="str">
        <f aca="false">IF(I86&lt;G86,"YES","")</f>
        <v>YES</v>
      </c>
      <c r="L86" s="5" t="n">
        <f aca="false">IF(J86="YES",MAX(CEILING(F86-H86,E86),0),0)</f>
        <v>0</v>
      </c>
      <c r="M86" s="5" t="n">
        <f aca="false">IF(K86="YES",MAX(CEILING(G86-I86,E86),0),0)</f>
        <v>2</v>
      </c>
      <c r="N86" s="12" t="n">
        <f aca="false">L86*D86</f>
        <v>0</v>
      </c>
      <c r="O86" s="12" t="n">
        <f aca="false">M86*D86</f>
        <v>70.08</v>
      </c>
      <c r="P86" s="12" t="n">
        <f aca="false">P85+N86+O86</f>
        <v>24632.59</v>
      </c>
      <c r="Q86" s="5" t="str">
        <f aca="false">IF(P86&lt;=CashCap,"YES","OVER CAP")</f>
        <v>OVER CAP</v>
      </c>
      <c r="R86" s="5" t="str">
        <f aca="false">IF(LowCashMode="OFF","Normal Mode",IF(AND(OR(J86="YES",K86="YES"),Q86="YES"),"BUY NOW",IF(OR(J86="YES",K86="YES"),"DEFERRED","—")))</f>
        <v>Normal Mode</v>
      </c>
    </row>
    <row r="87" customFormat="false" ht="15" hidden="false" customHeight="false" outlineLevel="0" collapsed="false">
      <c r="A87" s="5" t="n">
        <f aca="false">ITEM_MASTER_CLEAN!A87</f>
        <v>86</v>
      </c>
      <c r="B87" s="5" t="n">
        <f aca="false">ITEM_MASTER_CLEAN!B87</f>
        <v>36837</v>
      </c>
      <c r="C87" s="5" t="str">
        <f aca="false">ITEM_MASTER_CLEAN!C87</f>
        <v>ICE CREAM RIBAMBL 3-COL 11429 11.4L</v>
      </c>
      <c r="D87" s="12" t="n">
        <f aca="false">ITEM_MASTER_CLEAN!F87</f>
        <v>34.5</v>
      </c>
      <c r="E87" s="5" t="n">
        <f aca="false">ITEM_MASTER_CLEAN!G87</f>
        <v>1</v>
      </c>
      <c r="F87" s="5" t="n">
        <f aca="false">DEMAND_MODEL!K87*SafetyDays</f>
        <v>0.857142857142857</v>
      </c>
      <c r="G87" s="5" t="n">
        <f aca="false">DEMAND_MODEL!L87*SafetyDays</f>
        <v>0.857142857142857</v>
      </c>
      <c r="H87" s="5" t="n">
        <f aca="false">ITEM_MASTER_CLEAN!H87</f>
        <v>3</v>
      </c>
      <c r="I87" s="5" t="n">
        <f aca="false">ITEM_MASTER_CLEAN!I87</f>
        <v>2</v>
      </c>
      <c r="J87" s="5" t="str">
        <f aca="false">IF(H87&lt;F87,"YES","")</f>
        <v/>
      </c>
      <c r="K87" s="5" t="str">
        <f aca="false">IF(I87&lt;G87,"YES","")</f>
        <v/>
      </c>
      <c r="L87" s="5" t="n">
        <f aca="false">IF(J87="YES",MAX(CEILING(F87-H87,E87),0),0)</f>
        <v>0</v>
      </c>
      <c r="M87" s="5" t="n">
        <f aca="false">IF(K87="YES",MAX(CEILING(G87-I87,E87),0),0)</f>
        <v>0</v>
      </c>
      <c r="N87" s="12" t="n">
        <f aca="false">L87*D87</f>
        <v>0</v>
      </c>
      <c r="O87" s="12" t="n">
        <f aca="false">M87*D87</f>
        <v>0</v>
      </c>
      <c r="P87" s="12" t="n">
        <f aca="false">P86+N87+O87</f>
        <v>24632.59</v>
      </c>
      <c r="Q87" s="5" t="str">
        <f aca="false">IF(P87&lt;=CashCap,"YES","OVER CAP")</f>
        <v>OVER CAP</v>
      </c>
      <c r="R87" s="5" t="str">
        <f aca="false">IF(LowCashMode="OFF","Normal Mode",IF(AND(OR(J87="YES",K87="YES"),Q87="YES"),"BUY NOW",IF(OR(J87="YES",K87="YES"),"DEFERRED","—")))</f>
        <v>Normal Mode</v>
      </c>
    </row>
    <row r="88" customFormat="false" ht="15" hidden="false" customHeight="false" outlineLevel="0" collapsed="false">
      <c r="A88" s="5" t="n">
        <f aca="false">ITEM_MASTER_CLEAN!A88</f>
        <v>87</v>
      </c>
      <c r="B88" s="5" t="n">
        <f aca="false">ITEM_MASTER_CLEAN!B88</f>
        <v>36835</v>
      </c>
      <c r="C88" s="5" t="str">
        <f aca="false">ITEM_MASTER_CLEAN!C88</f>
        <v>ICE CREAM MAPLE TAFFY 11426 11.4L</v>
      </c>
      <c r="D88" s="12" t="n">
        <f aca="false">ITEM_MASTER_CLEAN!F88</f>
        <v>38.72</v>
      </c>
      <c r="E88" s="5" t="n">
        <f aca="false">ITEM_MASTER_CLEAN!G88</f>
        <v>1</v>
      </c>
      <c r="F88" s="5" t="n">
        <f aca="false">DEMAND_MODEL!K88*SafetyDays</f>
        <v>1.71428571428571</v>
      </c>
      <c r="G88" s="5" t="n">
        <f aca="false">DEMAND_MODEL!L88*SafetyDays</f>
        <v>0.428571428571429</v>
      </c>
      <c r="H88" s="5" t="n">
        <f aca="false">ITEM_MASTER_CLEAN!H88</f>
        <v>0</v>
      </c>
      <c r="I88" s="5" t="n">
        <f aca="false">ITEM_MASTER_CLEAN!I88</f>
        <v>1</v>
      </c>
      <c r="J88" s="5" t="str">
        <f aca="false">IF(H88&lt;F88,"YES","")</f>
        <v>YES</v>
      </c>
      <c r="K88" s="5" t="str">
        <f aca="false">IF(I88&lt;G88,"YES","")</f>
        <v/>
      </c>
      <c r="L88" s="5" t="n">
        <f aca="false">IF(J88="YES",MAX(CEILING(F88-H88,E88),0),0)</f>
        <v>2</v>
      </c>
      <c r="M88" s="5" t="n">
        <f aca="false">IF(K88="YES",MAX(CEILING(G88-I88,E88),0),0)</f>
        <v>0</v>
      </c>
      <c r="N88" s="12" t="n">
        <f aca="false">L88*D88</f>
        <v>77.44</v>
      </c>
      <c r="O88" s="12" t="n">
        <f aca="false">M88*D88</f>
        <v>0</v>
      </c>
      <c r="P88" s="12" t="n">
        <f aca="false">P87+N88+O88</f>
        <v>24710.03</v>
      </c>
      <c r="Q88" s="5" t="str">
        <f aca="false">IF(P88&lt;=CashCap,"YES","OVER CAP")</f>
        <v>OVER CAP</v>
      </c>
      <c r="R88" s="5" t="str">
        <f aca="false">IF(LowCashMode="OFF","Normal Mode",IF(AND(OR(J88="YES",K88="YES"),Q88="YES"),"BUY NOW",IF(OR(J88="YES",K88="YES"),"DEFERRED","—")))</f>
        <v>Normal Mode</v>
      </c>
    </row>
    <row r="89" customFormat="false" ht="15" hidden="false" customHeight="false" outlineLevel="0" collapsed="false">
      <c r="A89" s="5" t="n">
        <f aca="false">ITEM_MASTER_CLEAN!A89</f>
        <v>88</v>
      </c>
      <c r="B89" s="5" t="n">
        <f aca="false">ITEM_MASTER_CLEAN!B89</f>
        <v>36831</v>
      </c>
      <c r="C89" s="5" t="str">
        <f aca="false">ITEM_MASTER_CLEAN!C89</f>
        <v>ICE CREAM VANILLA 11401 11.4L</v>
      </c>
      <c r="D89" s="12" t="n">
        <f aca="false">ITEM_MASTER_CLEAN!F89</f>
        <v>33.56</v>
      </c>
      <c r="E89" s="5" t="n">
        <f aca="false">ITEM_MASTER_CLEAN!G89</f>
        <v>1</v>
      </c>
      <c r="F89" s="5" t="n">
        <f aca="false">DEMAND_MODEL!K89*SafetyDays</f>
        <v>3.42857142857143</v>
      </c>
      <c r="G89" s="5" t="n">
        <f aca="false">DEMAND_MODEL!L89*SafetyDays</f>
        <v>1.71428571428571</v>
      </c>
      <c r="H89" s="5" t="n">
        <f aca="false">ITEM_MASTER_CLEAN!H89</f>
        <v>22</v>
      </c>
      <c r="I89" s="5" t="n">
        <f aca="false">ITEM_MASTER_CLEAN!I89</f>
        <v>1</v>
      </c>
      <c r="J89" s="5" t="str">
        <f aca="false">IF(H89&lt;F89,"YES","")</f>
        <v/>
      </c>
      <c r="K89" s="5" t="str">
        <f aca="false">IF(I89&lt;G89,"YES","")</f>
        <v>YES</v>
      </c>
      <c r="L89" s="5" t="n">
        <f aca="false">IF(J89="YES",MAX(CEILING(F89-H89,E89),0),0)</f>
        <v>0</v>
      </c>
      <c r="M89" s="5" t="n">
        <f aca="false">IF(K89="YES",MAX(CEILING(G89-I89,E89),0),0)</f>
        <v>1</v>
      </c>
      <c r="N89" s="12" t="n">
        <f aca="false">L89*D89</f>
        <v>0</v>
      </c>
      <c r="O89" s="12" t="n">
        <f aca="false">M89*D89</f>
        <v>33.56</v>
      </c>
      <c r="P89" s="12" t="n">
        <f aca="false">P88+N89+O89</f>
        <v>24743.59</v>
      </c>
      <c r="Q89" s="5" t="str">
        <f aca="false">IF(P89&lt;=CashCap,"YES","OVER CAP")</f>
        <v>OVER CAP</v>
      </c>
      <c r="R89" s="5" t="str">
        <f aca="false">IF(LowCashMode="OFF","Normal Mode",IF(AND(OR(J89="YES",K89="YES"),Q89="YES"),"BUY NOW",IF(OR(J89="YES",K89="YES"),"DEFERRED","—")))</f>
        <v>Normal Mode</v>
      </c>
    </row>
    <row r="90" customFormat="false" ht="15" hidden="false" customHeight="false" outlineLevel="0" collapsed="false">
      <c r="A90" s="5" t="n">
        <f aca="false">ITEM_MASTER_CLEAN!A90</f>
        <v>89</v>
      </c>
      <c r="B90" s="5" t="n">
        <f aca="false">ITEM_MASTER_CLEAN!B90</f>
        <v>15425</v>
      </c>
      <c r="C90" s="5" t="str">
        <f aca="false">ITEM_MASTER_CLEAN!C90</f>
        <v>ICE CRM COOKIE DGH/CHOC FUDGE 11.4L</v>
      </c>
      <c r="D90" s="12" t="n">
        <f aca="false">ITEM_MASTER_CLEAN!F90</f>
        <v>36.95</v>
      </c>
      <c r="E90" s="5" t="n">
        <f aca="false">ITEM_MASTER_CLEAN!G90</f>
        <v>1</v>
      </c>
      <c r="F90" s="5" t="n">
        <f aca="false">DEMAND_MODEL!K90*SafetyDays</f>
        <v>2.14285714285714</v>
      </c>
      <c r="G90" s="5" t="n">
        <f aca="false">DEMAND_MODEL!L90*SafetyDays</f>
        <v>0.428571428571429</v>
      </c>
      <c r="H90" s="5" t="n">
        <f aca="false">ITEM_MASTER_CLEAN!H90</f>
        <v>1</v>
      </c>
      <c r="I90" s="5" t="n">
        <f aca="false">ITEM_MASTER_CLEAN!I90</f>
        <v>0</v>
      </c>
      <c r="J90" s="5" t="str">
        <f aca="false">IF(H90&lt;F90,"YES","")</f>
        <v>YES</v>
      </c>
      <c r="K90" s="5" t="str">
        <f aca="false">IF(I90&lt;G90,"YES","")</f>
        <v>YES</v>
      </c>
      <c r="L90" s="5" t="n">
        <f aca="false">IF(J90="YES",MAX(CEILING(F90-H90,E90),0),0)</f>
        <v>2</v>
      </c>
      <c r="M90" s="5" t="n">
        <f aca="false">IF(K90="YES",MAX(CEILING(G90-I90,E90),0),0)</f>
        <v>1</v>
      </c>
      <c r="N90" s="12" t="n">
        <f aca="false">L90*D90</f>
        <v>73.9</v>
      </c>
      <c r="O90" s="12" t="n">
        <f aca="false">M90*D90</f>
        <v>36.95</v>
      </c>
      <c r="P90" s="12" t="n">
        <f aca="false">P89+N90+O90</f>
        <v>24854.44</v>
      </c>
      <c r="Q90" s="5" t="str">
        <f aca="false">IF(P90&lt;=CashCap,"YES","OVER CAP")</f>
        <v>OVER CAP</v>
      </c>
      <c r="R90" s="5" t="str">
        <f aca="false">IF(LowCashMode="OFF","Normal Mode",IF(AND(OR(J90="YES",K90="YES"),Q90="YES"),"BUY NOW",IF(OR(J90="YES",K90="YES"),"DEFERRED","—")))</f>
        <v>Normal Mode</v>
      </c>
    </row>
    <row r="91" customFormat="false" ht="15" hidden="false" customHeight="false" outlineLevel="0" collapsed="false">
      <c r="A91" s="5" t="n">
        <f aca="false">ITEM_MASTER_CLEAN!A91</f>
        <v>90</v>
      </c>
      <c r="B91" s="5" t="n">
        <f aca="false">ITEM_MASTER_CLEAN!B91</f>
        <v>15424</v>
      </c>
      <c r="C91" s="5" t="str">
        <f aca="false">ITEM_MASTER_CLEAN!C91</f>
        <v>ICE CREAM MINT CHOC CHIP  11.4L</v>
      </c>
      <c r="D91" s="12" t="n">
        <f aca="false">ITEM_MASTER_CLEAN!F91</f>
        <v>37.15</v>
      </c>
      <c r="E91" s="5" t="n">
        <f aca="false">ITEM_MASTER_CLEAN!G91</f>
        <v>1</v>
      </c>
      <c r="F91" s="5" t="n">
        <f aca="false">DEMAND_MODEL!K91*SafetyDays</f>
        <v>0.857142857142857</v>
      </c>
      <c r="G91" s="5" t="n">
        <f aca="false">DEMAND_MODEL!L91*SafetyDays</f>
        <v>1.71428571428571</v>
      </c>
      <c r="H91" s="5" t="n">
        <f aca="false">ITEM_MASTER_CLEAN!H91</f>
        <v>0</v>
      </c>
      <c r="I91" s="5" t="n">
        <f aca="false">ITEM_MASTER_CLEAN!I91</f>
        <v>1</v>
      </c>
      <c r="J91" s="5" t="str">
        <f aca="false">IF(H91&lt;F91,"YES","")</f>
        <v>YES</v>
      </c>
      <c r="K91" s="5" t="str">
        <f aca="false">IF(I91&lt;G91,"YES","")</f>
        <v>YES</v>
      </c>
      <c r="L91" s="5" t="n">
        <f aca="false">IF(J91="YES",MAX(CEILING(F91-H91,E91),0),0)</f>
        <v>1</v>
      </c>
      <c r="M91" s="5" t="n">
        <f aca="false">IF(K91="YES",MAX(CEILING(G91-I91,E91),0),0)</f>
        <v>1</v>
      </c>
      <c r="N91" s="12" t="n">
        <f aca="false">L91*D91</f>
        <v>37.15</v>
      </c>
      <c r="O91" s="12" t="n">
        <f aca="false">M91*D91</f>
        <v>37.15</v>
      </c>
      <c r="P91" s="12" t="n">
        <f aca="false">P90+N91+O91</f>
        <v>24928.74</v>
      </c>
      <c r="Q91" s="5" t="str">
        <f aca="false">IF(P91&lt;=CashCap,"YES","OVER CAP")</f>
        <v>OVER CAP</v>
      </c>
      <c r="R91" s="5" t="str">
        <f aca="false">IF(LowCashMode="OFF","Normal Mode",IF(AND(OR(J91="YES",K91="YES"),Q91="YES"),"BUY NOW",IF(OR(J91="YES",K91="YES"),"DEFERRED","—")))</f>
        <v>Normal Mode</v>
      </c>
    </row>
    <row r="92" customFormat="false" ht="15" hidden="false" customHeight="false" outlineLevel="0" collapsed="false">
      <c r="A92" s="5" t="n">
        <f aca="false">ITEM_MASTER_CLEAN!A92</f>
        <v>91</v>
      </c>
      <c r="B92" s="5" t="n">
        <f aca="false">ITEM_MASTER_CLEAN!B92</f>
        <v>36884</v>
      </c>
      <c r="C92" s="5" t="str">
        <f aca="false">ITEM_MASTER_CLEAN!C92</f>
        <v>ICE CRM CHOC/CHERRY/AMARETTO 11.4L</v>
      </c>
      <c r="D92" s="12" t="n">
        <f aca="false">ITEM_MASTER_CLEAN!F92</f>
        <v>39.6</v>
      </c>
      <c r="E92" s="5" t="n">
        <f aca="false">ITEM_MASTER_CLEAN!G92</f>
        <v>1</v>
      </c>
      <c r="F92" s="5" t="n">
        <f aca="false">DEMAND_MODEL!K92*SafetyDays</f>
        <v>1.28571428571429</v>
      </c>
      <c r="G92" s="5" t="n">
        <f aca="false">DEMAND_MODEL!L92*SafetyDays</f>
        <v>1.28571428571429</v>
      </c>
      <c r="H92" s="5" t="n">
        <f aca="false">ITEM_MASTER_CLEAN!H92</f>
        <v>1</v>
      </c>
      <c r="I92" s="5" t="n">
        <f aca="false">ITEM_MASTER_CLEAN!I92</f>
        <v>11</v>
      </c>
      <c r="J92" s="5" t="str">
        <f aca="false">IF(H92&lt;F92,"YES","")</f>
        <v>YES</v>
      </c>
      <c r="K92" s="5" t="str">
        <f aca="false">IF(I92&lt;G92,"YES","")</f>
        <v/>
      </c>
      <c r="L92" s="5" t="n">
        <f aca="false">IF(J92="YES",MAX(CEILING(F92-H92,E92),0),0)</f>
        <v>1</v>
      </c>
      <c r="M92" s="5" t="n">
        <f aca="false">IF(K92="YES",MAX(CEILING(G92-I92,E92),0),0)</f>
        <v>0</v>
      </c>
      <c r="N92" s="12" t="n">
        <f aca="false">L92*D92</f>
        <v>39.6</v>
      </c>
      <c r="O92" s="12" t="n">
        <f aca="false">M92*D92</f>
        <v>0</v>
      </c>
      <c r="P92" s="12" t="n">
        <f aca="false">P91+N92+O92</f>
        <v>24968.34</v>
      </c>
      <c r="Q92" s="5" t="str">
        <f aca="false">IF(P92&lt;=CashCap,"YES","OVER CAP")</f>
        <v>OVER CAP</v>
      </c>
      <c r="R92" s="5" t="str">
        <f aca="false">IF(LowCashMode="OFF","Normal Mode",IF(AND(OR(J92="YES",K92="YES"),Q92="YES"),"BUY NOW",IF(OR(J92="YES",K92="YES"),"DEFERRED","—")))</f>
        <v>Normal Mode</v>
      </c>
    </row>
    <row r="93" customFormat="false" ht="15" hidden="false" customHeight="false" outlineLevel="0" collapsed="false">
      <c r="A93" s="5" t="n">
        <f aca="false">ITEM_MASTER_CLEAN!A93</f>
        <v>92</v>
      </c>
      <c r="B93" s="5" t="n">
        <f aca="false">ITEM_MASTER_CLEAN!B93</f>
        <v>15426</v>
      </c>
      <c r="C93" s="5" t="str">
        <f aca="false">ITEM_MASTER_CLEAN!C93</f>
        <v>ICE CRM DBL STRAWBERRY 11407 11.4L</v>
      </c>
      <c r="D93" s="12" t="n">
        <f aca="false">ITEM_MASTER_CLEAN!F93</f>
        <v>19.58</v>
      </c>
      <c r="E93" s="5" t="n">
        <f aca="false">ITEM_MASTER_CLEAN!G93</f>
        <v>1</v>
      </c>
      <c r="F93" s="5" t="n">
        <f aca="false">DEMAND_MODEL!K93*SafetyDays</f>
        <v>2.57142857142857</v>
      </c>
      <c r="G93" s="5" t="n">
        <f aca="false">DEMAND_MODEL!L93*SafetyDays</f>
        <v>0.428571428571429</v>
      </c>
      <c r="H93" s="5" t="n">
        <f aca="false">ITEM_MASTER_CLEAN!H93</f>
        <v>19</v>
      </c>
      <c r="I93" s="5" t="n">
        <f aca="false">ITEM_MASTER_CLEAN!I93</f>
        <v>4</v>
      </c>
      <c r="J93" s="5" t="str">
        <f aca="false">IF(H93&lt;F93,"YES","")</f>
        <v/>
      </c>
      <c r="K93" s="5" t="str">
        <f aca="false">IF(I93&lt;G93,"YES","")</f>
        <v/>
      </c>
      <c r="L93" s="5" t="n">
        <f aca="false">IF(J93="YES",MAX(CEILING(F93-H93,E93),0),0)</f>
        <v>0</v>
      </c>
      <c r="M93" s="5" t="n">
        <f aca="false">IF(K93="YES",MAX(CEILING(G93-I93,E93),0),0)</f>
        <v>0</v>
      </c>
      <c r="N93" s="12" t="n">
        <f aca="false">L93*D93</f>
        <v>0</v>
      </c>
      <c r="O93" s="12" t="n">
        <f aca="false">M93*D93</f>
        <v>0</v>
      </c>
      <c r="P93" s="12" t="n">
        <f aca="false">P92+N93+O93</f>
        <v>24968.34</v>
      </c>
      <c r="Q93" s="5" t="str">
        <f aca="false">IF(P93&lt;=CashCap,"YES","OVER CAP")</f>
        <v>OVER CAP</v>
      </c>
      <c r="R93" s="5" t="str">
        <f aca="false">IF(LowCashMode="OFF","Normal Mode",IF(AND(OR(J93="YES",K93="YES"),Q93="YES"),"BUY NOW",IF(OR(J93="YES",K93="YES"),"DEFERRED","—")))</f>
        <v>Normal Mode</v>
      </c>
    </row>
    <row r="94" customFormat="false" ht="15" hidden="false" customHeight="false" outlineLevel="0" collapsed="false">
      <c r="A94" s="5" t="n">
        <f aca="false">ITEM_MASTER_CLEAN!A94</f>
        <v>93</v>
      </c>
      <c r="B94" s="5" t="n">
        <f aca="false">ITEM_MASTER_CLEAN!B94</f>
        <v>36846</v>
      </c>
      <c r="C94" s="5" t="str">
        <f aca="false">ITEM_MASTER_CLEAN!C94</f>
        <v>ICE CRM SALTED CARAMEL 11445 11.4L</v>
      </c>
      <c r="D94" s="12" t="n">
        <f aca="false">ITEM_MASTER_CLEAN!F94</f>
        <v>33.17</v>
      </c>
      <c r="E94" s="5" t="n">
        <f aca="false">ITEM_MASTER_CLEAN!G94</f>
        <v>1</v>
      </c>
      <c r="F94" s="5" t="n">
        <f aca="false">DEMAND_MODEL!K94*SafetyDays</f>
        <v>1.28571428571429</v>
      </c>
      <c r="G94" s="5" t="n">
        <f aca="false">DEMAND_MODEL!L94*SafetyDays</f>
        <v>1.71428571428571</v>
      </c>
      <c r="H94" s="5" t="n">
        <f aca="false">ITEM_MASTER_CLEAN!H94</f>
        <v>3</v>
      </c>
      <c r="I94" s="5" t="n">
        <f aca="false">ITEM_MASTER_CLEAN!I94</f>
        <v>5</v>
      </c>
      <c r="J94" s="5" t="str">
        <f aca="false">IF(H94&lt;F94,"YES","")</f>
        <v/>
      </c>
      <c r="K94" s="5" t="str">
        <f aca="false">IF(I94&lt;G94,"YES","")</f>
        <v/>
      </c>
      <c r="L94" s="5" t="n">
        <f aca="false">IF(J94="YES",MAX(CEILING(F94-H94,E94),0),0)</f>
        <v>0</v>
      </c>
      <c r="M94" s="5" t="n">
        <f aca="false">IF(K94="YES",MAX(CEILING(G94-I94,E94),0),0)</f>
        <v>0</v>
      </c>
      <c r="N94" s="12" t="n">
        <f aca="false">L94*D94</f>
        <v>0</v>
      </c>
      <c r="O94" s="12" t="n">
        <f aca="false">M94*D94</f>
        <v>0</v>
      </c>
      <c r="P94" s="12" t="n">
        <f aca="false">P93+N94+O94</f>
        <v>24968.34</v>
      </c>
      <c r="Q94" s="5" t="str">
        <f aca="false">IF(P94&lt;=CashCap,"YES","OVER CAP")</f>
        <v>OVER CAP</v>
      </c>
      <c r="R94" s="5" t="str">
        <f aca="false">IF(LowCashMode="OFF","Normal Mode",IF(AND(OR(J94="YES",K94="YES"),Q94="YES"),"BUY NOW",IF(OR(J94="YES",K94="YES"),"DEFERRED","—")))</f>
        <v>Normal Mode</v>
      </c>
    </row>
    <row r="95" customFormat="false" ht="15" hidden="false" customHeight="false" outlineLevel="0" collapsed="false">
      <c r="A95" s="5" t="n">
        <f aca="false">ITEM_MASTER_CLEAN!A95</f>
        <v>94</v>
      </c>
      <c r="B95" s="5" t="n">
        <f aca="false">ITEM_MASTER_CLEAN!B95</f>
        <v>15423</v>
      </c>
      <c r="C95" s="5" t="str">
        <f aca="false">ITEM_MASTER_CLEAN!C95</f>
        <v>ICE CREAM PISTACHIO 11416 11.4L</v>
      </c>
      <c r="D95" s="12" t="n">
        <f aca="false">ITEM_MASTER_CLEAN!F95</f>
        <v>36.72</v>
      </c>
      <c r="E95" s="5" t="n">
        <f aca="false">ITEM_MASTER_CLEAN!G95</f>
        <v>1</v>
      </c>
      <c r="F95" s="5" t="n">
        <f aca="false">DEMAND_MODEL!K95*SafetyDays</f>
        <v>2.14285714285714</v>
      </c>
      <c r="G95" s="5" t="n">
        <f aca="false">DEMAND_MODEL!L95*SafetyDays</f>
        <v>0.857142857142857</v>
      </c>
      <c r="H95" s="5" t="n">
        <f aca="false">ITEM_MASTER_CLEAN!H95</f>
        <v>3</v>
      </c>
      <c r="I95" s="5" t="n">
        <f aca="false">ITEM_MASTER_CLEAN!I95</f>
        <v>1</v>
      </c>
      <c r="J95" s="5" t="str">
        <f aca="false">IF(H95&lt;F95,"YES","")</f>
        <v/>
      </c>
      <c r="K95" s="5" t="str">
        <f aca="false">IF(I95&lt;G95,"YES","")</f>
        <v/>
      </c>
      <c r="L95" s="5" t="n">
        <f aca="false">IF(J95="YES",MAX(CEILING(F95-H95,E95),0),0)</f>
        <v>0</v>
      </c>
      <c r="M95" s="5" t="n">
        <f aca="false">IF(K95="YES",MAX(CEILING(G95-I95,E95),0),0)</f>
        <v>0</v>
      </c>
      <c r="N95" s="12" t="n">
        <f aca="false">L95*D95</f>
        <v>0</v>
      </c>
      <c r="O95" s="12" t="n">
        <f aca="false">M95*D95</f>
        <v>0</v>
      </c>
      <c r="P95" s="12" t="n">
        <f aca="false">P94+N95+O95</f>
        <v>24968.34</v>
      </c>
      <c r="Q95" s="5" t="str">
        <f aca="false">IF(P95&lt;=CashCap,"YES","OVER CAP")</f>
        <v>OVER CAP</v>
      </c>
      <c r="R95" s="5" t="str">
        <f aca="false">IF(LowCashMode="OFF","Normal Mode",IF(AND(OR(J95="YES",K95="YES"),Q95="YES"),"BUY NOW",IF(OR(J95="YES",K95="YES"),"DEFERRED","—")))</f>
        <v>Normal Mode</v>
      </c>
    </row>
    <row r="96" customFormat="false" ht="15" hidden="false" customHeight="false" outlineLevel="0" collapsed="false">
      <c r="A96" s="5" t="n">
        <f aca="false">ITEM_MASTER_CLEAN!A96</f>
        <v>95</v>
      </c>
      <c r="B96" s="5" t="n">
        <f aca="false">ITEM_MASTER_CLEAN!B96</f>
        <v>36824</v>
      </c>
      <c r="C96" s="5" t="str">
        <f aca="false">ITEM_MASTER_CLEAN!C96</f>
        <v>LC ICE CRM PCN/CARAM/FDG11435 11.4L</v>
      </c>
      <c r="D96" s="12" t="n">
        <f aca="false">ITEM_MASTER_CLEAN!F96</f>
        <v>34.76</v>
      </c>
      <c r="E96" s="5" t="n">
        <f aca="false">ITEM_MASTER_CLEAN!G96</f>
        <v>1</v>
      </c>
      <c r="F96" s="5" t="n">
        <f aca="false">DEMAND_MODEL!K96*SafetyDays</f>
        <v>2.14285714285714</v>
      </c>
      <c r="G96" s="5" t="n">
        <f aca="false">DEMAND_MODEL!L96*SafetyDays</f>
        <v>1.28571428571429</v>
      </c>
      <c r="H96" s="5" t="n">
        <f aca="false">ITEM_MASTER_CLEAN!H96</f>
        <v>6</v>
      </c>
      <c r="I96" s="5" t="n">
        <f aca="false">ITEM_MASTER_CLEAN!I96</f>
        <v>4</v>
      </c>
      <c r="J96" s="5" t="str">
        <f aca="false">IF(H96&lt;F96,"YES","")</f>
        <v/>
      </c>
      <c r="K96" s="5" t="str">
        <f aca="false">IF(I96&lt;G96,"YES","")</f>
        <v/>
      </c>
      <c r="L96" s="5" t="n">
        <f aca="false">IF(J96="YES",MAX(CEILING(F96-H96,E96),0),0)</f>
        <v>0</v>
      </c>
      <c r="M96" s="5" t="n">
        <f aca="false">IF(K96="YES",MAX(CEILING(G96-I96,E96),0),0)</f>
        <v>0</v>
      </c>
      <c r="N96" s="12" t="n">
        <f aca="false">L96*D96</f>
        <v>0</v>
      </c>
      <c r="O96" s="12" t="n">
        <f aca="false">M96*D96</f>
        <v>0</v>
      </c>
      <c r="P96" s="12" t="n">
        <f aca="false">P95+N96+O96</f>
        <v>24968.34</v>
      </c>
      <c r="Q96" s="5" t="str">
        <f aca="false">IF(P96&lt;=CashCap,"YES","OVER CAP")</f>
        <v>OVER CAP</v>
      </c>
      <c r="R96" s="5" t="str">
        <f aca="false">IF(LowCashMode="OFF","Normal Mode",IF(AND(OR(J96="YES",K96="YES"),Q96="YES"),"BUY NOW",IF(OR(J96="YES",K96="YES"),"DEFERRED","—")))</f>
        <v>Normal Mode</v>
      </c>
    </row>
    <row r="97" customFormat="false" ht="15" hidden="false" customHeight="false" outlineLevel="0" collapsed="false">
      <c r="A97" s="5" t="n">
        <f aca="false">ITEM_MASTER_CLEAN!A97</f>
        <v>96</v>
      </c>
      <c r="B97" s="5" t="n">
        <f aca="false">ITEM_MASTER_CLEAN!B97</f>
        <v>36833</v>
      </c>
      <c r="C97" s="5" t="str">
        <f aca="false">ITEM_MASTER_CLEAN!C97</f>
        <v>ICE CREAM BUBBLE GUM 11413 11.4L</v>
      </c>
      <c r="D97" s="12" t="n">
        <f aca="false">ITEM_MASTER_CLEAN!F97</f>
        <v>37.87</v>
      </c>
      <c r="E97" s="5" t="n">
        <f aca="false">ITEM_MASTER_CLEAN!G97</f>
        <v>1</v>
      </c>
      <c r="F97" s="5" t="n">
        <f aca="false">DEMAND_MODEL!K97*SafetyDays</f>
        <v>2.14285714285714</v>
      </c>
      <c r="G97" s="5" t="n">
        <f aca="false">DEMAND_MODEL!L97*SafetyDays</f>
        <v>0.857142857142857</v>
      </c>
      <c r="H97" s="5" t="n">
        <f aca="false">ITEM_MASTER_CLEAN!H97</f>
        <v>2</v>
      </c>
      <c r="I97" s="5" t="n">
        <f aca="false">ITEM_MASTER_CLEAN!I97</f>
        <v>0</v>
      </c>
      <c r="J97" s="5" t="str">
        <f aca="false">IF(H97&lt;F97,"YES","")</f>
        <v>YES</v>
      </c>
      <c r="K97" s="5" t="str">
        <f aca="false">IF(I97&lt;G97,"YES","")</f>
        <v>YES</v>
      </c>
      <c r="L97" s="5" t="n">
        <f aca="false">IF(J97="YES",MAX(CEILING(F97-H97,E97),0),0)</f>
        <v>1</v>
      </c>
      <c r="M97" s="5" t="n">
        <f aca="false">IF(K97="YES",MAX(CEILING(G97-I97,E97),0),0)</f>
        <v>1</v>
      </c>
      <c r="N97" s="12" t="n">
        <f aca="false">L97*D97</f>
        <v>37.87</v>
      </c>
      <c r="O97" s="12" t="n">
        <f aca="false">M97*D97</f>
        <v>37.87</v>
      </c>
      <c r="P97" s="12" t="n">
        <f aca="false">P96+N97+O97</f>
        <v>25044.08</v>
      </c>
      <c r="Q97" s="5" t="str">
        <f aca="false">IF(P97&lt;=CashCap,"YES","OVER CAP")</f>
        <v>OVER CAP</v>
      </c>
      <c r="R97" s="5" t="str">
        <f aca="false">IF(LowCashMode="OFF","Normal Mode",IF(AND(OR(J97="YES",K97="YES"),Q97="YES"),"BUY NOW",IF(OR(J97="YES",K97="YES"),"DEFERRED","—")))</f>
        <v>Normal Mode</v>
      </c>
    </row>
    <row r="98" customFormat="false" ht="15" hidden="false" customHeight="false" outlineLevel="0" collapsed="false">
      <c r="A98" s="5" t="n">
        <f aca="false">ITEM_MASTER_CLEAN!A98</f>
        <v>97</v>
      </c>
      <c r="B98" s="5" t="n">
        <f aca="false">ITEM_MASTER_CLEAN!B98</f>
        <v>32183</v>
      </c>
      <c r="C98" s="5" t="str">
        <f aca="false">ITEM_MASTER_CLEAN!C98</f>
        <v>ICE CREAM MANGO 851 11.4L</v>
      </c>
      <c r="D98" s="12" t="n">
        <f aca="false">ITEM_MASTER_CLEAN!F98</f>
        <v>43.33</v>
      </c>
      <c r="E98" s="5" t="n">
        <f aca="false">ITEM_MASTER_CLEAN!G98</f>
        <v>1</v>
      </c>
      <c r="F98" s="5" t="n">
        <f aca="false">DEMAND_MODEL!K98*SafetyDays</f>
        <v>1.28571428571429</v>
      </c>
      <c r="G98" s="5" t="n">
        <f aca="false">DEMAND_MODEL!L98*SafetyDays</f>
        <v>0.857142857142857</v>
      </c>
      <c r="H98" s="5" t="n">
        <f aca="false">ITEM_MASTER_CLEAN!H98</f>
        <v>10</v>
      </c>
      <c r="I98" s="5" t="n">
        <f aca="false">ITEM_MASTER_CLEAN!I98</f>
        <v>0</v>
      </c>
      <c r="J98" s="5" t="str">
        <f aca="false">IF(H98&lt;F98,"YES","")</f>
        <v/>
      </c>
      <c r="K98" s="5" t="str">
        <f aca="false">IF(I98&lt;G98,"YES","")</f>
        <v>YES</v>
      </c>
      <c r="L98" s="5" t="n">
        <f aca="false">IF(J98="YES",MAX(CEILING(F98-H98,E98),0),0)</f>
        <v>0</v>
      </c>
      <c r="M98" s="5" t="n">
        <f aca="false">IF(K98="YES",MAX(CEILING(G98-I98,E98),0),0)</f>
        <v>1</v>
      </c>
      <c r="N98" s="12" t="n">
        <f aca="false">L98*D98</f>
        <v>0</v>
      </c>
      <c r="O98" s="12" t="n">
        <f aca="false">M98*D98</f>
        <v>43.33</v>
      </c>
      <c r="P98" s="12" t="n">
        <f aca="false">P97+N98+O98</f>
        <v>25087.41</v>
      </c>
      <c r="Q98" s="5" t="str">
        <f aca="false">IF(P98&lt;=CashCap,"YES","OVER CAP")</f>
        <v>OVER CAP</v>
      </c>
      <c r="R98" s="5" t="str">
        <f aca="false">IF(LowCashMode="OFF","Normal Mode",IF(AND(OR(J98="YES",K98="YES"),Q98="YES"),"BUY NOW",IF(OR(J98="YES",K98="YES"),"DEFERRED","—")))</f>
        <v>Normal Mode</v>
      </c>
    </row>
    <row r="99" customFormat="false" ht="15" hidden="false" customHeight="false" outlineLevel="0" collapsed="false">
      <c r="A99" s="5" t="n">
        <f aca="false">ITEM_MASTER_CLEAN!A99</f>
        <v>98</v>
      </c>
      <c r="B99" s="5" t="n">
        <f aca="false">ITEM_MASTER_CLEAN!B99</f>
        <v>15427</v>
      </c>
      <c r="C99" s="5" t="str">
        <f aca="false">ITEM_MASTER_CLEAN!C99</f>
        <v>ICE CREAM RHUM&amp;RAISIN 11.4L</v>
      </c>
      <c r="D99" s="12" t="n">
        <f aca="false">ITEM_MASTER_CLEAN!F99</f>
        <v>40.11</v>
      </c>
      <c r="E99" s="5" t="n">
        <f aca="false">ITEM_MASTER_CLEAN!G99</f>
        <v>1</v>
      </c>
      <c r="F99" s="5" t="n">
        <f aca="false">DEMAND_MODEL!K99*SafetyDays</f>
        <v>2.14285714285714</v>
      </c>
      <c r="G99" s="5" t="n">
        <f aca="false">DEMAND_MODEL!L99*SafetyDays</f>
        <v>0.857142857142857</v>
      </c>
      <c r="H99" s="5" t="n">
        <f aca="false">ITEM_MASTER_CLEAN!H99</f>
        <v>1</v>
      </c>
      <c r="I99" s="5" t="n">
        <f aca="false">ITEM_MASTER_CLEAN!I99</f>
        <v>1</v>
      </c>
      <c r="J99" s="5" t="str">
        <f aca="false">IF(H99&lt;F99,"YES","")</f>
        <v>YES</v>
      </c>
      <c r="K99" s="5" t="str">
        <f aca="false">IF(I99&lt;G99,"YES","")</f>
        <v/>
      </c>
      <c r="L99" s="5" t="n">
        <f aca="false">IF(J99="YES",MAX(CEILING(F99-H99,E99),0),0)</f>
        <v>2</v>
      </c>
      <c r="M99" s="5" t="n">
        <f aca="false">IF(K99="YES",MAX(CEILING(G99-I99,E99),0),0)</f>
        <v>0</v>
      </c>
      <c r="N99" s="12" t="n">
        <f aca="false">L99*D99</f>
        <v>80.22</v>
      </c>
      <c r="O99" s="12" t="n">
        <f aca="false">M99*D99</f>
        <v>0</v>
      </c>
      <c r="P99" s="12" t="n">
        <f aca="false">P98+N99+O99</f>
        <v>25167.63</v>
      </c>
      <c r="Q99" s="5" t="str">
        <f aca="false">IF(P99&lt;=CashCap,"YES","OVER CAP")</f>
        <v>OVER CAP</v>
      </c>
      <c r="R99" s="5" t="str">
        <f aca="false">IF(LowCashMode="OFF","Normal Mode",IF(AND(OR(J99="YES",K99="YES"),Q99="YES"),"BUY NOW",IF(OR(J99="YES",K99="YES"),"DEFERRED","—")))</f>
        <v>Normal Mode</v>
      </c>
    </row>
    <row r="100" customFormat="false" ht="15" hidden="false" customHeight="false" outlineLevel="0" collapsed="false">
      <c r="A100" s="5" t="n">
        <f aca="false">ITEM_MASTER_CLEAN!A100</f>
        <v>99</v>
      </c>
      <c r="B100" s="5" t="n">
        <f aca="false">ITEM_MASTER_CLEAN!B100</f>
        <v>15429</v>
      </c>
      <c r="C100" s="5" t="str">
        <f aca="false">ITEM_MASTER_CLEAN!C100</f>
        <v>ICE CREAM CHERRY CHEESECAKE 11.4L</v>
      </c>
      <c r="D100" s="12" t="n">
        <f aca="false">ITEM_MASTER_CLEAN!F100</f>
        <v>40.74</v>
      </c>
      <c r="E100" s="5" t="n">
        <f aca="false">ITEM_MASTER_CLEAN!G100</f>
        <v>1</v>
      </c>
      <c r="F100" s="5" t="n">
        <f aca="false">DEMAND_MODEL!K100*SafetyDays</f>
        <v>2.14285714285714</v>
      </c>
      <c r="G100" s="5" t="n">
        <f aca="false">DEMAND_MODEL!L100*SafetyDays</f>
        <v>0.428571428571429</v>
      </c>
      <c r="H100" s="5" t="n">
        <f aca="false">ITEM_MASTER_CLEAN!H100</f>
        <v>2</v>
      </c>
      <c r="I100" s="5" t="n">
        <f aca="false">ITEM_MASTER_CLEAN!I100</f>
        <v>0</v>
      </c>
      <c r="J100" s="5" t="str">
        <f aca="false">IF(H100&lt;F100,"YES","")</f>
        <v>YES</v>
      </c>
      <c r="K100" s="5" t="str">
        <f aca="false">IF(I100&lt;G100,"YES","")</f>
        <v>YES</v>
      </c>
      <c r="L100" s="5" t="n">
        <f aca="false">IF(J100="YES",MAX(CEILING(F100-H100,E100),0),0)</f>
        <v>1</v>
      </c>
      <c r="M100" s="5" t="n">
        <f aca="false">IF(K100="YES",MAX(CEILING(G100-I100,E100),0),0)</f>
        <v>1</v>
      </c>
      <c r="N100" s="12" t="n">
        <f aca="false">L100*D100</f>
        <v>40.74</v>
      </c>
      <c r="O100" s="12" t="n">
        <f aca="false">M100*D100</f>
        <v>40.74</v>
      </c>
      <c r="P100" s="12" t="n">
        <f aca="false">P99+N100+O100</f>
        <v>25249.11</v>
      </c>
      <c r="Q100" s="5" t="str">
        <f aca="false">IF(P100&lt;=CashCap,"YES","OVER CAP")</f>
        <v>OVER CAP</v>
      </c>
      <c r="R100" s="5" t="str">
        <f aca="false">IF(LowCashMode="OFF","Normal Mode",IF(AND(OR(J100="YES",K100="YES"),Q100="YES"),"BUY NOW",IF(OR(J100="YES",K100="YES"),"DEFERRED","—")))</f>
        <v>Normal Mode</v>
      </c>
    </row>
    <row r="101" customFormat="false" ht="15" hidden="false" customHeight="false" outlineLevel="0" collapsed="false">
      <c r="A101" s="5" t="n">
        <f aca="false">ITEM_MASTER_CLEAN!A101</f>
        <v>100</v>
      </c>
      <c r="B101" s="5" t="n">
        <f aca="false">ITEM_MASTER_CLEAN!B101</f>
        <v>32180</v>
      </c>
      <c r="C101" s="5" t="str">
        <f aca="false">ITEM_MASTER_CLEAN!C101</f>
        <v>SORBET LEMON LIME 152 11.4L</v>
      </c>
      <c r="D101" s="12" t="n">
        <f aca="false">ITEM_MASTER_CLEAN!F101</f>
        <v>35.54</v>
      </c>
      <c r="E101" s="5" t="n">
        <f aca="false">ITEM_MASTER_CLEAN!G101</f>
        <v>1</v>
      </c>
      <c r="F101" s="5" t="n">
        <f aca="false">DEMAND_MODEL!K101*SafetyDays</f>
        <v>0.857142857142857</v>
      </c>
      <c r="G101" s="5" t="n">
        <f aca="false">DEMAND_MODEL!L101*SafetyDays</f>
        <v>0.857142857142857</v>
      </c>
      <c r="H101" s="5" t="n">
        <f aca="false">ITEM_MASTER_CLEAN!H101</f>
        <v>9</v>
      </c>
      <c r="I101" s="5" t="n">
        <f aca="false">ITEM_MASTER_CLEAN!I101</f>
        <v>9</v>
      </c>
      <c r="J101" s="5" t="str">
        <f aca="false">IF(H101&lt;F101,"YES","")</f>
        <v/>
      </c>
      <c r="K101" s="5" t="str">
        <f aca="false">IF(I101&lt;G101,"YES","")</f>
        <v/>
      </c>
      <c r="L101" s="5" t="n">
        <f aca="false">IF(J101="YES",MAX(CEILING(F101-H101,E101),0),0)</f>
        <v>0</v>
      </c>
      <c r="M101" s="5" t="n">
        <f aca="false">IF(K101="YES",MAX(CEILING(G101-I101,E101),0),0)</f>
        <v>0</v>
      </c>
      <c r="N101" s="12" t="n">
        <f aca="false">L101*D101</f>
        <v>0</v>
      </c>
      <c r="O101" s="12" t="n">
        <f aca="false">M101*D101</f>
        <v>0</v>
      </c>
      <c r="P101" s="12" t="n">
        <f aca="false">P100+N101+O101</f>
        <v>25249.11</v>
      </c>
      <c r="Q101" s="5" t="str">
        <f aca="false">IF(P101&lt;=CashCap,"YES","OVER CAP")</f>
        <v>OVER CAP</v>
      </c>
      <c r="R101" s="5" t="str">
        <f aca="false">IF(LowCashMode="OFF","Normal Mode",IF(AND(OR(J101="YES",K101="YES"),Q101="YES"),"BUY NOW",IF(OR(J101="YES",K101="YES"),"DEFERRED","—")))</f>
        <v>Normal Mode</v>
      </c>
    </row>
    <row r="102" customFormat="false" ht="15" hidden="false" customHeight="false" outlineLevel="0" collapsed="false">
      <c r="A102" s="5" t="n">
        <f aca="false">ITEM_MASTER_CLEAN!A102</f>
        <v>101</v>
      </c>
      <c r="B102" s="5" t="n">
        <f aca="false">ITEM_MASTER_CLEAN!B102</f>
        <v>32181</v>
      </c>
      <c r="C102" s="5" t="str">
        <f aca="false">ITEM_MASTER_CLEAN!C102</f>
        <v>SORBET STRAWBERRY 162 11.4L</v>
      </c>
      <c r="D102" s="12" t="n">
        <f aca="false">ITEM_MASTER_CLEAN!F102</f>
        <v>25.19</v>
      </c>
      <c r="E102" s="5" t="n">
        <f aca="false">ITEM_MASTER_CLEAN!G102</f>
        <v>1</v>
      </c>
      <c r="F102" s="5" t="n">
        <f aca="false">DEMAND_MODEL!K102*SafetyDays</f>
        <v>1.28571428571429</v>
      </c>
      <c r="G102" s="5" t="n">
        <f aca="false">DEMAND_MODEL!L102*SafetyDays</f>
        <v>0.428571428571429</v>
      </c>
      <c r="H102" s="5" t="n">
        <f aca="false">ITEM_MASTER_CLEAN!H102</f>
        <v>1</v>
      </c>
      <c r="I102" s="5" t="n">
        <f aca="false">ITEM_MASTER_CLEAN!I102</f>
        <v>3</v>
      </c>
      <c r="J102" s="5" t="str">
        <f aca="false">IF(H102&lt;F102,"YES","")</f>
        <v>YES</v>
      </c>
      <c r="K102" s="5" t="str">
        <f aca="false">IF(I102&lt;G102,"YES","")</f>
        <v/>
      </c>
      <c r="L102" s="5" t="n">
        <f aca="false">IF(J102="YES",MAX(CEILING(F102-H102,E102),0),0)</f>
        <v>1</v>
      </c>
      <c r="M102" s="5" t="n">
        <f aca="false">IF(K102="YES",MAX(CEILING(G102-I102,E102),0),0)</f>
        <v>0</v>
      </c>
      <c r="N102" s="12" t="n">
        <f aca="false">L102*D102</f>
        <v>25.19</v>
      </c>
      <c r="O102" s="12" t="n">
        <f aca="false">M102*D102</f>
        <v>0</v>
      </c>
      <c r="P102" s="12" t="n">
        <f aca="false">P101+N102+O102</f>
        <v>25274.3</v>
      </c>
      <c r="Q102" s="5" t="str">
        <f aca="false">IF(P102&lt;=CashCap,"YES","OVER CAP")</f>
        <v>OVER CAP</v>
      </c>
      <c r="R102" s="5" t="str">
        <f aca="false">IF(LowCashMode="OFF","Normal Mode",IF(AND(OR(J102="YES",K102="YES"),Q102="YES"),"BUY NOW",IF(OR(J102="YES",K102="YES"),"DEFERRED","—")))</f>
        <v>Normal Mode</v>
      </c>
    </row>
    <row r="103" customFormat="false" ht="15" hidden="false" customHeight="false" outlineLevel="0" collapsed="false">
      <c r="A103" s="5" t="n">
        <f aca="false">ITEM_MASTER_CLEAN!A103</f>
        <v>102</v>
      </c>
      <c r="B103" s="5" t="n">
        <f aca="false">ITEM_MASTER_CLEAN!B103</f>
        <v>32182</v>
      </c>
      <c r="C103" s="5" t="str">
        <f aca="false">ITEM_MASTER_CLEAN!C103</f>
        <v>SHERBERT WATERMELON 860 11.4L</v>
      </c>
      <c r="D103" s="12" t="n">
        <f aca="false">ITEM_MASTER_CLEAN!F103</f>
        <v>41.04</v>
      </c>
      <c r="E103" s="5" t="n">
        <f aca="false">ITEM_MASTER_CLEAN!G103</f>
        <v>1</v>
      </c>
      <c r="F103" s="5" t="n">
        <f aca="false">DEMAND_MODEL!K103*SafetyDays</f>
        <v>0.428571428571429</v>
      </c>
      <c r="G103" s="5" t="n">
        <f aca="false">DEMAND_MODEL!L103*SafetyDays</f>
        <v>0.857142857142857</v>
      </c>
      <c r="H103" s="5" t="n">
        <f aca="false">ITEM_MASTER_CLEAN!H103</f>
        <v>1</v>
      </c>
      <c r="I103" s="5" t="n">
        <f aca="false">ITEM_MASTER_CLEAN!I103</f>
        <v>2</v>
      </c>
      <c r="J103" s="5" t="str">
        <f aca="false">IF(H103&lt;F103,"YES","")</f>
        <v/>
      </c>
      <c r="K103" s="5" t="str">
        <f aca="false">IF(I103&lt;G103,"YES","")</f>
        <v/>
      </c>
      <c r="L103" s="5" t="n">
        <f aca="false">IF(J103="YES",MAX(CEILING(F103-H103,E103),0),0)</f>
        <v>0</v>
      </c>
      <c r="M103" s="5" t="n">
        <f aca="false">IF(K103="YES",MAX(CEILING(G103-I103,E103),0),0)</f>
        <v>0</v>
      </c>
      <c r="N103" s="12" t="n">
        <f aca="false">L103*D103</f>
        <v>0</v>
      </c>
      <c r="O103" s="12" t="n">
        <f aca="false">M103*D103</f>
        <v>0</v>
      </c>
      <c r="P103" s="12" t="n">
        <f aca="false">P102+N103+O103</f>
        <v>25274.3</v>
      </c>
      <c r="Q103" s="5" t="str">
        <f aca="false">IF(P103&lt;=CashCap,"YES","OVER CAP")</f>
        <v>OVER CAP</v>
      </c>
      <c r="R103" s="5" t="str">
        <f aca="false">IF(LowCashMode="OFF","Normal Mode",IF(AND(OR(J103="YES",K103="YES"),Q103="YES"),"BUY NOW",IF(OR(J103="YES",K103="YES"),"DEFERRED","—")))</f>
        <v>Normal Mode</v>
      </c>
    </row>
    <row r="104" customFormat="false" ht="15" hidden="false" customHeight="false" outlineLevel="0" collapsed="false">
      <c r="A104" s="5" t="n">
        <f aca="false">ITEM_MASTER_CLEAN!A104</f>
        <v>103</v>
      </c>
      <c r="B104" s="5" t="n">
        <f aca="false">ITEM_MASTER_CLEAN!B104</f>
        <v>32184</v>
      </c>
      <c r="C104" s="5" t="str">
        <f aca="false">ITEM_MASTER_CLEAN!C104</f>
        <v>SORBET PEACH 11.4L</v>
      </c>
      <c r="D104" s="12" t="n">
        <f aca="false">ITEM_MASTER_CLEAN!F104</f>
        <v>35.46</v>
      </c>
      <c r="E104" s="5" t="n">
        <f aca="false">ITEM_MASTER_CLEAN!G104</f>
        <v>1</v>
      </c>
      <c r="F104" s="5" t="n">
        <f aca="false">DEMAND_MODEL!K104*SafetyDays</f>
        <v>1.28571428571429</v>
      </c>
      <c r="G104" s="5" t="n">
        <f aca="false">DEMAND_MODEL!L104*SafetyDays</f>
        <v>0.428571428571429</v>
      </c>
      <c r="H104" s="5" t="n">
        <f aca="false">ITEM_MASTER_CLEAN!H104</f>
        <v>4</v>
      </c>
      <c r="I104" s="5" t="n">
        <f aca="false">ITEM_MASTER_CLEAN!I104</f>
        <v>1</v>
      </c>
      <c r="J104" s="5" t="str">
        <f aca="false">IF(H104&lt;F104,"YES","")</f>
        <v/>
      </c>
      <c r="K104" s="5" t="str">
        <f aca="false">IF(I104&lt;G104,"YES","")</f>
        <v/>
      </c>
      <c r="L104" s="5" t="n">
        <f aca="false">IF(J104="YES",MAX(CEILING(F104-H104,E104),0),0)</f>
        <v>0</v>
      </c>
      <c r="M104" s="5" t="n">
        <f aca="false">IF(K104="YES",MAX(CEILING(G104-I104,E104),0),0)</f>
        <v>0</v>
      </c>
      <c r="N104" s="12" t="n">
        <f aca="false">L104*D104</f>
        <v>0</v>
      </c>
      <c r="O104" s="12" t="n">
        <f aca="false">M104*D104</f>
        <v>0</v>
      </c>
      <c r="P104" s="12" t="n">
        <f aca="false">P103+N104+O104</f>
        <v>25274.3</v>
      </c>
      <c r="Q104" s="5" t="str">
        <f aca="false">IF(P104&lt;=CashCap,"YES","OVER CAP")</f>
        <v>OVER CAP</v>
      </c>
      <c r="R104" s="5" t="str">
        <f aca="false">IF(LowCashMode="OFF","Normal Mode",IF(AND(OR(J104="YES",K104="YES"),Q104="YES"),"BUY NOW",IF(OR(J104="YES",K104="YES"),"DEFERRED","—")))</f>
        <v>Normal Mode</v>
      </c>
    </row>
    <row r="105" customFormat="false" ht="15" hidden="false" customHeight="false" outlineLevel="0" collapsed="false">
      <c r="A105" s="5" t="n">
        <f aca="false">ITEM_MASTER_CLEAN!A105</f>
        <v>104</v>
      </c>
      <c r="B105" s="5" t="n">
        <f aca="false">ITEM_MASTER_CLEAN!B105</f>
        <v>32185</v>
      </c>
      <c r="C105" s="5" t="str">
        <f aca="false">ITEM_MASTER_CLEAN!C105</f>
        <v>MONSTER COOKIE ICE CRM BAR 8X4UN</v>
      </c>
      <c r="D105" s="12" t="n">
        <f aca="false">ITEM_MASTER_CLEAN!F105</f>
        <v>53.26</v>
      </c>
      <c r="E105" s="5" t="n">
        <f aca="false">ITEM_MASTER_CLEAN!G105</f>
        <v>8</v>
      </c>
      <c r="F105" s="5" t="n">
        <f aca="false">DEMAND_MODEL!K105*SafetyDays</f>
        <v>0.428571428571429</v>
      </c>
      <c r="G105" s="5" t="n">
        <f aca="false">DEMAND_MODEL!L105*SafetyDays</f>
        <v>1.28571428571429</v>
      </c>
      <c r="H105" s="5" t="n">
        <f aca="false">ITEM_MASTER_CLEAN!H105</f>
        <v>3</v>
      </c>
      <c r="I105" s="5" t="n">
        <f aca="false">ITEM_MASTER_CLEAN!I105</f>
        <v>0</v>
      </c>
      <c r="J105" s="5" t="str">
        <f aca="false">IF(H105&lt;F105,"YES","")</f>
        <v/>
      </c>
      <c r="K105" s="5" t="str">
        <f aca="false">IF(I105&lt;G105,"YES","")</f>
        <v>YES</v>
      </c>
      <c r="L105" s="5" t="n">
        <f aca="false">IF(J105="YES",MAX(CEILING(F105-H105,E105),0),0)</f>
        <v>0</v>
      </c>
      <c r="M105" s="5" t="n">
        <f aca="false">IF(K105="YES",MAX(CEILING(G105-I105,E105),0),0)</f>
        <v>8</v>
      </c>
      <c r="N105" s="12" t="n">
        <f aca="false">L105*D105</f>
        <v>0</v>
      </c>
      <c r="O105" s="12" t="n">
        <f aca="false">M105*D105</f>
        <v>426.08</v>
      </c>
      <c r="P105" s="12" t="n">
        <f aca="false">P104+N105+O105</f>
        <v>25700.38</v>
      </c>
      <c r="Q105" s="5" t="str">
        <f aca="false">IF(P105&lt;=CashCap,"YES","OVER CAP")</f>
        <v>OVER CAP</v>
      </c>
      <c r="R105" s="5" t="str">
        <f aca="false">IF(LowCashMode="OFF","Normal Mode",IF(AND(OR(J105="YES",K105="YES"),Q105="YES"),"BUY NOW",IF(OR(J105="YES",K105="YES"),"DEFERRED","—")))</f>
        <v>Normal Mode</v>
      </c>
    </row>
    <row r="106" customFormat="false" ht="15" hidden="false" customHeight="false" outlineLevel="0" collapsed="false">
      <c r="A106" s="5" t="n">
        <f aca="false">ITEM_MASTER_CLEAN!A106</f>
        <v>105</v>
      </c>
      <c r="B106" s="5" t="n">
        <f aca="false">ITEM_MASTER_CLEAN!B106</f>
        <v>37191</v>
      </c>
      <c r="C106" s="5" t="str">
        <f aca="false">ITEM_MASTER_CLEAN!C106</f>
        <v>BAR VEGAN CHOC SV20214 24UN</v>
      </c>
      <c r="D106" s="12" t="n">
        <f aca="false">ITEM_MASTER_CLEAN!F106</f>
        <v>48.55</v>
      </c>
      <c r="E106" s="5" t="n">
        <f aca="false">ITEM_MASTER_CLEAN!G106</f>
        <v>24</v>
      </c>
      <c r="F106" s="5" t="n">
        <f aca="false">DEMAND_MODEL!K106*SafetyDays</f>
        <v>0.428571428571429</v>
      </c>
      <c r="G106" s="5" t="n">
        <f aca="false">DEMAND_MODEL!L106*SafetyDays</f>
        <v>1.28571428571429</v>
      </c>
      <c r="H106" s="5" t="n">
        <f aca="false">ITEM_MASTER_CLEAN!H106</f>
        <v>0</v>
      </c>
      <c r="I106" s="5" t="n">
        <f aca="false">ITEM_MASTER_CLEAN!I106</f>
        <v>0</v>
      </c>
      <c r="J106" s="5" t="str">
        <f aca="false">IF(H106&lt;F106,"YES","")</f>
        <v>YES</v>
      </c>
      <c r="K106" s="5" t="str">
        <f aca="false">IF(I106&lt;G106,"YES","")</f>
        <v>YES</v>
      </c>
      <c r="L106" s="5" t="n">
        <f aca="false">IF(J106="YES",MAX(CEILING(F106-H106,E106),0),0)</f>
        <v>24</v>
      </c>
      <c r="M106" s="5" t="n">
        <f aca="false">IF(K106="YES",MAX(CEILING(G106-I106,E106),0),0)</f>
        <v>24</v>
      </c>
      <c r="N106" s="12" t="n">
        <f aca="false">L106*D106</f>
        <v>1165.2</v>
      </c>
      <c r="O106" s="12" t="n">
        <f aca="false">M106*D106</f>
        <v>1165.2</v>
      </c>
      <c r="P106" s="12" t="n">
        <f aca="false">P105+N106+O106</f>
        <v>28030.78</v>
      </c>
      <c r="Q106" s="5" t="str">
        <f aca="false">IF(P106&lt;=CashCap,"YES","OVER CAP")</f>
        <v>OVER CAP</v>
      </c>
      <c r="R106" s="5" t="str">
        <f aca="false">IF(LowCashMode="OFF","Normal Mode",IF(AND(OR(J106="YES",K106="YES"),Q106="YES"),"BUY NOW",IF(OR(J106="YES",K106="YES"),"DEFERRED","—")))</f>
        <v>Normal Mode</v>
      </c>
    </row>
    <row r="107" customFormat="false" ht="15" hidden="false" customHeight="false" outlineLevel="0" collapsed="false">
      <c r="A107" s="5" t="n">
        <f aca="false">ITEM_MASTER_CLEAN!A107</f>
        <v>106</v>
      </c>
      <c r="B107" s="5" t="n">
        <f aca="false">ITEM_MASTER_CLEAN!B107</f>
        <v>37190</v>
      </c>
      <c r="C107" s="5" t="str">
        <f aca="false">ITEM_MASTER_CLEAN!C107</f>
        <v>BAR VEGAN VANIL SV20114 24UN</v>
      </c>
      <c r="D107" s="12" t="n">
        <f aca="false">ITEM_MASTER_CLEAN!F107</f>
        <v>40</v>
      </c>
      <c r="E107" s="5" t="n">
        <f aca="false">ITEM_MASTER_CLEAN!G107</f>
        <v>24</v>
      </c>
      <c r="F107" s="5" t="n">
        <f aca="false">DEMAND_MODEL!K107*SafetyDays</f>
        <v>0.857142857142857</v>
      </c>
      <c r="G107" s="5" t="n">
        <f aca="false">DEMAND_MODEL!L107*SafetyDays</f>
        <v>1.28571428571429</v>
      </c>
      <c r="H107" s="5" t="n">
        <f aca="false">ITEM_MASTER_CLEAN!H107</f>
        <v>3</v>
      </c>
      <c r="I107" s="5" t="n">
        <f aca="false">ITEM_MASTER_CLEAN!I107</f>
        <v>1</v>
      </c>
      <c r="J107" s="5" t="str">
        <f aca="false">IF(H107&lt;F107,"YES","")</f>
        <v/>
      </c>
      <c r="K107" s="5" t="str">
        <f aca="false">IF(I107&lt;G107,"YES","")</f>
        <v>YES</v>
      </c>
      <c r="L107" s="5" t="n">
        <f aca="false">IF(J107="YES",MAX(CEILING(F107-H107,E107),0),0)</f>
        <v>0</v>
      </c>
      <c r="M107" s="5" t="n">
        <f aca="false">IF(K107="YES",MAX(CEILING(G107-I107,E107),0),0)</f>
        <v>24</v>
      </c>
      <c r="N107" s="12" t="n">
        <f aca="false">L107*D107</f>
        <v>0</v>
      </c>
      <c r="O107" s="12" t="n">
        <f aca="false">M107*D107</f>
        <v>960</v>
      </c>
      <c r="P107" s="12" t="n">
        <f aca="false">P106+N107+O107</f>
        <v>28990.78</v>
      </c>
      <c r="Q107" s="5" t="str">
        <f aca="false">IF(P107&lt;=CashCap,"YES","OVER CAP")</f>
        <v>OVER CAP</v>
      </c>
      <c r="R107" s="5" t="str">
        <f aca="false">IF(LowCashMode="OFF","Normal Mode",IF(AND(OR(J107="YES",K107="YES"),Q107="YES"),"BUY NOW",IF(OR(J107="YES",K107="YES"),"DEFERRED","—")))</f>
        <v>Normal Mode</v>
      </c>
    </row>
    <row r="108" customFormat="false" ht="15" hidden="false" customHeight="false" outlineLevel="0" collapsed="false">
      <c r="A108" s="5" t="n">
        <f aca="false">ITEM_MASTER_CLEAN!A108</f>
        <v>107</v>
      </c>
      <c r="B108" s="5" t="n">
        <f aca="false">ITEM_MASTER_CLEAN!B108</f>
        <v>12586</v>
      </c>
      <c r="C108" s="5" t="str">
        <f aca="false">ITEM_MASTER_CLEAN!C108</f>
        <v>MTY DIP 56% CHOCOLATE 6X1K</v>
      </c>
      <c r="D108" s="12" t="n">
        <f aca="false">ITEM_MASTER_CLEAN!F108</f>
        <v>40.96</v>
      </c>
      <c r="E108" s="5" t="n">
        <f aca="false">ITEM_MASTER_CLEAN!G108</f>
        <v>6</v>
      </c>
      <c r="F108" s="5" t="n">
        <f aca="false">DEMAND_MODEL!K108*SafetyDays</f>
        <v>2.57142857142857</v>
      </c>
      <c r="G108" s="5" t="n">
        <f aca="false">DEMAND_MODEL!L108*SafetyDays</f>
        <v>3</v>
      </c>
      <c r="H108" s="5" t="n">
        <f aca="false">ITEM_MASTER_CLEAN!H108</f>
        <v>1</v>
      </c>
      <c r="I108" s="5" t="n">
        <f aca="false">ITEM_MASTER_CLEAN!I108</f>
        <v>24</v>
      </c>
      <c r="J108" s="5" t="str">
        <f aca="false">IF(H108&lt;F108,"YES","")</f>
        <v>YES</v>
      </c>
      <c r="K108" s="5" t="str">
        <f aca="false">IF(I108&lt;G108,"YES","")</f>
        <v/>
      </c>
      <c r="L108" s="5" t="n">
        <f aca="false">IF(J108="YES",MAX(CEILING(F108-H108,E108),0),0)</f>
        <v>6</v>
      </c>
      <c r="M108" s="5" t="n">
        <f aca="false">IF(K108="YES",MAX(CEILING(G108-I108,E108),0),0)</f>
        <v>0</v>
      </c>
      <c r="N108" s="12" t="n">
        <f aca="false">L108*D108</f>
        <v>245.76</v>
      </c>
      <c r="O108" s="12" t="n">
        <f aca="false">M108*D108</f>
        <v>0</v>
      </c>
      <c r="P108" s="12" t="n">
        <f aca="false">P107+N108+O108</f>
        <v>29236.54</v>
      </c>
      <c r="Q108" s="5" t="str">
        <f aca="false">IF(P108&lt;=CashCap,"YES","OVER CAP")</f>
        <v>OVER CAP</v>
      </c>
      <c r="R108" s="5" t="str">
        <f aca="false">IF(LowCashMode="OFF","Normal Mode",IF(AND(OR(J108="YES",K108="YES"),Q108="YES"),"BUY NOW",IF(OR(J108="YES",K108="YES"),"DEFERRED","—")))</f>
        <v>Normal Mode</v>
      </c>
    </row>
    <row r="109" customFormat="false" ht="15" hidden="false" customHeight="false" outlineLevel="0" collapsed="false">
      <c r="A109" s="5" t="n">
        <f aca="false">ITEM_MASTER_CLEAN!A109</f>
        <v>108</v>
      </c>
      <c r="B109" s="5" t="n">
        <f aca="false">ITEM_MASTER_CLEAN!B109</f>
        <v>12597</v>
      </c>
      <c r="C109" s="5" t="str">
        <f aca="false">ITEM_MASTER_CLEAN!C109</f>
        <v>MTY DIP 70% DARK CHOC 6X1K</v>
      </c>
      <c r="D109" s="12" t="n">
        <f aca="false">ITEM_MASTER_CLEAN!F109</f>
        <v>47.04</v>
      </c>
      <c r="E109" s="5" t="n">
        <f aca="false">ITEM_MASTER_CLEAN!G109</f>
        <v>6</v>
      </c>
      <c r="F109" s="5" t="n">
        <f aca="false">DEMAND_MODEL!K109*SafetyDays</f>
        <v>2.57142857142857</v>
      </c>
      <c r="G109" s="5" t="n">
        <f aca="false">DEMAND_MODEL!L109*SafetyDays</f>
        <v>1.28571428571429</v>
      </c>
      <c r="H109" s="5" t="n">
        <f aca="false">ITEM_MASTER_CLEAN!H109</f>
        <v>25</v>
      </c>
      <c r="I109" s="5" t="n">
        <f aca="false">ITEM_MASTER_CLEAN!I109</f>
        <v>13</v>
      </c>
      <c r="J109" s="5" t="str">
        <f aca="false">IF(H109&lt;F109,"YES","")</f>
        <v/>
      </c>
      <c r="K109" s="5" t="str">
        <f aca="false">IF(I109&lt;G109,"YES","")</f>
        <v/>
      </c>
      <c r="L109" s="5" t="n">
        <f aca="false">IF(J109="YES",MAX(CEILING(F109-H109,E109),0),0)</f>
        <v>0</v>
      </c>
      <c r="M109" s="5" t="n">
        <f aca="false">IF(K109="YES",MAX(CEILING(G109-I109,E109),0),0)</f>
        <v>0</v>
      </c>
      <c r="N109" s="12" t="n">
        <f aca="false">L109*D109</f>
        <v>0</v>
      </c>
      <c r="O109" s="12" t="n">
        <f aca="false">M109*D109</f>
        <v>0</v>
      </c>
      <c r="P109" s="12" t="n">
        <f aca="false">P108+N109+O109</f>
        <v>29236.54</v>
      </c>
      <c r="Q109" s="5" t="str">
        <f aca="false">IF(P109&lt;=CashCap,"YES","OVER CAP")</f>
        <v>OVER CAP</v>
      </c>
      <c r="R109" s="5" t="str">
        <f aca="false">IF(LowCashMode="OFF","Normal Mode",IF(AND(OR(J109="YES",K109="YES"),Q109="YES"),"BUY NOW",IF(OR(J109="YES",K109="YES"),"DEFERRED","—")))</f>
        <v>Normal Mode</v>
      </c>
    </row>
    <row r="110" customFormat="false" ht="15" hidden="false" customHeight="false" outlineLevel="0" collapsed="false">
      <c r="A110" s="5" t="n">
        <f aca="false">ITEM_MASTER_CLEAN!A110</f>
        <v>109</v>
      </c>
      <c r="B110" s="5" t="n">
        <f aca="false">ITEM_MASTER_CLEAN!B110</f>
        <v>19646</v>
      </c>
      <c r="C110" s="5" t="str">
        <f aca="false">ITEM_MASTER_CLEAN!C110</f>
        <v>MTY DIP BANANA 6X1K</v>
      </c>
      <c r="D110" s="12" t="n">
        <f aca="false">ITEM_MASTER_CLEAN!F110</f>
        <v>46.38</v>
      </c>
      <c r="E110" s="5" t="n">
        <f aca="false">ITEM_MASTER_CLEAN!G110</f>
        <v>6</v>
      </c>
      <c r="F110" s="5" t="n">
        <f aca="false">DEMAND_MODEL!K110*SafetyDays</f>
        <v>3.42857142857143</v>
      </c>
      <c r="G110" s="5" t="n">
        <f aca="false">DEMAND_MODEL!L110*SafetyDays</f>
        <v>0.857142857142857</v>
      </c>
      <c r="H110" s="5" t="n">
        <f aca="false">ITEM_MASTER_CLEAN!H110</f>
        <v>11</v>
      </c>
      <c r="I110" s="5" t="n">
        <f aca="false">ITEM_MASTER_CLEAN!I110</f>
        <v>2</v>
      </c>
      <c r="J110" s="5" t="str">
        <f aca="false">IF(H110&lt;F110,"YES","")</f>
        <v/>
      </c>
      <c r="K110" s="5" t="str">
        <f aca="false">IF(I110&lt;G110,"YES","")</f>
        <v/>
      </c>
      <c r="L110" s="5" t="n">
        <f aca="false">IF(J110="YES",MAX(CEILING(F110-H110,E110),0),0)</f>
        <v>0</v>
      </c>
      <c r="M110" s="5" t="n">
        <f aca="false">IF(K110="YES",MAX(CEILING(G110-I110,E110),0),0)</f>
        <v>0</v>
      </c>
      <c r="N110" s="12" t="n">
        <f aca="false">L110*D110</f>
        <v>0</v>
      </c>
      <c r="O110" s="12" t="n">
        <f aca="false">M110*D110</f>
        <v>0</v>
      </c>
      <c r="P110" s="12" t="n">
        <f aca="false">P109+N110+O110</f>
        <v>29236.54</v>
      </c>
      <c r="Q110" s="5" t="str">
        <f aca="false">IF(P110&lt;=CashCap,"YES","OVER CAP")</f>
        <v>OVER CAP</v>
      </c>
      <c r="R110" s="5" t="str">
        <f aca="false">IF(LowCashMode="OFF","Normal Mode",IF(AND(OR(J110="YES",K110="YES"),Q110="YES"),"BUY NOW",IF(OR(J110="YES",K110="YES"),"DEFERRED","—")))</f>
        <v>Normal Mode</v>
      </c>
    </row>
    <row r="111" customFormat="false" ht="15" hidden="false" customHeight="false" outlineLevel="0" collapsed="false">
      <c r="A111" s="5" t="n">
        <f aca="false">ITEM_MASTER_CLEAN!A111</f>
        <v>110</v>
      </c>
      <c r="B111" s="5" t="n">
        <f aca="false">ITEM_MASTER_CLEAN!B111</f>
        <v>19647</v>
      </c>
      <c r="C111" s="5" t="str">
        <f aca="false">ITEM_MASTER_CLEAN!C111</f>
        <v>MTY DIP PEANUT BUTTER 6X1K</v>
      </c>
      <c r="D111" s="12" t="n">
        <f aca="false">ITEM_MASTER_CLEAN!F111</f>
        <v>45.32</v>
      </c>
      <c r="E111" s="5" t="n">
        <f aca="false">ITEM_MASTER_CLEAN!G111</f>
        <v>6</v>
      </c>
      <c r="F111" s="5" t="n">
        <f aca="false">DEMAND_MODEL!K111*SafetyDays</f>
        <v>1.28571428571429</v>
      </c>
      <c r="G111" s="5" t="n">
        <f aca="false">DEMAND_MODEL!L111*SafetyDays</f>
        <v>1.71428571428571</v>
      </c>
      <c r="H111" s="5" t="n">
        <f aca="false">ITEM_MASTER_CLEAN!H111</f>
        <v>1</v>
      </c>
      <c r="I111" s="5" t="n">
        <f aca="false">ITEM_MASTER_CLEAN!I111</f>
        <v>1</v>
      </c>
      <c r="J111" s="5" t="str">
        <f aca="false">IF(H111&lt;F111,"YES","")</f>
        <v>YES</v>
      </c>
      <c r="K111" s="5" t="str">
        <f aca="false">IF(I111&lt;G111,"YES","")</f>
        <v>YES</v>
      </c>
      <c r="L111" s="5" t="n">
        <f aca="false">IF(J111="YES",MAX(CEILING(F111-H111,E111),0),0)</f>
        <v>6</v>
      </c>
      <c r="M111" s="5" t="n">
        <f aca="false">IF(K111="YES",MAX(CEILING(G111-I111,E111),0),0)</f>
        <v>6</v>
      </c>
      <c r="N111" s="12" t="n">
        <f aca="false">L111*D111</f>
        <v>271.92</v>
      </c>
      <c r="O111" s="12" t="n">
        <f aca="false">M111*D111</f>
        <v>271.92</v>
      </c>
      <c r="P111" s="12" t="n">
        <f aca="false">P110+N111+O111</f>
        <v>29780.38</v>
      </c>
      <c r="Q111" s="5" t="str">
        <f aca="false">IF(P111&lt;=CashCap,"YES","OVER CAP")</f>
        <v>OVER CAP</v>
      </c>
      <c r="R111" s="5" t="str">
        <f aca="false">IF(LowCashMode="OFF","Normal Mode",IF(AND(OR(J111="YES",K111="YES"),Q111="YES"),"BUY NOW",IF(OR(J111="YES",K111="YES"),"DEFERRED","—")))</f>
        <v>Normal Mode</v>
      </c>
    </row>
    <row r="112" customFormat="false" ht="15" hidden="false" customHeight="false" outlineLevel="0" collapsed="false">
      <c r="A112" s="5" t="n">
        <f aca="false">ITEM_MASTER_CLEAN!A112</f>
        <v>111</v>
      </c>
      <c r="B112" s="5" t="n">
        <f aca="false">ITEM_MASTER_CLEAN!B112</f>
        <v>24809</v>
      </c>
      <c r="C112" s="5" t="str">
        <f aca="false">ITEM_MASTER_CLEAN!C112</f>
        <v>MTY DIP MAPLE 6X1K</v>
      </c>
      <c r="D112" s="12" t="n">
        <f aca="false">ITEM_MASTER_CLEAN!F112</f>
        <v>39.32</v>
      </c>
      <c r="E112" s="5" t="n">
        <f aca="false">ITEM_MASTER_CLEAN!G112</f>
        <v>6</v>
      </c>
      <c r="F112" s="5" t="n">
        <f aca="false">DEMAND_MODEL!K112*SafetyDays</f>
        <v>3</v>
      </c>
      <c r="G112" s="5" t="n">
        <f aca="false">DEMAND_MODEL!L112*SafetyDays</f>
        <v>1.71428571428571</v>
      </c>
      <c r="H112" s="5" t="n">
        <f aca="false">ITEM_MASTER_CLEAN!H112</f>
        <v>8</v>
      </c>
      <c r="I112" s="5" t="n">
        <f aca="false">ITEM_MASTER_CLEAN!I112</f>
        <v>5</v>
      </c>
      <c r="J112" s="5" t="str">
        <f aca="false">IF(H112&lt;F112,"YES","")</f>
        <v/>
      </c>
      <c r="K112" s="5" t="str">
        <f aca="false">IF(I112&lt;G112,"YES","")</f>
        <v/>
      </c>
      <c r="L112" s="5" t="n">
        <f aca="false">IF(J112="YES",MAX(CEILING(F112-H112,E112),0),0)</f>
        <v>0</v>
      </c>
      <c r="M112" s="5" t="n">
        <f aca="false">IF(K112="YES",MAX(CEILING(G112-I112,E112),0),0)</f>
        <v>0</v>
      </c>
      <c r="N112" s="12" t="n">
        <f aca="false">L112*D112</f>
        <v>0</v>
      </c>
      <c r="O112" s="12" t="n">
        <f aca="false">M112*D112</f>
        <v>0</v>
      </c>
      <c r="P112" s="12" t="n">
        <f aca="false">P111+N112+O112</f>
        <v>29780.38</v>
      </c>
      <c r="Q112" s="5" t="str">
        <f aca="false">IF(P112&lt;=CashCap,"YES","OVER CAP")</f>
        <v>OVER CAP</v>
      </c>
      <c r="R112" s="5" t="str">
        <f aca="false">IF(LowCashMode="OFF","Normal Mode",IF(AND(OR(J112="YES",K112="YES"),Q112="YES"),"BUY NOW",IF(OR(J112="YES",K112="YES"),"DEFERRED","—")))</f>
        <v>Normal Mode</v>
      </c>
    </row>
    <row r="113" customFormat="false" ht="15" hidden="false" customHeight="false" outlineLevel="0" collapsed="false">
      <c r="A113" s="5" t="n">
        <f aca="false">ITEM_MASTER_CLEAN!A113</f>
        <v>112</v>
      </c>
      <c r="B113" s="5" t="n">
        <f aca="false">ITEM_MASTER_CLEAN!B113</f>
        <v>24805</v>
      </c>
      <c r="C113" s="5" t="str">
        <f aca="false">ITEM_MASTER_CLEAN!C113</f>
        <v>MTY DIP WHITE 6X1K</v>
      </c>
      <c r="D113" s="12" t="n">
        <f aca="false">ITEM_MASTER_CLEAN!F113</f>
        <v>46.93</v>
      </c>
      <c r="E113" s="5" t="n">
        <f aca="false">ITEM_MASTER_CLEAN!G113</f>
        <v>6</v>
      </c>
      <c r="F113" s="5" t="n">
        <f aca="false">DEMAND_MODEL!K113*SafetyDays</f>
        <v>2.14285714285714</v>
      </c>
      <c r="G113" s="5" t="n">
        <f aca="false">DEMAND_MODEL!L113*SafetyDays</f>
        <v>0.857142857142857</v>
      </c>
      <c r="H113" s="5" t="n">
        <f aca="false">ITEM_MASTER_CLEAN!H113</f>
        <v>1</v>
      </c>
      <c r="I113" s="5" t="n">
        <f aca="false">ITEM_MASTER_CLEAN!I113</f>
        <v>1</v>
      </c>
      <c r="J113" s="5" t="str">
        <f aca="false">IF(H113&lt;F113,"YES","")</f>
        <v>YES</v>
      </c>
      <c r="K113" s="5" t="str">
        <f aca="false">IF(I113&lt;G113,"YES","")</f>
        <v/>
      </c>
      <c r="L113" s="5" t="n">
        <f aca="false">IF(J113="YES",MAX(CEILING(F113-H113,E113),0),0)</f>
        <v>6</v>
      </c>
      <c r="M113" s="5" t="n">
        <f aca="false">IF(K113="YES",MAX(CEILING(G113-I113,E113),0),0)</f>
        <v>0</v>
      </c>
      <c r="N113" s="12" t="n">
        <f aca="false">L113*D113</f>
        <v>281.58</v>
      </c>
      <c r="O113" s="12" t="n">
        <f aca="false">M113*D113</f>
        <v>0</v>
      </c>
      <c r="P113" s="12" t="n">
        <f aca="false">P112+N113+O113</f>
        <v>30061.96</v>
      </c>
      <c r="Q113" s="5" t="str">
        <f aca="false">IF(P113&lt;=CashCap,"YES","OVER CAP")</f>
        <v>OVER CAP</v>
      </c>
      <c r="R113" s="5" t="str">
        <f aca="false">IF(LowCashMode="OFF","Normal Mode",IF(AND(OR(J113="YES",K113="YES"),Q113="YES"),"BUY NOW",IF(OR(J113="YES",K113="YES"),"DEFERRED","—")))</f>
        <v>Normal Mode</v>
      </c>
    </row>
    <row r="114" customFormat="false" ht="15" hidden="false" customHeight="false" outlineLevel="0" collapsed="false">
      <c r="A114" s="5" t="n">
        <f aca="false">ITEM_MASTER_CLEAN!A114</f>
        <v>113</v>
      </c>
      <c r="B114" s="5" t="n">
        <f aca="false">ITEM_MASTER_CLEAN!B114</f>
        <v>19600</v>
      </c>
      <c r="C114" s="5" t="str">
        <f aca="false">ITEM_MASTER_CLEAN!C114</f>
        <v>MTY DIP CARAMEL ET SEL 6X1K</v>
      </c>
      <c r="D114" s="12" t="n">
        <f aca="false">ITEM_MASTER_CLEAN!F114</f>
        <v>44.74</v>
      </c>
      <c r="E114" s="5" t="n">
        <f aca="false">ITEM_MASTER_CLEAN!G114</f>
        <v>6</v>
      </c>
      <c r="F114" s="5" t="n">
        <f aca="false">DEMAND_MODEL!K114*SafetyDays</f>
        <v>2.57142857142857</v>
      </c>
      <c r="G114" s="5" t="n">
        <f aca="false">DEMAND_MODEL!L114*SafetyDays</f>
        <v>2.57142857142857</v>
      </c>
      <c r="H114" s="5" t="n">
        <f aca="false">ITEM_MASTER_CLEAN!H114</f>
        <v>4</v>
      </c>
      <c r="I114" s="5" t="n">
        <f aca="false">ITEM_MASTER_CLEAN!I114</f>
        <v>1</v>
      </c>
      <c r="J114" s="5" t="str">
        <f aca="false">IF(H114&lt;F114,"YES","")</f>
        <v/>
      </c>
      <c r="K114" s="5" t="str">
        <f aca="false">IF(I114&lt;G114,"YES","")</f>
        <v>YES</v>
      </c>
      <c r="L114" s="5" t="n">
        <f aca="false">IF(J114="YES",MAX(CEILING(F114-H114,E114),0),0)</f>
        <v>0</v>
      </c>
      <c r="M114" s="5" t="n">
        <f aca="false">IF(K114="YES",MAX(CEILING(G114-I114,E114),0),0)</f>
        <v>6</v>
      </c>
      <c r="N114" s="12" t="n">
        <f aca="false">L114*D114</f>
        <v>0</v>
      </c>
      <c r="O114" s="12" t="n">
        <f aca="false">M114*D114</f>
        <v>268.44</v>
      </c>
      <c r="P114" s="12" t="n">
        <f aca="false">P113+N114+O114</f>
        <v>30330.4</v>
      </c>
      <c r="Q114" s="5" t="str">
        <f aca="false">IF(P114&lt;=CashCap,"YES","OVER CAP")</f>
        <v>OVER CAP</v>
      </c>
      <c r="R114" s="5" t="str">
        <f aca="false">IF(LowCashMode="OFF","Normal Mode",IF(AND(OR(J114="YES",K114="YES"),Q114="YES"),"BUY NOW",IF(OR(J114="YES",K114="YES"),"DEFERRED","—")))</f>
        <v>Normal Mode</v>
      </c>
    </row>
    <row r="115" customFormat="false" ht="15" hidden="false" customHeight="false" outlineLevel="0" collapsed="false">
      <c r="A115" s="5" t="n">
        <f aca="false">ITEM_MASTER_CLEAN!A115</f>
        <v>114</v>
      </c>
      <c r="B115" s="5" t="n">
        <f aca="false">ITEM_MASTER_CLEAN!B115</f>
        <v>24759</v>
      </c>
      <c r="C115" s="5" t="str">
        <f aca="false">ITEM_MASTER_CLEAN!C115</f>
        <v>MTY DIP CHOC CARAMEL PECAN 6X1K</v>
      </c>
      <c r="D115" s="12" t="n">
        <f aca="false">ITEM_MASTER_CLEAN!F115</f>
        <v>44.73</v>
      </c>
      <c r="E115" s="5" t="n">
        <f aca="false">ITEM_MASTER_CLEAN!G115</f>
        <v>6</v>
      </c>
      <c r="F115" s="5" t="n">
        <f aca="false">DEMAND_MODEL!K115*SafetyDays</f>
        <v>3.42857142857143</v>
      </c>
      <c r="G115" s="5" t="n">
        <f aca="false">DEMAND_MODEL!L115*SafetyDays</f>
        <v>1.71428571428571</v>
      </c>
      <c r="H115" s="5" t="n">
        <f aca="false">ITEM_MASTER_CLEAN!H115</f>
        <v>23</v>
      </c>
      <c r="I115" s="5" t="n">
        <f aca="false">ITEM_MASTER_CLEAN!I115</f>
        <v>0</v>
      </c>
      <c r="J115" s="5" t="str">
        <f aca="false">IF(H115&lt;F115,"YES","")</f>
        <v/>
      </c>
      <c r="K115" s="5" t="str">
        <f aca="false">IF(I115&lt;G115,"YES","")</f>
        <v>YES</v>
      </c>
      <c r="L115" s="5" t="n">
        <f aca="false">IF(J115="YES",MAX(CEILING(F115-H115,E115),0),0)</f>
        <v>0</v>
      </c>
      <c r="M115" s="5" t="n">
        <f aca="false">IF(K115="YES",MAX(CEILING(G115-I115,E115),0),0)</f>
        <v>6</v>
      </c>
      <c r="N115" s="12" t="n">
        <f aca="false">L115*D115</f>
        <v>0</v>
      </c>
      <c r="O115" s="12" t="n">
        <f aca="false">M115*D115</f>
        <v>268.38</v>
      </c>
      <c r="P115" s="12" t="n">
        <f aca="false">P114+N115+O115</f>
        <v>30598.78</v>
      </c>
      <c r="Q115" s="5" t="str">
        <f aca="false">IF(P115&lt;=CashCap,"YES","OVER CAP")</f>
        <v>OVER CAP</v>
      </c>
      <c r="R115" s="5" t="str">
        <f aca="false">IF(LowCashMode="OFF","Normal Mode",IF(AND(OR(J115="YES",K115="YES"),Q115="YES"),"BUY NOW",IF(OR(J115="YES",K115="YES"),"DEFERRED","—")))</f>
        <v>Normal Mode</v>
      </c>
    </row>
    <row r="116" customFormat="false" ht="15" hidden="false" customHeight="false" outlineLevel="0" collapsed="false">
      <c r="A116" s="5" t="n">
        <f aca="false">ITEM_MASTER_CLEAN!A116</f>
        <v>115</v>
      </c>
      <c r="B116" s="5" t="n">
        <f aca="false">ITEM_MASTER_CLEAN!B116</f>
        <v>19598</v>
      </c>
      <c r="C116" s="5" t="str">
        <f aca="false">ITEM_MASTER_CLEAN!C116</f>
        <v>MTY DIP DULCE DE LECHE 6X1K</v>
      </c>
      <c r="D116" s="12" t="n">
        <f aca="false">ITEM_MASTER_CLEAN!F116</f>
        <v>46.84</v>
      </c>
      <c r="E116" s="5" t="n">
        <f aca="false">ITEM_MASTER_CLEAN!G116</f>
        <v>6</v>
      </c>
      <c r="F116" s="5" t="n">
        <f aca="false">DEMAND_MODEL!K116*SafetyDays</f>
        <v>3</v>
      </c>
      <c r="G116" s="5" t="n">
        <f aca="false">DEMAND_MODEL!L116*SafetyDays</f>
        <v>1.71428571428571</v>
      </c>
      <c r="H116" s="5" t="n">
        <f aca="false">ITEM_MASTER_CLEAN!H116</f>
        <v>7</v>
      </c>
      <c r="I116" s="5" t="n">
        <f aca="false">ITEM_MASTER_CLEAN!I116</f>
        <v>4</v>
      </c>
      <c r="J116" s="5" t="str">
        <f aca="false">IF(H116&lt;F116,"YES","")</f>
        <v/>
      </c>
      <c r="K116" s="5" t="str">
        <f aca="false">IF(I116&lt;G116,"YES","")</f>
        <v/>
      </c>
      <c r="L116" s="5" t="n">
        <f aca="false">IF(J116="YES",MAX(CEILING(F116-H116,E116),0),0)</f>
        <v>0</v>
      </c>
      <c r="M116" s="5" t="n">
        <f aca="false">IF(K116="YES",MAX(CEILING(G116-I116,E116),0),0)</f>
        <v>0</v>
      </c>
      <c r="N116" s="12" t="n">
        <f aca="false">L116*D116</f>
        <v>0</v>
      </c>
      <c r="O116" s="12" t="n">
        <f aca="false">M116*D116</f>
        <v>0</v>
      </c>
      <c r="P116" s="12" t="n">
        <f aca="false">P115+N116+O116</f>
        <v>30598.78</v>
      </c>
      <c r="Q116" s="5" t="str">
        <f aca="false">IF(P116&lt;=CashCap,"YES","OVER CAP")</f>
        <v>OVER CAP</v>
      </c>
      <c r="R116" s="5" t="str">
        <f aca="false">IF(LowCashMode="OFF","Normal Mode",IF(AND(OR(J116="YES",K116="YES"),Q116="YES"),"BUY NOW",IF(OR(J116="YES",K116="YES"),"DEFERRED","—")))</f>
        <v>Normal Mode</v>
      </c>
    </row>
    <row r="117" customFormat="false" ht="15" hidden="false" customHeight="false" outlineLevel="0" collapsed="false">
      <c r="A117" s="5" t="n">
        <f aca="false">ITEM_MASTER_CLEAN!A117</f>
        <v>116</v>
      </c>
      <c r="B117" s="5" t="n">
        <f aca="false">ITEM_MASTER_CLEAN!B117</f>
        <v>12603</v>
      </c>
      <c r="C117" s="5" t="str">
        <f aca="false">ITEM_MASTER_CLEAN!C117</f>
        <v>MTY DIP MILK CHOCOLATE 6X1K</v>
      </c>
      <c r="D117" s="12" t="n">
        <f aca="false">ITEM_MASTER_CLEAN!F117</f>
        <v>41.02</v>
      </c>
      <c r="E117" s="5" t="n">
        <f aca="false">ITEM_MASTER_CLEAN!G117</f>
        <v>6</v>
      </c>
      <c r="F117" s="5" t="n">
        <f aca="false">DEMAND_MODEL!K117*SafetyDays</f>
        <v>3</v>
      </c>
      <c r="G117" s="5" t="n">
        <f aca="false">DEMAND_MODEL!L117*SafetyDays</f>
        <v>1.71428571428571</v>
      </c>
      <c r="H117" s="5" t="n">
        <f aca="false">ITEM_MASTER_CLEAN!H117</f>
        <v>26</v>
      </c>
      <c r="I117" s="5" t="n">
        <f aca="false">ITEM_MASTER_CLEAN!I117</f>
        <v>0</v>
      </c>
      <c r="J117" s="5" t="str">
        <f aca="false">IF(H117&lt;F117,"YES","")</f>
        <v/>
      </c>
      <c r="K117" s="5" t="str">
        <f aca="false">IF(I117&lt;G117,"YES","")</f>
        <v>YES</v>
      </c>
      <c r="L117" s="5" t="n">
        <f aca="false">IF(J117="YES",MAX(CEILING(F117-H117,E117),0),0)</f>
        <v>0</v>
      </c>
      <c r="M117" s="5" t="n">
        <f aca="false">IF(K117="YES",MAX(CEILING(G117-I117,E117),0),0)</f>
        <v>6</v>
      </c>
      <c r="N117" s="12" t="n">
        <f aca="false">L117*D117</f>
        <v>0</v>
      </c>
      <c r="O117" s="12" t="n">
        <f aca="false">M117*D117</f>
        <v>246.12</v>
      </c>
      <c r="P117" s="12" t="n">
        <f aca="false">P116+N117+O117</f>
        <v>30844.9</v>
      </c>
      <c r="Q117" s="5" t="str">
        <f aca="false">IF(P117&lt;=CashCap,"YES","OVER CAP")</f>
        <v>OVER CAP</v>
      </c>
      <c r="R117" s="5" t="str">
        <f aca="false">IF(LowCashMode="OFF","Normal Mode",IF(AND(OR(J117="YES",K117="YES"),Q117="YES"),"BUY NOW",IF(OR(J117="YES",K117="YES"),"DEFERRED","—")))</f>
        <v>Normal Mode</v>
      </c>
    </row>
    <row r="118" customFormat="false" ht="15" hidden="false" customHeight="false" outlineLevel="0" collapsed="false">
      <c r="A118" s="5" t="n">
        <f aca="false">ITEM_MASTER_CLEAN!A118</f>
        <v>117</v>
      </c>
      <c r="B118" s="5" t="n">
        <f aca="false">ITEM_MASTER_CLEAN!B118</f>
        <v>24475</v>
      </c>
      <c r="C118" s="5" t="str">
        <f aca="false">ITEM_MASTER_CLEAN!C118</f>
        <v>MTY DIP IRISH CRM BAILEYS WH 6X1K</v>
      </c>
      <c r="D118" s="12" t="n">
        <f aca="false">ITEM_MASTER_CLEAN!F118</f>
        <v>42.54</v>
      </c>
      <c r="E118" s="5" t="n">
        <f aca="false">ITEM_MASTER_CLEAN!G118</f>
        <v>6</v>
      </c>
      <c r="F118" s="5" t="n">
        <f aca="false">DEMAND_MODEL!K118*SafetyDays</f>
        <v>3.42857142857143</v>
      </c>
      <c r="G118" s="5" t="n">
        <f aca="false">DEMAND_MODEL!L118*SafetyDays</f>
        <v>2.57142857142857</v>
      </c>
      <c r="H118" s="5" t="n">
        <f aca="false">ITEM_MASTER_CLEAN!H118</f>
        <v>2</v>
      </c>
      <c r="I118" s="5" t="n">
        <f aca="false">ITEM_MASTER_CLEAN!I118</f>
        <v>19</v>
      </c>
      <c r="J118" s="5" t="str">
        <f aca="false">IF(H118&lt;F118,"YES","")</f>
        <v>YES</v>
      </c>
      <c r="K118" s="5" t="str">
        <f aca="false">IF(I118&lt;G118,"YES","")</f>
        <v/>
      </c>
      <c r="L118" s="5" t="n">
        <f aca="false">IF(J118="YES",MAX(CEILING(F118-H118,E118),0),0)</f>
        <v>6</v>
      </c>
      <c r="M118" s="5" t="n">
        <f aca="false">IF(K118="YES",MAX(CEILING(G118-I118,E118),0),0)</f>
        <v>0</v>
      </c>
      <c r="N118" s="12" t="n">
        <f aca="false">L118*D118</f>
        <v>255.24</v>
      </c>
      <c r="O118" s="12" t="n">
        <f aca="false">M118*D118</f>
        <v>0</v>
      </c>
      <c r="P118" s="12" t="n">
        <f aca="false">P117+N118+O118</f>
        <v>31100.14</v>
      </c>
      <c r="Q118" s="5" t="str">
        <f aca="false">IF(P118&lt;=CashCap,"YES","OVER CAP")</f>
        <v>OVER CAP</v>
      </c>
      <c r="R118" s="5" t="str">
        <f aca="false">IF(LowCashMode="OFF","Normal Mode",IF(AND(OR(J118="YES",K118="YES"),Q118="YES"),"BUY NOW",IF(OR(J118="YES",K118="YES"),"DEFERRED","—")))</f>
        <v>Normal Mode</v>
      </c>
    </row>
    <row r="119" customFormat="false" ht="15" hidden="false" customHeight="false" outlineLevel="0" collapsed="false">
      <c r="A119" s="5" t="n">
        <f aca="false">ITEM_MASTER_CLEAN!A119</f>
        <v>118</v>
      </c>
      <c r="B119" s="5" t="n">
        <f aca="false">ITEM_MASTER_CLEAN!B119</f>
        <v>12558</v>
      </c>
      <c r="C119" s="5" t="str">
        <f aca="false">ITEM_MASTER_CLEAN!C119</f>
        <v>MTY DIP ESPRESSO 6X1KG</v>
      </c>
      <c r="D119" s="12" t="n">
        <f aca="false">ITEM_MASTER_CLEAN!F119</f>
        <v>47.52</v>
      </c>
      <c r="E119" s="5" t="n">
        <f aca="false">ITEM_MASTER_CLEAN!G119</f>
        <v>6</v>
      </c>
      <c r="F119" s="5" t="n">
        <f aca="false">DEMAND_MODEL!K119*SafetyDays</f>
        <v>1.28571428571429</v>
      </c>
      <c r="G119" s="5" t="n">
        <f aca="false">DEMAND_MODEL!L119*SafetyDays</f>
        <v>1.71428571428571</v>
      </c>
      <c r="H119" s="5" t="n">
        <f aca="false">ITEM_MASTER_CLEAN!H119</f>
        <v>5</v>
      </c>
      <c r="I119" s="5" t="n">
        <f aca="false">ITEM_MASTER_CLEAN!I119</f>
        <v>6</v>
      </c>
      <c r="J119" s="5" t="str">
        <f aca="false">IF(H119&lt;F119,"YES","")</f>
        <v/>
      </c>
      <c r="K119" s="5" t="str">
        <f aca="false">IF(I119&lt;G119,"YES","")</f>
        <v/>
      </c>
      <c r="L119" s="5" t="n">
        <f aca="false">IF(J119="YES",MAX(CEILING(F119-H119,E119),0),0)</f>
        <v>0</v>
      </c>
      <c r="M119" s="5" t="n">
        <f aca="false">IF(K119="YES",MAX(CEILING(G119-I119,E119),0),0)</f>
        <v>0</v>
      </c>
      <c r="N119" s="12" t="n">
        <f aca="false">L119*D119</f>
        <v>0</v>
      </c>
      <c r="O119" s="12" t="n">
        <f aca="false">M119*D119</f>
        <v>0</v>
      </c>
      <c r="P119" s="12" t="n">
        <f aca="false">P118+N119+O119</f>
        <v>31100.14</v>
      </c>
      <c r="Q119" s="5" t="str">
        <f aca="false">IF(P119&lt;=CashCap,"YES","OVER CAP")</f>
        <v>OVER CAP</v>
      </c>
      <c r="R119" s="5" t="str">
        <f aca="false">IF(LowCashMode="OFF","Normal Mode",IF(AND(OR(J119="YES",K119="YES"),Q119="YES"),"BUY NOW",IF(OR(J119="YES",K119="YES"),"DEFERRED","—")))</f>
        <v>Normal Mode</v>
      </c>
    </row>
    <row r="120" customFormat="false" ht="15" hidden="false" customHeight="false" outlineLevel="0" collapsed="false">
      <c r="A120" s="5" t="n">
        <f aca="false">ITEM_MASTER_CLEAN!A120</f>
        <v>119</v>
      </c>
      <c r="B120" s="5" t="n">
        <f aca="false">ITEM_MASTER_CLEAN!B120</f>
        <v>12582</v>
      </c>
      <c r="C120" s="5" t="str">
        <f aca="false">ITEM_MASTER_CLEAN!C120</f>
        <v>MTY DIP FLEUR DE SEL DARK 6X1K</v>
      </c>
      <c r="D120" s="12" t="n">
        <f aca="false">ITEM_MASTER_CLEAN!F120</f>
        <v>41.67</v>
      </c>
      <c r="E120" s="5" t="n">
        <f aca="false">ITEM_MASTER_CLEAN!G120</f>
        <v>6</v>
      </c>
      <c r="F120" s="5" t="n">
        <f aca="false">DEMAND_MODEL!K120*SafetyDays</f>
        <v>1.71428571428571</v>
      </c>
      <c r="G120" s="5" t="n">
        <f aca="false">DEMAND_MODEL!L120*SafetyDays</f>
        <v>1.71428571428571</v>
      </c>
      <c r="H120" s="5" t="n">
        <f aca="false">ITEM_MASTER_CLEAN!H120</f>
        <v>1</v>
      </c>
      <c r="I120" s="5" t="n">
        <f aca="false">ITEM_MASTER_CLEAN!I120</f>
        <v>11</v>
      </c>
      <c r="J120" s="5" t="str">
        <f aca="false">IF(H120&lt;F120,"YES","")</f>
        <v>YES</v>
      </c>
      <c r="K120" s="5" t="str">
        <f aca="false">IF(I120&lt;G120,"YES","")</f>
        <v/>
      </c>
      <c r="L120" s="5" t="n">
        <f aca="false">IF(J120="YES",MAX(CEILING(F120-H120,E120),0),0)</f>
        <v>6</v>
      </c>
      <c r="M120" s="5" t="n">
        <f aca="false">IF(K120="YES",MAX(CEILING(G120-I120,E120),0),0)</f>
        <v>0</v>
      </c>
      <c r="N120" s="12" t="n">
        <f aca="false">L120*D120</f>
        <v>250.02</v>
      </c>
      <c r="O120" s="12" t="n">
        <f aca="false">M120*D120</f>
        <v>0</v>
      </c>
      <c r="P120" s="12" t="n">
        <f aca="false">P119+N120+O120</f>
        <v>31350.16</v>
      </c>
      <c r="Q120" s="5" t="str">
        <f aca="false">IF(P120&lt;=CashCap,"YES","OVER CAP")</f>
        <v>OVER CAP</v>
      </c>
      <c r="R120" s="5" t="str">
        <f aca="false">IF(LowCashMode="OFF","Normal Mode",IF(AND(OR(J120="YES",K120="YES"),Q120="YES"),"BUY NOW",IF(OR(J120="YES",K120="YES"),"DEFERRED","—")))</f>
        <v>Normal Mode</v>
      </c>
    </row>
    <row r="121" customFormat="false" ht="15" hidden="false" customHeight="false" outlineLevel="0" collapsed="false">
      <c r="A121" s="5" t="n">
        <f aca="false">ITEM_MASTER_CLEAN!A121</f>
        <v>120</v>
      </c>
      <c r="B121" s="5" t="n">
        <f aca="false">ITEM_MASTER_CLEAN!B121</f>
        <v>24435</v>
      </c>
      <c r="C121" s="5" t="str">
        <f aca="false">ITEM_MASTER_CLEAN!C121</f>
        <v>MTY DIP STRAWBERRY CREAM 6X1K</v>
      </c>
      <c r="D121" s="12" t="n">
        <f aca="false">ITEM_MASTER_CLEAN!F121</f>
        <v>18.51</v>
      </c>
      <c r="E121" s="5" t="n">
        <f aca="false">ITEM_MASTER_CLEAN!G121</f>
        <v>6</v>
      </c>
      <c r="F121" s="5" t="n">
        <f aca="false">DEMAND_MODEL!K121*SafetyDays</f>
        <v>2.14285714285714</v>
      </c>
      <c r="G121" s="5" t="n">
        <f aca="false">DEMAND_MODEL!L121*SafetyDays</f>
        <v>1.28571428571429</v>
      </c>
      <c r="H121" s="5" t="n">
        <f aca="false">ITEM_MASTER_CLEAN!H121</f>
        <v>7</v>
      </c>
      <c r="I121" s="5" t="n">
        <f aca="false">ITEM_MASTER_CLEAN!I121</f>
        <v>3</v>
      </c>
      <c r="J121" s="5" t="str">
        <f aca="false">IF(H121&lt;F121,"YES","")</f>
        <v/>
      </c>
      <c r="K121" s="5" t="str">
        <f aca="false">IF(I121&lt;G121,"YES","")</f>
        <v/>
      </c>
      <c r="L121" s="5" t="n">
        <f aca="false">IF(J121="YES",MAX(CEILING(F121-H121,E121),0),0)</f>
        <v>0</v>
      </c>
      <c r="M121" s="5" t="n">
        <f aca="false">IF(K121="YES",MAX(CEILING(G121-I121,E121),0),0)</f>
        <v>0</v>
      </c>
      <c r="N121" s="12" t="n">
        <f aca="false">L121*D121</f>
        <v>0</v>
      </c>
      <c r="O121" s="12" t="n">
        <f aca="false">M121*D121</f>
        <v>0</v>
      </c>
      <c r="P121" s="12" t="n">
        <f aca="false">P120+N121+O121</f>
        <v>31350.16</v>
      </c>
      <c r="Q121" s="5" t="str">
        <f aca="false">IF(P121&lt;=CashCap,"YES","OVER CAP")</f>
        <v>OVER CAP</v>
      </c>
      <c r="R121" s="5" t="str">
        <f aca="false">IF(LowCashMode="OFF","Normal Mode",IF(AND(OR(J121="YES",K121="YES"),Q121="YES"),"BUY NOW",IF(OR(J121="YES",K121="YES"),"DEFERRED","—")))</f>
        <v>Normal Mode</v>
      </c>
    </row>
    <row r="122" customFormat="false" ht="15" hidden="false" customHeight="false" outlineLevel="0" collapsed="false">
      <c r="A122" s="5" t="n">
        <f aca="false">ITEM_MASTER_CLEAN!A122</f>
        <v>121</v>
      </c>
      <c r="B122" s="5" t="n">
        <f aca="false">ITEM_MASTER_CLEAN!B122</f>
        <v>24768</v>
      </c>
      <c r="C122" s="5" t="str">
        <f aca="false">ITEM_MASTER_CLEAN!C122</f>
        <v>MTY DIP CHEESE CAKE 6X1K</v>
      </c>
      <c r="D122" s="12" t="n">
        <f aca="false">ITEM_MASTER_CLEAN!F122</f>
        <v>43.86</v>
      </c>
      <c r="E122" s="5" t="n">
        <f aca="false">ITEM_MASTER_CLEAN!G122</f>
        <v>6</v>
      </c>
      <c r="F122" s="5" t="n">
        <f aca="false">DEMAND_MODEL!K122*SafetyDays</f>
        <v>1.71428571428571</v>
      </c>
      <c r="G122" s="5" t="n">
        <f aca="false">DEMAND_MODEL!L122*SafetyDays</f>
        <v>1.71428571428571</v>
      </c>
      <c r="H122" s="5" t="n">
        <f aca="false">ITEM_MASTER_CLEAN!H122</f>
        <v>0</v>
      </c>
      <c r="I122" s="5" t="n">
        <f aca="false">ITEM_MASTER_CLEAN!I122</f>
        <v>11</v>
      </c>
      <c r="J122" s="5" t="str">
        <f aca="false">IF(H122&lt;F122,"YES","")</f>
        <v>YES</v>
      </c>
      <c r="K122" s="5" t="str">
        <f aca="false">IF(I122&lt;G122,"YES","")</f>
        <v/>
      </c>
      <c r="L122" s="5" t="n">
        <f aca="false">IF(J122="YES",MAX(CEILING(F122-H122,E122),0),0)</f>
        <v>6</v>
      </c>
      <c r="M122" s="5" t="n">
        <f aca="false">IF(K122="YES",MAX(CEILING(G122-I122,E122),0),0)</f>
        <v>0</v>
      </c>
      <c r="N122" s="12" t="n">
        <f aca="false">L122*D122</f>
        <v>263.16</v>
      </c>
      <c r="O122" s="12" t="n">
        <f aca="false">M122*D122</f>
        <v>0</v>
      </c>
      <c r="P122" s="12" t="n">
        <f aca="false">P121+N122+O122</f>
        <v>31613.32</v>
      </c>
      <c r="Q122" s="5" t="str">
        <f aca="false">IF(P122&lt;=CashCap,"YES","OVER CAP")</f>
        <v>OVER CAP</v>
      </c>
      <c r="R122" s="5" t="str">
        <f aca="false">IF(LowCashMode="OFF","Normal Mode",IF(AND(OR(J122="YES",K122="YES"),Q122="YES"),"BUY NOW",IF(OR(J122="YES",K122="YES"),"DEFERRED","—")))</f>
        <v>Normal Mode</v>
      </c>
    </row>
    <row r="123" customFormat="false" ht="15" hidden="false" customHeight="false" outlineLevel="0" collapsed="false">
      <c r="A123" s="5" t="n">
        <f aca="false">ITEM_MASTER_CLEAN!A123</f>
        <v>122</v>
      </c>
      <c r="B123" s="5" t="n">
        <f aca="false">ITEM_MASTER_CLEAN!B123</f>
        <v>24777</v>
      </c>
      <c r="C123" s="5" t="str">
        <f aca="false">ITEM_MASTER_CLEAN!C123</f>
        <v>MTY DIP BIRTHDAY CAKE  6X1K</v>
      </c>
      <c r="D123" s="12" t="n">
        <f aca="false">ITEM_MASTER_CLEAN!F123</f>
        <v>39.74</v>
      </c>
      <c r="E123" s="5" t="n">
        <f aca="false">ITEM_MASTER_CLEAN!G123</f>
        <v>6</v>
      </c>
      <c r="F123" s="5" t="n">
        <f aca="false">DEMAND_MODEL!K123*SafetyDays</f>
        <v>3.42857142857143</v>
      </c>
      <c r="G123" s="5" t="n">
        <f aca="false">DEMAND_MODEL!L123*SafetyDays</f>
        <v>0.857142857142857</v>
      </c>
      <c r="H123" s="5" t="n">
        <f aca="false">ITEM_MASTER_CLEAN!H123</f>
        <v>1</v>
      </c>
      <c r="I123" s="5" t="n">
        <f aca="false">ITEM_MASTER_CLEAN!I123</f>
        <v>5</v>
      </c>
      <c r="J123" s="5" t="str">
        <f aca="false">IF(H123&lt;F123,"YES","")</f>
        <v>YES</v>
      </c>
      <c r="K123" s="5" t="str">
        <f aca="false">IF(I123&lt;G123,"YES","")</f>
        <v/>
      </c>
      <c r="L123" s="5" t="n">
        <f aca="false">IF(J123="YES",MAX(CEILING(F123-H123,E123),0),0)</f>
        <v>6</v>
      </c>
      <c r="M123" s="5" t="n">
        <f aca="false">IF(K123="YES",MAX(CEILING(G123-I123,E123),0),0)</f>
        <v>0</v>
      </c>
      <c r="N123" s="12" t="n">
        <f aca="false">L123*D123</f>
        <v>238.44</v>
      </c>
      <c r="O123" s="12" t="n">
        <f aca="false">M123*D123</f>
        <v>0</v>
      </c>
      <c r="P123" s="12" t="n">
        <f aca="false">P122+N123+O123</f>
        <v>31851.76</v>
      </c>
      <c r="Q123" s="5" t="str">
        <f aca="false">IF(P123&lt;=CashCap,"YES","OVER CAP")</f>
        <v>OVER CAP</v>
      </c>
      <c r="R123" s="5" t="str">
        <f aca="false">IF(LowCashMode="OFF","Normal Mode",IF(AND(OR(J123="YES",K123="YES"),Q123="YES"),"BUY NOW",IF(OR(J123="YES",K123="YES"),"DEFERRED","—")))</f>
        <v>Normal Mode</v>
      </c>
    </row>
    <row r="124" customFormat="false" ht="15" hidden="false" customHeight="false" outlineLevel="0" collapsed="false">
      <c r="A124" s="5" t="n">
        <f aca="false">ITEM_MASTER_CLEAN!A124</f>
        <v>123</v>
      </c>
      <c r="B124" s="5" t="n">
        <f aca="false">ITEM_MASTER_CLEAN!B124</f>
        <v>24766</v>
      </c>
      <c r="C124" s="5" t="str">
        <f aca="false">ITEM_MASTER_CLEAN!C124</f>
        <v>MTY DIP LEMONADE 6X1K</v>
      </c>
      <c r="D124" s="12" t="n">
        <f aca="false">ITEM_MASTER_CLEAN!F124</f>
        <v>42.21</v>
      </c>
      <c r="E124" s="5" t="n">
        <f aca="false">ITEM_MASTER_CLEAN!G124</f>
        <v>6</v>
      </c>
      <c r="F124" s="5" t="n">
        <f aca="false">DEMAND_MODEL!K124*SafetyDays</f>
        <v>1.28571428571429</v>
      </c>
      <c r="G124" s="5" t="n">
        <f aca="false">DEMAND_MODEL!L124*SafetyDays</f>
        <v>0.857142857142857</v>
      </c>
      <c r="H124" s="5" t="n">
        <f aca="false">ITEM_MASTER_CLEAN!H124</f>
        <v>9</v>
      </c>
      <c r="I124" s="5" t="n">
        <f aca="false">ITEM_MASTER_CLEAN!I124</f>
        <v>0</v>
      </c>
      <c r="J124" s="5" t="str">
        <f aca="false">IF(H124&lt;F124,"YES","")</f>
        <v/>
      </c>
      <c r="K124" s="5" t="str">
        <f aca="false">IF(I124&lt;G124,"YES","")</f>
        <v>YES</v>
      </c>
      <c r="L124" s="5" t="n">
        <f aca="false">IF(J124="YES",MAX(CEILING(F124-H124,E124),0),0)</f>
        <v>0</v>
      </c>
      <c r="M124" s="5" t="n">
        <f aca="false">IF(K124="YES",MAX(CEILING(G124-I124,E124),0),0)</f>
        <v>6</v>
      </c>
      <c r="N124" s="12" t="n">
        <f aca="false">L124*D124</f>
        <v>0</v>
      </c>
      <c r="O124" s="12" t="n">
        <f aca="false">M124*D124</f>
        <v>253.26</v>
      </c>
      <c r="P124" s="12" t="n">
        <f aca="false">P123+N124+O124</f>
        <v>32105.02</v>
      </c>
      <c r="Q124" s="5" t="str">
        <f aca="false">IF(P124&lt;=CashCap,"YES","OVER CAP")</f>
        <v>OVER CAP</v>
      </c>
      <c r="R124" s="5" t="str">
        <f aca="false">IF(LowCashMode="OFF","Normal Mode",IF(AND(OR(J124="YES",K124="YES"),Q124="YES"),"BUY NOW",IF(OR(J124="YES",K124="YES"),"DEFERRED","—")))</f>
        <v>Normal Mode</v>
      </c>
    </row>
    <row r="125" customFormat="false" ht="15" hidden="false" customHeight="false" outlineLevel="0" collapsed="false">
      <c r="A125" s="5" t="n">
        <f aca="false">ITEM_MASTER_CLEAN!A125</f>
        <v>124</v>
      </c>
      <c r="B125" s="5" t="n">
        <f aca="false">ITEM_MASTER_CLEAN!B125</f>
        <v>12584</v>
      </c>
      <c r="C125" s="5" t="str">
        <f aca="false">ITEM_MASTER_CLEAN!C125</f>
        <v>MTY DIP MANGO 6X1K</v>
      </c>
      <c r="D125" s="12" t="n">
        <f aca="false">ITEM_MASTER_CLEAN!F125</f>
        <v>38.43</v>
      </c>
      <c r="E125" s="5" t="n">
        <f aca="false">ITEM_MASTER_CLEAN!G125</f>
        <v>6</v>
      </c>
      <c r="F125" s="5" t="n">
        <f aca="false">DEMAND_MODEL!K125*SafetyDays</f>
        <v>3.42857142857143</v>
      </c>
      <c r="G125" s="5" t="n">
        <f aca="false">DEMAND_MODEL!L125*SafetyDays</f>
        <v>2.57142857142857</v>
      </c>
      <c r="H125" s="5" t="n">
        <f aca="false">ITEM_MASTER_CLEAN!H125</f>
        <v>4</v>
      </c>
      <c r="I125" s="5" t="n">
        <f aca="false">ITEM_MASTER_CLEAN!I125</f>
        <v>1</v>
      </c>
      <c r="J125" s="5" t="str">
        <f aca="false">IF(H125&lt;F125,"YES","")</f>
        <v/>
      </c>
      <c r="K125" s="5" t="str">
        <f aca="false">IF(I125&lt;G125,"YES","")</f>
        <v>YES</v>
      </c>
      <c r="L125" s="5" t="n">
        <f aca="false">IF(J125="YES",MAX(CEILING(F125-H125,E125),0),0)</f>
        <v>0</v>
      </c>
      <c r="M125" s="5" t="n">
        <f aca="false">IF(K125="YES",MAX(CEILING(G125-I125,E125),0),0)</f>
        <v>6</v>
      </c>
      <c r="N125" s="12" t="n">
        <f aca="false">L125*D125</f>
        <v>0</v>
      </c>
      <c r="O125" s="12" t="n">
        <f aca="false">M125*D125</f>
        <v>230.58</v>
      </c>
      <c r="P125" s="12" t="n">
        <f aca="false">P124+N125+O125</f>
        <v>32335.6</v>
      </c>
      <c r="Q125" s="5" t="str">
        <f aca="false">IF(P125&lt;=CashCap,"YES","OVER CAP")</f>
        <v>OVER CAP</v>
      </c>
      <c r="R125" s="5" t="str">
        <f aca="false">IF(LowCashMode="OFF","Normal Mode",IF(AND(OR(J125="YES",K125="YES"),Q125="YES"),"BUY NOW",IF(OR(J125="YES",K125="YES"),"DEFERRED","—")))</f>
        <v>Normal Mode</v>
      </c>
    </row>
    <row r="126" customFormat="false" ht="15" hidden="false" customHeight="false" outlineLevel="0" collapsed="false">
      <c r="A126" s="5" t="n">
        <f aca="false">ITEM_MASTER_CLEAN!A126</f>
        <v>125</v>
      </c>
      <c r="B126" s="5" t="n">
        <f aca="false">ITEM_MASTER_CLEAN!B126</f>
        <v>24763</v>
      </c>
      <c r="C126" s="5" t="str">
        <f aca="false">ITEM_MASTER_CLEAN!C126</f>
        <v>MTY MINT DARK CHOC  6X1K</v>
      </c>
      <c r="D126" s="12" t="n">
        <f aca="false">ITEM_MASTER_CLEAN!F126</f>
        <v>42.26</v>
      </c>
      <c r="E126" s="5" t="n">
        <f aca="false">ITEM_MASTER_CLEAN!G126</f>
        <v>6</v>
      </c>
      <c r="F126" s="5" t="n">
        <f aca="false">DEMAND_MODEL!K126*SafetyDays</f>
        <v>3</v>
      </c>
      <c r="G126" s="5" t="n">
        <f aca="false">DEMAND_MODEL!L126*SafetyDays</f>
        <v>1.28571428571429</v>
      </c>
      <c r="H126" s="5" t="n">
        <f aca="false">ITEM_MASTER_CLEAN!H126</f>
        <v>24</v>
      </c>
      <c r="I126" s="5" t="n">
        <f aca="false">ITEM_MASTER_CLEAN!I126</f>
        <v>1</v>
      </c>
      <c r="J126" s="5" t="str">
        <f aca="false">IF(H126&lt;F126,"YES","")</f>
        <v/>
      </c>
      <c r="K126" s="5" t="str">
        <f aca="false">IF(I126&lt;G126,"YES","")</f>
        <v>YES</v>
      </c>
      <c r="L126" s="5" t="n">
        <f aca="false">IF(J126="YES",MAX(CEILING(F126-H126,E126),0),0)</f>
        <v>0</v>
      </c>
      <c r="M126" s="5" t="n">
        <f aca="false">IF(K126="YES",MAX(CEILING(G126-I126,E126),0),0)</f>
        <v>6</v>
      </c>
      <c r="N126" s="12" t="n">
        <f aca="false">L126*D126</f>
        <v>0</v>
      </c>
      <c r="O126" s="12" t="n">
        <f aca="false">M126*D126</f>
        <v>253.56</v>
      </c>
      <c r="P126" s="12" t="n">
        <f aca="false">P125+N126+O126</f>
        <v>32589.16</v>
      </c>
      <c r="Q126" s="5" t="str">
        <f aca="false">IF(P126&lt;=CashCap,"YES","OVER CAP")</f>
        <v>OVER CAP</v>
      </c>
      <c r="R126" s="5" t="str">
        <f aca="false">IF(LowCashMode="OFF","Normal Mode",IF(AND(OR(J126="YES",K126="YES"),Q126="YES"),"BUY NOW",IF(OR(J126="YES",K126="YES"),"DEFERRED","—")))</f>
        <v>Normal Mode</v>
      </c>
    </row>
    <row r="127" customFormat="false" ht="15" hidden="false" customHeight="false" outlineLevel="0" collapsed="false">
      <c r="A127" s="5" t="n">
        <f aca="false">ITEM_MASTER_CLEAN!A127</f>
        <v>126</v>
      </c>
      <c r="B127" s="5" t="n">
        <f aca="false">ITEM_MASTER_CLEAN!B127</f>
        <v>24761</v>
      </c>
      <c r="C127" s="5" t="str">
        <f aca="false">ITEM_MASTER_CLEAN!C127</f>
        <v>MTY DIP ORANGE SORBET 6X1K</v>
      </c>
      <c r="D127" s="12" t="n">
        <f aca="false">ITEM_MASTER_CLEAN!F127</f>
        <v>45.12</v>
      </c>
      <c r="E127" s="5" t="n">
        <f aca="false">ITEM_MASTER_CLEAN!G127</f>
        <v>6</v>
      </c>
      <c r="F127" s="5" t="n">
        <f aca="false">DEMAND_MODEL!K127*SafetyDays</f>
        <v>2.57142857142857</v>
      </c>
      <c r="G127" s="5" t="n">
        <f aca="false">DEMAND_MODEL!L127*SafetyDays</f>
        <v>2.57142857142857</v>
      </c>
      <c r="H127" s="5" t="n">
        <f aca="false">ITEM_MASTER_CLEAN!H127</f>
        <v>21</v>
      </c>
      <c r="I127" s="5" t="n">
        <f aca="false">ITEM_MASTER_CLEAN!I127</f>
        <v>2</v>
      </c>
      <c r="J127" s="5" t="str">
        <f aca="false">IF(H127&lt;F127,"YES","")</f>
        <v/>
      </c>
      <c r="K127" s="5" t="str">
        <f aca="false">IF(I127&lt;G127,"YES","")</f>
        <v>YES</v>
      </c>
      <c r="L127" s="5" t="n">
        <f aca="false">IF(J127="YES",MAX(CEILING(F127-H127,E127),0),0)</f>
        <v>0</v>
      </c>
      <c r="M127" s="5" t="n">
        <f aca="false">IF(K127="YES",MAX(CEILING(G127-I127,E127),0),0)</f>
        <v>6</v>
      </c>
      <c r="N127" s="12" t="n">
        <f aca="false">L127*D127</f>
        <v>0</v>
      </c>
      <c r="O127" s="12" t="n">
        <f aca="false">M127*D127</f>
        <v>270.72</v>
      </c>
      <c r="P127" s="12" t="n">
        <f aca="false">P126+N127+O127</f>
        <v>32859.88</v>
      </c>
      <c r="Q127" s="5" t="str">
        <f aca="false">IF(P127&lt;=CashCap,"YES","OVER CAP")</f>
        <v>OVER CAP</v>
      </c>
      <c r="R127" s="5" t="str">
        <f aca="false">IF(LowCashMode="OFF","Normal Mode",IF(AND(OR(J127="YES",K127="YES"),Q127="YES"),"BUY NOW",IF(OR(J127="YES",K127="YES"),"DEFERRED","—")))</f>
        <v>Normal Mode</v>
      </c>
    </row>
    <row r="128" customFormat="false" ht="15" hidden="false" customHeight="false" outlineLevel="0" collapsed="false">
      <c r="A128" s="5" t="n">
        <f aca="false">ITEM_MASTER_CLEAN!A128</f>
        <v>127</v>
      </c>
      <c r="B128" s="5" t="n">
        <f aca="false">ITEM_MASTER_CLEAN!B128</f>
        <v>24822</v>
      </c>
      <c r="C128" s="5" t="str">
        <f aca="false">ITEM_MASTER_CLEAN!C128</f>
        <v>MTY DIP OREO 6X1K</v>
      </c>
      <c r="D128" s="12" t="n">
        <f aca="false">ITEM_MASTER_CLEAN!F128</f>
        <v>45.02</v>
      </c>
      <c r="E128" s="5" t="n">
        <f aca="false">ITEM_MASTER_CLEAN!G128</f>
        <v>6</v>
      </c>
      <c r="F128" s="5" t="n">
        <f aca="false">DEMAND_MODEL!K128*SafetyDays</f>
        <v>3</v>
      </c>
      <c r="G128" s="5" t="n">
        <f aca="false">DEMAND_MODEL!L128*SafetyDays</f>
        <v>1.28571428571429</v>
      </c>
      <c r="H128" s="5" t="n">
        <f aca="false">ITEM_MASTER_CLEAN!H128</f>
        <v>5</v>
      </c>
      <c r="I128" s="5" t="n">
        <f aca="false">ITEM_MASTER_CLEAN!I128</f>
        <v>1</v>
      </c>
      <c r="J128" s="5" t="str">
        <f aca="false">IF(H128&lt;F128,"YES","")</f>
        <v/>
      </c>
      <c r="K128" s="5" t="str">
        <f aca="false">IF(I128&lt;G128,"YES","")</f>
        <v>YES</v>
      </c>
      <c r="L128" s="5" t="n">
        <f aca="false">IF(J128="YES",MAX(CEILING(F128-H128,E128),0),0)</f>
        <v>0</v>
      </c>
      <c r="M128" s="5" t="n">
        <f aca="false">IF(K128="YES",MAX(CEILING(G128-I128,E128),0),0)</f>
        <v>6</v>
      </c>
      <c r="N128" s="12" t="n">
        <f aca="false">L128*D128</f>
        <v>0</v>
      </c>
      <c r="O128" s="12" t="n">
        <f aca="false">M128*D128</f>
        <v>270.12</v>
      </c>
      <c r="P128" s="12" t="n">
        <f aca="false">P127+N128+O128</f>
        <v>33130</v>
      </c>
      <c r="Q128" s="5" t="str">
        <f aca="false">IF(P128&lt;=CashCap,"YES","OVER CAP")</f>
        <v>OVER CAP</v>
      </c>
      <c r="R128" s="5" t="str">
        <f aca="false">IF(LowCashMode="OFF","Normal Mode",IF(AND(OR(J128="YES",K128="YES"),Q128="YES"),"BUY NOW",IF(OR(J128="YES",K128="YES"),"DEFERRED","—")))</f>
        <v>Normal Mode</v>
      </c>
    </row>
    <row r="129" customFormat="false" ht="15" hidden="false" customHeight="false" outlineLevel="0" collapsed="false">
      <c r="A129" s="5" t="n">
        <f aca="false">ITEM_MASTER_CLEAN!A129</f>
        <v>128</v>
      </c>
      <c r="B129" s="5" t="n">
        <f aca="false">ITEM_MASTER_CLEAN!B129</f>
        <v>19648</v>
      </c>
      <c r="C129" s="5" t="str">
        <f aca="false">ITEM_MASTER_CLEAN!C129</f>
        <v>MTY DIP COOKIE DOUGH 6X1K</v>
      </c>
      <c r="D129" s="12" t="n">
        <f aca="false">ITEM_MASTER_CLEAN!F129</f>
        <v>45.3</v>
      </c>
      <c r="E129" s="5" t="n">
        <f aca="false">ITEM_MASTER_CLEAN!G129</f>
        <v>6</v>
      </c>
      <c r="F129" s="5" t="n">
        <f aca="false">DEMAND_MODEL!K129*SafetyDays</f>
        <v>2.14285714285714</v>
      </c>
      <c r="G129" s="5" t="n">
        <f aca="false">DEMAND_MODEL!L129*SafetyDays</f>
        <v>2.14285714285714</v>
      </c>
      <c r="H129" s="5" t="n">
        <f aca="false">ITEM_MASTER_CLEAN!H129</f>
        <v>1</v>
      </c>
      <c r="I129" s="5" t="n">
        <f aca="false">ITEM_MASTER_CLEAN!I129</f>
        <v>3</v>
      </c>
      <c r="J129" s="5" t="str">
        <f aca="false">IF(H129&lt;F129,"YES","")</f>
        <v>YES</v>
      </c>
      <c r="K129" s="5" t="str">
        <f aca="false">IF(I129&lt;G129,"YES","")</f>
        <v/>
      </c>
      <c r="L129" s="5" t="n">
        <f aca="false">IF(J129="YES",MAX(CEILING(F129-H129,E129),0),0)</f>
        <v>6</v>
      </c>
      <c r="M129" s="5" t="n">
        <f aca="false">IF(K129="YES",MAX(CEILING(G129-I129,E129),0),0)</f>
        <v>0</v>
      </c>
      <c r="N129" s="12" t="n">
        <f aca="false">L129*D129</f>
        <v>271.8</v>
      </c>
      <c r="O129" s="12" t="n">
        <f aca="false">M129*D129</f>
        <v>0</v>
      </c>
      <c r="P129" s="12" t="n">
        <f aca="false">P128+N129+O129</f>
        <v>33401.8</v>
      </c>
      <c r="Q129" s="5" t="str">
        <f aca="false">IF(P129&lt;=CashCap,"YES","OVER CAP")</f>
        <v>OVER CAP</v>
      </c>
      <c r="R129" s="5" t="str">
        <f aca="false">IF(LowCashMode="OFF","Normal Mode",IF(AND(OR(J129="YES",K129="YES"),Q129="YES"),"BUY NOW",IF(OR(J129="YES",K129="YES"),"DEFERRED","—")))</f>
        <v>Normal Mode</v>
      </c>
    </row>
    <row r="130" customFormat="false" ht="15" hidden="false" customHeight="false" outlineLevel="0" collapsed="false">
      <c r="A130" s="5" t="n">
        <f aca="false">ITEM_MASTER_CLEAN!A130</f>
        <v>129</v>
      </c>
      <c r="B130" s="5" t="n">
        <f aca="false">ITEM_MASTER_CLEAN!B130</f>
        <v>24762</v>
      </c>
      <c r="C130" s="5" t="str">
        <f aca="false">ITEM_MASTER_CLEAN!C130</f>
        <v>MTY DIP PISTACHIO 6X1K</v>
      </c>
      <c r="D130" s="12" t="n">
        <f aca="false">ITEM_MASTER_CLEAN!F130</f>
        <v>38.91</v>
      </c>
      <c r="E130" s="5" t="n">
        <f aca="false">ITEM_MASTER_CLEAN!G130</f>
        <v>6</v>
      </c>
      <c r="F130" s="5" t="n">
        <f aca="false">DEMAND_MODEL!K130*SafetyDays</f>
        <v>1.28571428571429</v>
      </c>
      <c r="G130" s="5" t="n">
        <f aca="false">DEMAND_MODEL!L130*SafetyDays</f>
        <v>0.857142857142857</v>
      </c>
      <c r="H130" s="5" t="n">
        <f aca="false">ITEM_MASTER_CLEAN!H130</f>
        <v>8</v>
      </c>
      <c r="I130" s="5" t="n">
        <f aca="false">ITEM_MASTER_CLEAN!I130</f>
        <v>0</v>
      </c>
      <c r="J130" s="5" t="str">
        <f aca="false">IF(H130&lt;F130,"YES","")</f>
        <v/>
      </c>
      <c r="K130" s="5" t="str">
        <f aca="false">IF(I130&lt;G130,"YES","")</f>
        <v>YES</v>
      </c>
      <c r="L130" s="5" t="n">
        <f aca="false">IF(J130="YES",MAX(CEILING(F130-H130,E130),0),0)</f>
        <v>0</v>
      </c>
      <c r="M130" s="5" t="n">
        <f aca="false">IF(K130="YES",MAX(CEILING(G130-I130,E130),0),0)</f>
        <v>6</v>
      </c>
      <c r="N130" s="12" t="n">
        <f aca="false">L130*D130</f>
        <v>0</v>
      </c>
      <c r="O130" s="12" t="n">
        <f aca="false">M130*D130</f>
        <v>233.46</v>
      </c>
      <c r="P130" s="12" t="n">
        <f aca="false">P129+N130+O130</f>
        <v>33635.26</v>
      </c>
      <c r="Q130" s="5" t="str">
        <f aca="false">IF(P130&lt;=CashCap,"YES","OVER CAP")</f>
        <v>OVER CAP</v>
      </c>
      <c r="R130" s="5" t="str">
        <f aca="false">IF(LowCashMode="OFF","Normal Mode",IF(AND(OR(J130="YES",K130="YES"),Q130="YES"),"BUY NOW",IF(OR(J130="YES",K130="YES"),"DEFERRED","—")))</f>
        <v>Normal Mode</v>
      </c>
    </row>
    <row r="131" customFormat="false" ht="15" hidden="false" customHeight="false" outlineLevel="0" collapsed="false">
      <c r="A131" s="5" t="n">
        <f aca="false">ITEM_MASTER_CLEAN!A131</f>
        <v>130</v>
      </c>
      <c r="B131" s="5" t="n">
        <f aca="false">ITEM_MASTER_CLEAN!B131</f>
        <v>19649</v>
      </c>
      <c r="C131" s="5" t="str">
        <f aca="false">ITEM_MASTER_CLEAN!C131</f>
        <v>MTY DIP PRALINE/HAZLENUT 6X1K</v>
      </c>
      <c r="D131" s="12" t="n">
        <f aca="false">ITEM_MASTER_CLEAN!F131</f>
        <v>43.62</v>
      </c>
      <c r="E131" s="5" t="n">
        <f aca="false">ITEM_MASTER_CLEAN!G131</f>
        <v>6</v>
      </c>
      <c r="F131" s="5" t="n">
        <f aca="false">DEMAND_MODEL!K131*SafetyDays</f>
        <v>3.42857142857143</v>
      </c>
      <c r="G131" s="5" t="n">
        <f aca="false">DEMAND_MODEL!L131*SafetyDays</f>
        <v>0.857142857142857</v>
      </c>
      <c r="H131" s="5" t="n">
        <f aca="false">ITEM_MASTER_CLEAN!H131</f>
        <v>5</v>
      </c>
      <c r="I131" s="5" t="n">
        <f aca="false">ITEM_MASTER_CLEAN!I131</f>
        <v>1</v>
      </c>
      <c r="J131" s="5" t="str">
        <f aca="false">IF(H131&lt;F131,"YES","")</f>
        <v/>
      </c>
      <c r="K131" s="5" t="str">
        <f aca="false">IF(I131&lt;G131,"YES","")</f>
        <v/>
      </c>
      <c r="L131" s="5" t="n">
        <f aca="false">IF(J131="YES",MAX(CEILING(F131-H131,E131),0),0)</f>
        <v>0</v>
      </c>
      <c r="M131" s="5" t="n">
        <f aca="false">IF(K131="YES",MAX(CEILING(G131-I131,E131),0),0)</f>
        <v>0</v>
      </c>
      <c r="N131" s="12" t="n">
        <f aca="false">L131*D131</f>
        <v>0</v>
      </c>
      <c r="O131" s="12" t="n">
        <f aca="false">M131*D131</f>
        <v>0</v>
      </c>
      <c r="P131" s="12" t="n">
        <f aca="false">P130+N131+O131</f>
        <v>33635.26</v>
      </c>
      <c r="Q131" s="5" t="str">
        <f aca="false">IF(P131&lt;=CashCap,"YES","OVER CAP")</f>
        <v>OVER CAP</v>
      </c>
      <c r="R131" s="5" t="str">
        <f aca="false">IF(LowCashMode="OFF","Normal Mode",IF(AND(OR(J131="YES",K131="YES"),Q131="YES"),"BUY NOW",IF(OR(J131="YES",K131="YES"),"DEFERRED","—")))</f>
        <v>Normal Mode</v>
      </c>
    </row>
    <row r="132" customFormat="false" ht="15" hidden="false" customHeight="false" outlineLevel="0" collapsed="false">
      <c r="A132" s="5" t="n">
        <f aca="false">ITEM_MASTER_CLEAN!A132</f>
        <v>131</v>
      </c>
      <c r="B132" s="5" t="n">
        <f aca="false">ITEM_MASTER_CLEAN!B132</f>
        <v>19594</v>
      </c>
      <c r="C132" s="5" t="str">
        <f aca="false">ITEM_MASTER_CLEAN!C132</f>
        <v>MTY DIP RED VELVET 6X1K</v>
      </c>
      <c r="D132" s="12" t="n">
        <f aca="false">ITEM_MASTER_CLEAN!F132</f>
        <v>38.51</v>
      </c>
      <c r="E132" s="5" t="n">
        <f aca="false">ITEM_MASTER_CLEAN!G132</f>
        <v>6</v>
      </c>
      <c r="F132" s="5" t="n">
        <f aca="false">DEMAND_MODEL!K132*SafetyDays</f>
        <v>2.14285714285714</v>
      </c>
      <c r="G132" s="5" t="n">
        <f aca="false">DEMAND_MODEL!L132*SafetyDays</f>
        <v>2.57142857142857</v>
      </c>
      <c r="H132" s="5" t="n">
        <f aca="false">ITEM_MASTER_CLEAN!H132</f>
        <v>16</v>
      </c>
      <c r="I132" s="5" t="n">
        <f aca="false">ITEM_MASTER_CLEAN!I132</f>
        <v>2</v>
      </c>
      <c r="J132" s="5" t="str">
        <f aca="false">IF(H132&lt;F132,"YES","")</f>
        <v/>
      </c>
      <c r="K132" s="5" t="str">
        <f aca="false">IF(I132&lt;G132,"YES","")</f>
        <v>YES</v>
      </c>
      <c r="L132" s="5" t="n">
        <f aca="false">IF(J132="YES",MAX(CEILING(F132-H132,E132),0),0)</f>
        <v>0</v>
      </c>
      <c r="M132" s="5" t="n">
        <f aca="false">IF(K132="YES",MAX(CEILING(G132-I132,E132),0),0)</f>
        <v>6</v>
      </c>
      <c r="N132" s="12" t="n">
        <f aca="false">L132*D132</f>
        <v>0</v>
      </c>
      <c r="O132" s="12" t="n">
        <f aca="false">M132*D132</f>
        <v>231.06</v>
      </c>
      <c r="P132" s="12" t="n">
        <f aca="false">P131+N132+O132</f>
        <v>33866.32</v>
      </c>
      <c r="Q132" s="5" t="str">
        <f aca="false">IF(P132&lt;=CashCap,"YES","OVER CAP")</f>
        <v>OVER CAP</v>
      </c>
      <c r="R132" s="5" t="str">
        <f aca="false">IF(LowCashMode="OFF","Normal Mode",IF(AND(OR(J132="YES",K132="YES"),Q132="YES"),"BUY NOW",IF(OR(J132="YES",K132="YES"),"DEFERRED","—")))</f>
        <v>Normal Mode</v>
      </c>
    </row>
    <row r="133" customFormat="false" ht="15" hidden="false" customHeight="false" outlineLevel="0" collapsed="false">
      <c r="A133" s="5" t="n">
        <f aca="false">ITEM_MASTER_CLEAN!A133</f>
        <v>132</v>
      </c>
      <c r="B133" s="5" t="n">
        <f aca="false">ITEM_MASTER_CLEAN!B133</f>
        <v>24434</v>
      </c>
      <c r="C133" s="5" t="str">
        <f aca="false">ITEM_MASTER_CLEAN!C133</f>
        <v>MTY DIP SMORES 6X1K</v>
      </c>
      <c r="D133" s="12" t="n">
        <f aca="false">ITEM_MASTER_CLEAN!F133</f>
        <v>41.5</v>
      </c>
      <c r="E133" s="5" t="n">
        <f aca="false">ITEM_MASTER_CLEAN!G133</f>
        <v>6</v>
      </c>
      <c r="F133" s="5" t="n">
        <f aca="false">DEMAND_MODEL!K133*SafetyDays</f>
        <v>3</v>
      </c>
      <c r="G133" s="5" t="n">
        <f aca="false">DEMAND_MODEL!L133*SafetyDays</f>
        <v>1.71428571428571</v>
      </c>
      <c r="H133" s="5" t="n">
        <f aca="false">ITEM_MASTER_CLEAN!H133</f>
        <v>10</v>
      </c>
      <c r="I133" s="5" t="n">
        <f aca="false">ITEM_MASTER_CLEAN!I133</f>
        <v>6</v>
      </c>
      <c r="J133" s="5" t="str">
        <f aca="false">IF(H133&lt;F133,"YES","")</f>
        <v/>
      </c>
      <c r="K133" s="5" t="str">
        <f aca="false">IF(I133&lt;G133,"YES","")</f>
        <v/>
      </c>
      <c r="L133" s="5" t="n">
        <f aca="false">IF(J133="YES",MAX(CEILING(F133-H133,E133),0),0)</f>
        <v>0</v>
      </c>
      <c r="M133" s="5" t="n">
        <f aca="false">IF(K133="YES",MAX(CEILING(G133-I133,E133),0),0)</f>
        <v>0</v>
      </c>
      <c r="N133" s="12" t="n">
        <f aca="false">L133*D133</f>
        <v>0</v>
      </c>
      <c r="O133" s="12" t="n">
        <f aca="false">M133*D133</f>
        <v>0</v>
      </c>
      <c r="P133" s="12" t="n">
        <f aca="false">P132+N133+O133</f>
        <v>33866.32</v>
      </c>
      <c r="Q133" s="5" t="str">
        <f aca="false">IF(P133&lt;=CashCap,"YES","OVER CAP")</f>
        <v>OVER CAP</v>
      </c>
      <c r="R133" s="5" t="str">
        <f aca="false">IF(LowCashMode="OFF","Normal Mode",IF(AND(OR(J133="YES",K133="YES"),Q133="YES"),"BUY NOW",IF(OR(J133="YES",K133="YES"),"DEFERRED","—")))</f>
        <v>Normal Mode</v>
      </c>
    </row>
    <row r="134" customFormat="false" ht="15" hidden="false" customHeight="false" outlineLevel="0" collapsed="false">
      <c r="A134" s="5" t="n">
        <f aca="false">ITEM_MASTER_CLEAN!A134</f>
        <v>133</v>
      </c>
      <c r="B134" s="5" t="n">
        <f aca="false">ITEM_MASTER_CLEAN!B134</f>
        <v>19651</v>
      </c>
      <c r="C134" s="5" t="str">
        <f aca="false">ITEM_MASTER_CLEAN!C134</f>
        <v>MTY DIP BUENO 6X1K</v>
      </c>
      <c r="D134" s="12" t="n">
        <f aca="false">ITEM_MASTER_CLEAN!F134</f>
        <v>45.67</v>
      </c>
      <c r="E134" s="5" t="n">
        <f aca="false">ITEM_MASTER_CLEAN!G134</f>
        <v>6</v>
      </c>
      <c r="F134" s="5" t="n">
        <f aca="false">DEMAND_MODEL!K134*SafetyDays</f>
        <v>3</v>
      </c>
      <c r="G134" s="5" t="n">
        <f aca="false">DEMAND_MODEL!L134*SafetyDays</f>
        <v>2.57142857142857</v>
      </c>
      <c r="H134" s="5" t="n">
        <f aca="false">ITEM_MASTER_CLEAN!H134</f>
        <v>28</v>
      </c>
      <c r="I134" s="5" t="n">
        <f aca="false">ITEM_MASTER_CLEAN!I134</f>
        <v>25</v>
      </c>
      <c r="J134" s="5" t="str">
        <f aca="false">IF(H134&lt;F134,"YES","")</f>
        <v/>
      </c>
      <c r="K134" s="5" t="str">
        <f aca="false">IF(I134&lt;G134,"YES","")</f>
        <v/>
      </c>
      <c r="L134" s="5" t="n">
        <f aca="false">IF(J134="YES",MAX(CEILING(F134-H134,E134),0),0)</f>
        <v>0</v>
      </c>
      <c r="M134" s="5" t="n">
        <f aca="false">IF(K134="YES",MAX(CEILING(G134-I134,E134),0),0)</f>
        <v>0</v>
      </c>
      <c r="N134" s="12" t="n">
        <f aca="false">L134*D134</f>
        <v>0</v>
      </c>
      <c r="O134" s="12" t="n">
        <f aca="false">M134*D134</f>
        <v>0</v>
      </c>
      <c r="P134" s="12" t="n">
        <f aca="false">P133+N134+O134</f>
        <v>33866.32</v>
      </c>
      <c r="Q134" s="5" t="str">
        <f aca="false">IF(P134&lt;=CashCap,"YES","OVER CAP")</f>
        <v>OVER CAP</v>
      </c>
      <c r="R134" s="5" t="str">
        <f aca="false">IF(LowCashMode="OFF","Normal Mode",IF(AND(OR(J134="YES",K134="YES"),Q134="YES"),"BUY NOW",IF(OR(J134="YES",K134="YES"),"DEFERRED","—")))</f>
        <v>Normal Mode</v>
      </c>
    </row>
    <row r="135" customFormat="false" ht="15" hidden="false" customHeight="false" outlineLevel="0" collapsed="false">
      <c r="A135" s="5" t="n">
        <f aca="false">ITEM_MASTER_CLEAN!A135</f>
        <v>134</v>
      </c>
      <c r="B135" s="5" t="n">
        <f aca="false">ITEM_MASTER_CLEAN!B135</f>
        <v>19652</v>
      </c>
      <c r="C135" s="5" t="str">
        <f aca="false">ITEM_MASTER_CLEAN!C135</f>
        <v>MTY DIP LOTUS BISCOFF 6X1K</v>
      </c>
      <c r="D135" s="12" t="n">
        <f aca="false">ITEM_MASTER_CLEAN!F135</f>
        <v>38.29</v>
      </c>
      <c r="E135" s="5" t="n">
        <f aca="false">ITEM_MASTER_CLEAN!G135</f>
        <v>6</v>
      </c>
      <c r="F135" s="5" t="n">
        <f aca="false">DEMAND_MODEL!K135*SafetyDays</f>
        <v>2.14285714285714</v>
      </c>
      <c r="G135" s="5" t="n">
        <f aca="false">DEMAND_MODEL!L135*SafetyDays</f>
        <v>1.71428571428571</v>
      </c>
      <c r="H135" s="5" t="n">
        <f aca="false">ITEM_MASTER_CLEAN!H135</f>
        <v>17</v>
      </c>
      <c r="I135" s="5" t="n">
        <f aca="false">ITEM_MASTER_CLEAN!I135</f>
        <v>0</v>
      </c>
      <c r="J135" s="5" t="str">
        <f aca="false">IF(H135&lt;F135,"YES","")</f>
        <v/>
      </c>
      <c r="K135" s="5" t="str">
        <f aca="false">IF(I135&lt;G135,"YES","")</f>
        <v>YES</v>
      </c>
      <c r="L135" s="5" t="n">
        <f aca="false">IF(J135="YES",MAX(CEILING(F135-H135,E135),0),0)</f>
        <v>0</v>
      </c>
      <c r="M135" s="5" t="n">
        <f aca="false">IF(K135="YES",MAX(CEILING(G135-I135,E135),0),0)</f>
        <v>6</v>
      </c>
      <c r="N135" s="12" t="n">
        <f aca="false">L135*D135</f>
        <v>0</v>
      </c>
      <c r="O135" s="12" t="n">
        <f aca="false">M135*D135</f>
        <v>229.74</v>
      </c>
      <c r="P135" s="12" t="n">
        <f aca="false">P134+N135+O135</f>
        <v>34096.06</v>
      </c>
      <c r="Q135" s="5" t="str">
        <f aca="false">IF(P135&lt;=CashCap,"YES","OVER CAP")</f>
        <v>OVER CAP</v>
      </c>
      <c r="R135" s="5" t="str">
        <f aca="false">IF(LowCashMode="OFF","Normal Mode",IF(AND(OR(J135="YES",K135="YES"),Q135="YES"),"BUY NOW",IF(OR(J135="YES",K135="YES"),"DEFERRED","—")))</f>
        <v>Normal Mode</v>
      </c>
    </row>
    <row r="136" customFormat="false" ht="15" hidden="false" customHeight="false" outlineLevel="0" collapsed="false">
      <c r="A136" s="5" t="n">
        <f aca="false">ITEM_MASTER_CLEAN!A136</f>
        <v>135</v>
      </c>
      <c r="B136" s="5" t="n">
        <f aca="false">ITEM_MASTER_CLEAN!B136</f>
        <v>24775</v>
      </c>
      <c r="C136" s="5" t="str">
        <f aca="false">ITEM_MASTER_CLEAN!C136</f>
        <v>MTY LIQUIFIANT 6X700G</v>
      </c>
      <c r="D136" s="12" t="n">
        <f aca="false">ITEM_MASTER_CLEAN!F136</f>
        <v>46.82</v>
      </c>
      <c r="E136" s="5" t="n">
        <f aca="false">ITEM_MASTER_CLEAN!G136</f>
        <v>6</v>
      </c>
      <c r="F136" s="5" t="n">
        <f aca="false">DEMAND_MODEL!K136*SafetyDays</f>
        <v>1.71428571428571</v>
      </c>
      <c r="G136" s="5" t="n">
        <f aca="false">DEMAND_MODEL!L136*SafetyDays</f>
        <v>1.28571428571429</v>
      </c>
      <c r="H136" s="5" t="n">
        <f aca="false">ITEM_MASTER_CLEAN!H136</f>
        <v>6</v>
      </c>
      <c r="I136" s="5" t="n">
        <f aca="false">ITEM_MASTER_CLEAN!I136</f>
        <v>4</v>
      </c>
      <c r="J136" s="5" t="str">
        <f aca="false">IF(H136&lt;F136,"YES","")</f>
        <v/>
      </c>
      <c r="K136" s="5" t="str">
        <f aca="false">IF(I136&lt;G136,"YES","")</f>
        <v/>
      </c>
      <c r="L136" s="5" t="n">
        <f aca="false">IF(J136="YES",MAX(CEILING(F136-H136,E136),0),0)</f>
        <v>0</v>
      </c>
      <c r="M136" s="5" t="n">
        <f aca="false">IF(K136="YES",MAX(CEILING(G136-I136,E136),0),0)</f>
        <v>0</v>
      </c>
      <c r="N136" s="12" t="n">
        <f aca="false">L136*D136</f>
        <v>0</v>
      </c>
      <c r="O136" s="12" t="n">
        <f aca="false">M136*D136</f>
        <v>0</v>
      </c>
      <c r="P136" s="12" t="n">
        <f aca="false">P135+N136+O136</f>
        <v>34096.06</v>
      </c>
      <c r="Q136" s="5" t="str">
        <f aca="false">IF(P136&lt;=CashCap,"YES","OVER CAP")</f>
        <v>OVER CAP</v>
      </c>
      <c r="R136" s="5" t="str">
        <f aca="false">IF(LowCashMode="OFF","Normal Mode",IF(AND(OR(J136="YES",K136="YES"),Q136="YES"),"BUY NOW",IF(OR(J136="YES",K136="YES"),"DEFERRED","—")))</f>
        <v>Normal Mode</v>
      </c>
    </row>
    <row r="137" customFormat="false" ht="15" hidden="false" customHeight="false" outlineLevel="0" collapsed="false">
      <c r="A137" s="5" t="n">
        <f aca="false">ITEM_MASTER_CLEAN!A137</f>
        <v>136</v>
      </c>
      <c r="B137" s="5" t="n">
        <f aca="false">ITEM_MASTER_CLEAN!B137</f>
        <v>50346</v>
      </c>
      <c r="C137" s="5" t="str">
        <f aca="false">ITEM_MASTER_CLEAN!C137</f>
        <v>MTY CONE SOFT #55 SML 920</v>
      </c>
      <c r="D137" s="12" t="n">
        <f aca="false">ITEM_MASTER_CLEAN!F137</f>
        <v>38.97</v>
      </c>
      <c r="E137" s="5" t="n">
        <f aca="false">ITEM_MASTER_CLEAN!G137</f>
        <v>1</v>
      </c>
      <c r="F137" s="5" t="n">
        <f aca="false">DEMAND_MODEL!K137*SafetyDays</f>
        <v>2.14285714285714</v>
      </c>
      <c r="G137" s="5" t="n">
        <f aca="false">DEMAND_MODEL!L137*SafetyDays</f>
        <v>1.28571428571429</v>
      </c>
      <c r="H137" s="5" t="n">
        <f aca="false">ITEM_MASTER_CLEAN!H137</f>
        <v>16</v>
      </c>
      <c r="I137" s="5" t="n">
        <f aca="false">ITEM_MASTER_CLEAN!I137</f>
        <v>0</v>
      </c>
      <c r="J137" s="5" t="str">
        <f aca="false">IF(H137&lt;F137,"YES","")</f>
        <v/>
      </c>
      <c r="K137" s="5" t="str">
        <f aca="false">IF(I137&lt;G137,"YES","")</f>
        <v>YES</v>
      </c>
      <c r="L137" s="5" t="n">
        <f aca="false">IF(J137="YES",MAX(CEILING(F137-H137,E137),0),0)</f>
        <v>0</v>
      </c>
      <c r="M137" s="5" t="n">
        <f aca="false">IF(K137="YES",MAX(CEILING(G137-I137,E137),0),0)</f>
        <v>2</v>
      </c>
      <c r="N137" s="12" t="n">
        <f aca="false">L137*D137</f>
        <v>0</v>
      </c>
      <c r="O137" s="12" t="n">
        <f aca="false">M137*D137</f>
        <v>77.94</v>
      </c>
      <c r="P137" s="12" t="n">
        <f aca="false">P136+N137+O137</f>
        <v>34174</v>
      </c>
      <c r="Q137" s="5" t="str">
        <f aca="false">IF(P137&lt;=CashCap,"YES","OVER CAP")</f>
        <v>OVER CAP</v>
      </c>
      <c r="R137" s="5" t="str">
        <f aca="false">IF(LowCashMode="OFF","Normal Mode",IF(AND(OR(J137="YES",K137="YES"),Q137="YES"),"BUY NOW",IF(OR(J137="YES",K137="YES"),"DEFERRED","—")))</f>
        <v>Normal Mode</v>
      </c>
    </row>
    <row r="138" customFormat="false" ht="15" hidden="false" customHeight="false" outlineLevel="0" collapsed="false">
      <c r="A138" s="5" t="n">
        <f aca="false">ITEM_MASTER_CLEAN!A138</f>
        <v>137</v>
      </c>
      <c r="B138" s="5" t="n">
        <f aca="false">ITEM_MASTER_CLEAN!B138</f>
        <v>50335</v>
      </c>
      <c r="C138" s="5" t="str">
        <f aca="false">ITEM_MASTER_CLEAN!C138</f>
        <v>MTY CONE SOFT REG #59 10X100UN</v>
      </c>
      <c r="D138" s="12" t="n">
        <f aca="false">ITEM_MASTER_CLEAN!F138</f>
        <v>34.39</v>
      </c>
      <c r="E138" s="5" t="n">
        <f aca="false">ITEM_MASTER_CLEAN!G138</f>
        <v>10</v>
      </c>
      <c r="F138" s="5" t="n">
        <f aca="false">DEMAND_MODEL!K138*SafetyDays</f>
        <v>4.28571428571429</v>
      </c>
      <c r="G138" s="5" t="n">
        <f aca="false">DEMAND_MODEL!L138*SafetyDays</f>
        <v>2.14285714285714</v>
      </c>
      <c r="H138" s="5" t="n">
        <f aca="false">ITEM_MASTER_CLEAN!H138</f>
        <v>35</v>
      </c>
      <c r="I138" s="5" t="n">
        <f aca="false">ITEM_MASTER_CLEAN!I138</f>
        <v>1</v>
      </c>
      <c r="J138" s="5" t="str">
        <f aca="false">IF(H138&lt;F138,"YES","")</f>
        <v/>
      </c>
      <c r="K138" s="5" t="str">
        <f aca="false">IF(I138&lt;G138,"YES","")</f>
        <v>YES</v>
      </c>
      <c r="L138" s="5" t="n">
        <f aca="false">IF(J138="YES",MAX(CEILING(F138-H138,E138),0),0)</f>
        <v>0</v>
      </c>
      <c r="M138" s="5" t="n">
        <f aca="false">IF(K138="YES",MAX(CEILING(G138-I138,E138),0),0)</f>
        <v>10</v>
      </c>
      <c r="N138" s="12" t="n">
        <f aca="false">L138*D138</f>
        <v>0</v>
      </c>
      <c r="O138" s="12" t="n">
        <f aca="false">M138*D138</f>
        <v>343.9</v>
      </c>
      <c r="P138" s="12" t="n">
        <f aca="false">P137+N138+O138</f>
        <v>34517.9</v>
      </c>
      <c r="Q138" s="5" t="str">
        <f aca="false">IF(P138&lt;=CashCap,"YES","OVER CAP")</f>
        <v>OVER CAP</v>
      </c>
      <c r="R138" s="5" t="str">
        <f aca="false">IF(LowCashMode="OFF","Normal Mode",IF(AND(OR(J138="YES",K138="YES"),Q138="YES"),"BUY NOW",IF(OR(J138="YES",K138="YES"),"DEFERRED","—")))</f>
        <v>Normal Mode</v>
      </c>
    </row>
    <row r="139" customFormat="false" ht="15" hidden="false" customHeight="false" outlineLevel="0" collapsed="false">
      <c r="A139" s="5" t="n">
        <f aca="false">ITEM_MASTER_CLEAN!A139</f>
        <v>138</v>
      </c>
      <c r="B139" s="5" t="n">
        <f aca="false">ITEM_MASTER_CLEAN!B139</f>
        <v>34437</v>
      </c>
      <c r="C139" s="5" t="str">
        <f aca="false">ITEM_MASTER_CLEAN!C139</f>
        <v>CONE SUGAR #52 200UN</v>
      </c>
      <c r="D139" s="12" t="n">
        <f aca="false">ITEM_MASTER_CLEAN!F139</f>
        <v>32.23</v>
      </c>
      <c r="E139" s="5" t="n">
        <f aca="false">ITEM_MASTER_CLEAN!G139</f>
        <v>1</v>
      </c>
      <c r="F139" s="5" t="n">
        <f aca="false">DEMAND_MODEL!K139*SafetyDays</f>
        <v>2.14285714285714</v>
      </c>
      <c r="G139" s="5" t="n">
        <f aca="false">DEMAND_MODEL!L139*SafetyDays</f>
        <v>2.57142857142857</v>
      </c>
      <c r="H139" s="5" t="n">
        <f aca="false">ITEM_MASTER_CLEAN!H139</f>
        <v>5</v>
      </c>
      <c r="I139" s="5" t="n">
        <f aca="false">ITEM_MASTER_CLEAN!I139</f>
        <v>6</v>
      </c>
      <c r="J139" s="5" t="str">
        <f aca="false">IF(H139&lt;F139,"YES","")</f>
        <v/>
      </c>
      <c r="K139" s="5" t="str">
        <f aca="false">IF(I139&lt;G139,"YES","")</f>
        <v/>
      </c>
      <c r="L139" s="5" t="n">
        <f aca="false">IF(J139="YES",MAX(CEILING(F139-H139,E139),0),0)</f>
        <v>0</v>
      </c>
      <c r="M139" s="5" t="n">
        <f aca="false">IF(K139="YES",MAX(CEILING(G139-I139,E139),0),0)</f>
        <v>0</v>
      </c>
      <c r="N139" s="12" t="n">
        <f aca="false">L139*D139</f>
        <v>0</v>
      </c>
      <c r="O139" s="12" t="n">
        <f aca="false">M139*D139</f>
        <v>0</v>
      </c>
      <c r="P139" s="12" t="n">
        <f aca="false">P138+N139+O139</f>
        <v>34517.9</v>
      </c>
      <c r="Q139" s="5" t="str">
        <f aca="false">IF(P139&lt;=CashCap,"YES","OVER CAP")</f>
        <v>OVER CAP</v>
      </c>
      <c r="R139" s="5" t="str">
        <f aca="false">IF(LowCashMode="OFF","Normal Mode",IF(AND(OR(J139="YES",K139="YES"),Q139="YES"),"BUY NOW",IF(OR(J139="YES",K139="YES"),"DEFERRED","—")))</f>
        <v>Normal Mode</v>
      </c>
    </row>
    <row r="140" customFormat="false" ht="15" hidden="false" customHeight="false" outlineLevel="0" collapsed="false">
      <c r="A140" s="5" t="n">
        <f aca="false">ITEM_MASTER_CLEAN!A140</f>
        <v>139</v>
      </c>
      <c r="B140" s="5" t="n">
        <f aca="false">ITEM_MASTER_CLEAN!B140</f>
        <v>50332</v>
      </c>
      <c r="C140" s="5" t="str">
        <f aca="false">ITEM_MASTER_CLEAN!C140</f>
        <v>WAFFLE CONE #60 312UN</v>
      </c>
      <c r="D140" s="12" t="n">
        <f aca="false">ITEM_MASTER_CLEAN!F140</f>
        <v>38.63</v>
      </c>
      <c r="E140" s="5" t="n">
        <f aca="false">ITEM_MASTER_CLEAN!G140</f>
        <v>1</v>
      </c>
      <c r="F140" s="5" t="n">
        <f aca="false">DEMAND_MODEL!K140*SafetyDays</f>
        <v>2.57142857142857</v>
      </c>
      <c r="G140" s="5" t="n">
        <f aca="false">DEMAND_MODEL!L140*SafetyDays</f>
        <v>1.71428571428571</v>
      </c>
      <c r="H140" s="5" t="n">
        <f aca="false">ITEM_MASTER_CLEAN!H140</f>
        <v>2</v>
      </c>
      <c r="I140" s="5" t="n">
        <f aca="false">ITEM_MASTER_CLEAN!I140</f>
        <v>1</v>
      </c>
      <c r="J140" s="5" t="str">
        <f aca="false">IF(H140&lt;F140,"YES","")</f>
        <v>YES</v>
      </c>
      <c r="K140" s="5" t="str">
        <f aca="false">IF(I140&lt;G140,"YES","")</f>
        <v>YES</v>
      </c>
      <c r="L140" s="5" t="n">
        <f aca="false">IF(J140="YES",MAX(CEILING(F140-H140,E140),0),0)</f>
        <v>1</v>
      </c>
      <c r="M140" s="5" t="n">
        <f aca="false">IF(K140="YES",MAX(CEILING(G140-I140,E140),0),0)</f>
        <v>1</v>
      </c>
      <c r="N140" s="12" t="n">
        <f aca="false">L140*D140</f>
        <v>38.63</v>
      </c>
      <c r="O140" s="12" t="n">
        <f aca="false">M140*D140</f>
        <v>38.63</v>
      </c>
      <c r="P140" s="12" t="n">
        <f aca="false">P139+N140+O140</f>
        <v>34595.16</v>
      </c>
      <c r="Q140" s="5" t="str">
        <f aca="false">IF(P140&lt;=CashCap,"YES","OVER CAP")</f>
        <v>OVER CAP</v>
      </c>
      <c r="R140" s="5" t="str">
        <f aca="false">IF(LowCashMode="OFF","Normal Mode",IF(AND(OR(J140="YES",K140="YES"),Q140="YES"),"BUY NOW",IF(OR(J140="YES",K140="YES"),"DEFERRED","—")))</f>
        <v>Normal Mode</v>
      </c>
    </row>
    <row r="141" customFormat="false" ht="15" hidden="false" customHeight="false" outlineLevel="0" collapsed="false">
      <c r="A141" s="5" t="n">
        <f aca="false">ITEM_MASTER_CLEAN!A141</f>
        <v>140</v>
      </c>
      <c r="B141" s="5" t="n">
        <f aca="false">ITEM_MASTER_CLEAN!B141</f>
        <v>14929</v>
      </c>
      <c r="C141" s="5" t="str">
        <f aca="false">ITEM_MASTER_CLEAN!C141</f>
        <v>BISC OREO GRINDED 24X450G</v>
      </c>
      <c r="D141" s="12" t="n">
        <f aca="false">ITEM_MASTER_CLEAN!F141</f>
        <v>39.85</v>
      </c>
      <c r="E141" s="5" t="n">
        <f aca="false">ITEM_MASTER_CLEAN!G141</f>
        <v>24</v>
      </c>
      <c r="F141" s="5" t="n">
        <f aca="false">DEMAND_MODEL!K141*SafetyDays</f>
        <v>1.71428571428571</v>
      </c>
      <c r="G141" s="5" t="n">
        <f aca="false">DEMAND_MODEL!L141*SafetyDays</f>
        <v>0.428571428571429</v>
      </c>
      <c r="H141" s="5" t="n">
        <f aca="false">ITEM_MASTER_CLEAN!H141</f>
        <v>1</v>
      </c>
      <c r="I141" s="5" t="n">
        <f aca="false">ITEM_MASTER_CLEAN!I141</f>
        <v>3</v>
      </c>
      <c r="J141" s="5" t="str">
        <f aca="false">IF(H141&lt;F141,"YES","")</f>
        <v>YES</v>
      </c>
      <c r="K141" s="5" t="str">
        <f aca="false">IF(I141&lt;G141,"YES","")</f>
        <v/>
      </c>
      <c r="L141" s="5" t="n">
        <f aca="false">IF(J141="YES",MAX(CEILING(F141-H141,E141),0),0)</f>
        <v>24</v>
      </c>
      <c r="M141" s="5" t="n">
        <f aca="false">IF(K141="YES",MAX(CEILING(G141-I141,E141),0),0)</f>
        <v>0</v>
      </c>
      <c r="N141" s="12" t="n">
        <f aca="false">L141*D141</f>
        <v>956.4</v>
      </c>
      <c r="O141" s="12" t="n">
        <f aca="false">M141*D141</f>
        <v>0</v>
      </c>
      <c r="P141" s="12" t="n">
        <f aca="false">P140+N141+O141</f>
        <v>35551.56</v>
      </c>
      <c r="Q141" s="5" t="str">
        <f aca="false">IF(P141&lt;=CashCap,"YES","OVER CAP")</f>
        <v>OVER CAP</v>
      </c>
      <c r="R141" s="5" t="str">
        <f aca="false">IF(LowCashMode="OFF","Normal Mode",IF(AND(OR(J141="YES",K141="YES"),Q141="YES"),"BUY NOW",IF(OR(J141="YES",K141="YES"),"DEFERRED","—")))</f>
        <v>Normal Mode</v>
      </c>
    </row>
    <row r="142" customFormat="false" ht="15" hidden="false" customHeight="false" outlineLevel="0" collapsed="false">
      <c r="A142" s="5" t="n">
        <f aca="false">ITEM_MASTER_CLEAN!A142</f>
        <v>141</v>
      </c>
      <c r="B142" s="5" t="n">
        <f aca="false">ITEM_MASTER_CLEAN!B142</f>
        <v>61647</v>
      </c>
      <c r="C142" s="5" t="str">
        <f aca="false">ITEM_MASTER_CLEAN!C142</f>
        <v>CANDY COTTON CANDY PCS 80252 10LB</v>
      </c>
      <c r="D142" s="12" t="n">
        <f aca="false">ITEM_MASTER_CLEAN!F142</f>
        <v>31.05</v>
      </c>
      <c r="E142" s="5" t="n">
        <f aca="false">ITEM_MASTER_CLEAN!G142</f>
        <v>1</v>
      </c>
      <c r="F142" s="5" t="n">
        <f aca="false">DEMAND_MODEL!K142*SafetyDays</f>
        <v>2.14285714285714</v>
      </c>
      <c r="G142" s="5" t="n">
        <f aca="false">DEMAND_MODEL!L142*SafetyDays</f>
        <v>1.28571428571429</v>
      </c>
      <c r="H142" s="5" t="n">
        <f aca="false">ITEM_MASTER_CLEAN!H142</f>
        <v>7</v>
      </c>
      <c r="I142" s="5" t="n">
        <f aca="false">ITEM_MASTER_CLEAN!I142</f>
        <v>4</v>
      </c>
      <c r="J142" s="5" t="str">
        <f aca="false">IF(H142&lt;F142,"YES","")</f>
        <v/>
      </c>
      <c r="K142" s="5" t="str">
        <f aca="false">IF(I142&lt;G142,"YES","")</f>
        <v/>
      </c>
      <c r="L142" s="5" t="n">
        <f aca="false">IF(J142="YES",MAX(CEILING(F142-H142,E142),0),0)</f>
        <v>0</v>
      </c>
      <c r="M142" s="5" t="n">
        <f aca="false">IF(K142="YES",MAX(CEILING(G142-I142,E142),0),0)</f>
        <v>0</v>
      </c>
      <c r="N142" s="12" t="n">
        <f aca="false">L142*D142</f>
        <v>0</v>
      </c>
      <c r="O142" s="12" t="n">
        <f aca="false">M142*D142</f>
        <v>0</v>
      </c>
      <c r="P142" s="12" t="n">
        <f aca="false">P141+N142+O142</f>
        <v>35551.56</v>
      </c>
      <c r="Q142" s="5" t="str">
        <f aca="false">IF(P142&lt;=CashCap,"YES","OVER CAP")</f>
        <v>OVER CAP</v>
      </c>
      <c r="R142" s="5" t="str">
        <f aca="false">IF(LowCashMode="OFF","Normal Mode",IF(AND(OR(J142="YES",K142="YES"),Q142="YES"),"BUY NOW",IF(OR(J142="YES",K142="YES"),"DEFERRED","—")))</f>
        <v>Normal Mode</v>
      </c>
    </row>
    <row r="143" customFormat="false" ht="15" hidden="false" customHeight="false" outlineLevel="0" collapsed="false">
      <c r="A143" s="5" t="n">
        <f aca="false">ITEM_MASTER_CLEAN!A143</f>
        <v>142</v>
      </c>
      <c r="B143" s="5" t="n">
        <f aca="false">ITEM_MASTER_CLEAN!B143</f>
        <v>23656</v>
      </c>
      <c r="C143" s="5" t="str">
        <f aca="false">ITEM_MASTER_CLEAN!C143</f>
        <v>CANDY GUMMIE BEAR ASS'T 1X1.5K</v>
      </c>
      <c r="D143" s="12" t="n">
        <f aca="false">ITEM_MASTER_CLEAN!F143</f>
        <v>55.43</v>
      </c>
      <c r="E143" s="5" t="n">
        <f aca="false">ITEM_MASTER_CLEAN!G143</f>
        <v>1</v>
      </c>
      <c r="F143" s="5" t="n">
        <f aca="false">DEMAND_MODEL!K143*SafetyDays</f>
        <v>1.71428571428571</v>
      </c>
      <c r="G143" s="5" t="n">
        <f aca="false">DEMAND_MODEL!L143*SafetyDays</f>
        <v>0.428571428571429</v>
      </c>
      <c r="H143" s="5" t="n">
        <f aca="false">ITEM_MASTER_CLEAN!H143</f>
        <v>1</v>
      </c>
      <c r="I143" s="5" t="n">
        <f aca="false">ITEM_MASTER_CLEAN!I143</f>
        <v>3</v>
      </c>
      <c r="J143" s="5" t="str">
        <f aca="false">IF(H143&lt;F143,"YES","")</f>
        <v>YES</v>
      </c>
      <c r="K143" s="5" t="str">
        <f aca="false">IF(I143&lt;G143,"YES","")</f>
        <v/>
      </c>
      <c r="L143" s="5" t="n">
        <f aca="false">IF(J143="YES",MAX(CEILING(F143-H143,E143),0),0)</f>
        <v>1</v>
      </c>
      <c r="M143" s="5" t="n">
        <f aca="false">IF(K143="YES",MAX(CEILING(G143-I143,E143),0),0)</f>
        <v>0</v>
      </c>
      <c r="N143" s="12" t="n">
        <f aca="false">L143*D143</f>
        <v>55.43</v>
      </c>
      <c r="O143" s="12" t="n">
        <f aca="false">M143*D143</f>
        <v>0</v>
      </c>
      <c r="P143" s="12" t="n">
        <f aca="false">P142+N143+O143</f>
        <v>35606.99</v>
      </c>
      <c r="Q143" s="5" t="str">
        <f aca="false">IF(P143&lt;=CashCap,"YES","OVER CAP")</f>
        <v>OVER CAP</v>
      </c>
      <c r="R143" s="5" t="str">
        <f aca="false">IF(LowCashMode="OFF","Normal Mode",IF(AND(OR(J143="YES",K143="YES"),Q143="YES"),"BUY NOW",IF(OR(J143="YES",K143="YES"),"DEFERRED","—")))</f>
        <v>Normal Mode</v>
      </c>
    </row>
    <row r="144" customFormat="false" ht="15" hidden="false" customHeight="false" outlineLevel="0" collapsed="false">
      <c r="A144" s="5" t="n">
        <f aca="false">ITEM_MASTER_CLEAN!A144</f>
        <v>143</v>
      </c>
      <c r="B144" s="5" t="n">
        <f aca="false">ITEM_MASTER_CLEAN!B144</f>
        <v>61654</v>
      </c>
      <c r="C144" s="5" t="str">
        <f aca="false">ITEM_MASTER_CLEAN!C144</f>
        <v>CANDY NERDS RAINBOW N390-100 2X5LB</v>
      </c>
      <c r="D144" s="12" t="n">
        <f aca="false">ITEM_MASTER_CLEAN!F144</f>
        <v>20.63</v>
      </c>
      <c r="E144" s="5" t="n">
        <f aca="false">ITEM_MASTER_CLEAN!G144</f>
        <v>2</v>
      </c>
      <c r="F144" s="5" t="n">
        <f aca="false">DEMAND_MODEL!K144*SafetyDays</f>
        <v>1.28571428571429</v>
      </c>
      <c r="G144" s="5" t="n">
        <f aca="false">DEMAND_MODEL!L144*SafetyDays</f>
        <v>0.428571428571429</v>
      </c>
      <c r="H144" s="5" t="n">
        <f aca="false">ITEM_MASTER_CLEAN!H144</f>
        <v>0</v>
      </c>
      <c r="I144" s="5" t="n">
        <f aca="false">ITEM_MASTER_CLEAN!I144</f>
        <v>0</v>
      </c>
      <c r="J144" s="5" t="str">
        <f aca="false">IF(H144&lt;F144,"YES","")</f>
        <v>YES</v>
      </c>
      <c r="K144" s="5" t="str">
        <f aca="false">IF(I144&lt;G144,"YES","")</f>
        <v>YES</v>
      </c>
      <c r="L144" s="5" t="n">
        <f aca="false">IF(J144="YES",MAX(CEILING(F144-H144,E144),0),0)</f>
        <v>2</v>
      </c>
      <c r="M144" s="5" t="n">
        <f aca="false">IF(K144="YES",MAX(CEILING(G144-I144,E144),0),0)</f>
        <v>2</v>
      </c>
      <c r="N144" s="12" t="n">
        <f aca="false">L144*D144</f>
        <v>41.26</v>
      </c>
      <c r="O144" s="12" t="n">
        <f aca="false">M144*D144</f>
        <v>41.26</v>
      </c>
      <c r="P144" s="12" t="n">
        <f aca="false">P143+N144+O144</f>
        <v>35689.51</v>
      </c>
      <c r="Q144" s="5" t="str">
        <f aca="false">IF(P144&lt;=CashCap,"YES","OVER CAP")</f>
        <v>OVER CAP</v>
      </c>
      <c r="R144" s="5" t="str">
        <f aca="false">IF(LowCashMode="OFF","Normal Mode",IF(AND(OR(J144="YES",K144="YES"),Q144="YES"),"BUY NOW",IF(OR(J144="YES",K144="YES"),"DEFERRED","—")))</f>
        <v>Normal Mode</v>
      </c>
    </row>
    <row r="145" customFormat="false" ht="15" hidden="false" customHeight="false" outlineLevel="0" collapsed="false">
      <c r="A145" s="5" t="n">
        <f aca="false">ITEM_MASTER_CLEAN!A145</f>
        <v>144</v>
      </c>
      <c r="B145" s="5" t="n">
        <f aca="false">ITEM_MASTER_CLEAN!B145</f>
        <v>14624</v>
      </c>
      <c r="C145" s="5" t="str">
        <f aca="false">ITEM_MASTER_CLEAN!C145</f>
        <v>CRUMB GRAHAM DARE 5K</v>
      </c>
      <c r="D145" s="12" t="n">
        <f aca="false">ITEM_MASTER_CLEAN!F145</f>
        <v>49.46</v>
      </c>
      <c r="E145" s="5" t="n">
        <f aca="false">ITEM_MASTER_CLEAN!G145</f>
        <v>1</v>
      </c>
      <c r="F145" s="5" t="n">
        <f aca="false">DEMAND_MODEL!K145*SafetyDays</f>
        <v>1.28571428571429</v>
      </c>
      <c r="G145" s="5" t="n">
        <f aca="false">DEMAND_MODEL!L145*SafetyDays</f>
        <v>0.857142857142857</v>
      </c>
      <c r="H145" s="5" t="n">
        <f aca="false">ITEM_MASTER_CLEAN!H145</f>
        <v>10</v>
      </c>
      <c r="I145" s="5" t="n">
        <f aca="false">ITEM_MASTER_CLEAN!I145</f>
        <v>0</v>
      </c>
      <c r="J145" s="5" t="str">
        <f aca="false">IF(H145&lt;F145,"YES","")</f>
        <v/>
      </c>
      <c r="K145" s="5" t="str">
        <f aca="false">IF(I145&lt;G145,"YES","")</f>
        <v>YES</v>
      </c>
      <c r="L145" s="5" t="n">
        <f aca="false">IF(J145="YES",MAX(CEILING(F145-H145,E145),0),0)</f>
        <v>0</v>
      </c>
      <c r="M145" s="5" t="n">
        <f aca="false">IF(K145="YES",MAX(CEILING(G145-I145,E145),0),0)</f>
        <v>1</v>
      </c>
      <c r="N145" s="12" t="n">
        <f aca="false">L145*D145</f>
        <v>0</v>
      </c>
      <c r="O145" s="12" t="n">
        <f aca="false">M145*D145</f>
        <v>49.46</v>
      </c>
      <c r="P145" s="12" t="n">
        <f aca="false">P144+N145+O145</f>
        <v>35738.97</v>
      </c>
      <c r="Q145" s="5" t="str">
        <f aca="false">IF(P145&lt;=CashCap,"YES","OVER CAP")</f>
        <v>OVER CAP</v>
      </c>
      <c r="R145" s="5" t="str">
        <f aca="false">IF(LowCashMode="OFF","Normal Mode",IF(AND(OR(J145="YES",K145="YES"),Q145="YES"),"BUY NOW",IF(OR(J145="YES",K145="YES"),"DEFERRED","—")))</f>
        <v>Normal Mode</v>
      </c>
    </row>
    <row r="146" customFormat="false" ht="15" hidden="false" customHeight="false" outlineLevel="0" collapsed="false">
      <c r="A146" s="5" t="n">
        <f aca="false">ITEM_MASTER_CLEAN!A146</f>
        <v>145</v>
      </c>
      <c r="B146" s="5" t="n">
        <f aca="false">ITEM_MASTER_CLEAN!B146</f>
        <v>11692</v>
      </c>
      <c r="C146" s="5" t="str">
        <f aca="false">ITEM_MASTER_CLEAN!C146</f>
        <v>CHOC KIT KAT CRUSHED 4X907G</v>
      </c>
      <c r="D146" s="12" t="n">
        <f aca="false">ITEM_MASTER_CLEAN!F146</f>
        <v>62.22</v>
      </c>
      <c r="E146" s="5" t="n">
        <f aca="false">ITEM_MASTER_CLEAN!G146</f>
        <v>4</v>
      </c>
      <c r="F146" s="5" t="n">
        <f aca="false">DEMAND_MODEL!K146*SafetyDays</f>
        <v>2.14285714285714</v>
      </c>
      <c r="G146" s="5" t="n">
        <f aca="false">DEMAND_MODEL!L146*SafetyDays</f>
        <v>1.71428571428571</v>
      </c>
      <c r="H146" s="5" t="n">
        <f aca="false">ITEM_MASTER_CLEAN!H146</f>
        <v>1</v>
      </c>
      <c r="I146" s="5" t="n">
        <f aca="false">ITEM_MASTER_CLEAN!I146</f>
        <v>1</v>
      </c>
      <c r="J146" s="5" t="str">
        <f aca="false">IF(H146&lt;F146,"YES","")</f>
        <v>YES</v>
      </c>
      <c r="K146" s="5" t="str">
        <f aca="false">IF(I146&lt;G146,"YES","")</f>
        <v>YES</v>
      </c>
      <c r="L146" s="5" t="n">
        <f aca="false">IF(J146="YES",MAX(CEILING(F146-H146,E146),0),0)</f>
        <v>4</v>
      </c>
      <c r="M146" s="5" t="n">
        <f aca="false">IF(K146="YES",MAX(CEILING(G146-I146,E146),0),0)</f>
        <v>4</v>
      </c>
      <c r="N146" s="12" t="n">
        <f aca="false">L146*D146</f>
        <v>248.88</v>
      </c>
      <c r="O146" s="12" t="n">
        <f aca="false">M146*D146</f>
        <v>248.88</v>
      </c>
      <c r="P146" s="12" t="n">
        <f aca="false">P145+N146+O146</f>
        <v>36236.73</v>
      </c>
      <c r="Q146" s="5" t="str">
        <f aca="false">IF(P146&lt;=CashCap,"YES","OVER CAP")</f>
        <v>OVER CAP</v>
      </c>
      <c r="R146" s="5" t="str">
        <f aca="false">IF(LowCashMode="OFF","Normal Mode",IF(AND(OR(J146="YES",K146="YES"),Q146="YES"),"BUY NOW",IF(OR(J146="YES",K146="YES"),"DEFERRED","—")))</f>
        <v>Normal Mode</v>
      </c>
    </row>
    <row r="147" customFormat="false" ht="15" hidden="false" customHeight="false" outlineLevel="0" collapsed="false">
      <c r="A147" s="5" t="n">
        <f aca="false">ITEM_MASTER_CLEAN!A147</f>
        <v>146</v>
      </c>
      <c r="B147" s="5" t="n">
        <f aca="false">ITEM_MASTER_CLEAN!B147</f>
        <v>62812</v>
      </c>
      <c r="C147" s="5" t="str">
        <f aca="false">ITEM_MASTER_CLEAN!C147</f>
        <v>CHOC SKOR BITE BULK 413 4X1.36K</v>
      </c>
      <c r="D147" s="12" t="n">
        <f aca="false">ITEM_MASTER_CLEAN!F147</f>
        <v>16.6</v>
      </c>
      <c r="E147" s="5" t="n">
        <f aca="false">ITEM_MASTER_CLEAN!G147</f>
        <v>4</v>
      </c>
      <c r="F147" s="5" t="n">
        <f aca="false">DEMAND_MODEL!K147*SafetyDays</f>
        <v>0.857142857142857</v>
      </c>
      <c r="G147" s="5" t="n">
        <f aca="false">DEMAND_MODEL!L147*SafetyDays</f>
        <v>1.71428571428571</v>
      </c>
      <c r="H147" s="5" t="n">
        <f aca="false">ITEM_MASTER_CLEAN!H147</f>
        <v>6</v>
      </c>
      <c r="I147" s="5" t="n">
        <f aca="false">ITEM_MASTER_CLEAN!I147</f>
        <v>0</v>
      </c>
      <c r="J147" s="5" t="str">
        <f aca="false">IF(H147&lt;F147,"YES","")</f>
        <v/>
      </c>
      <c r="K147" s="5" t="str">
        <f aca="false">IF(I147&lt;G147,"YES","")</f>
        <v>YES</v>
      </c>
      <c r="L147" s="5" t="n">
        <f aca="false">IF(J147="YES",MAX(CEILING(F147-H147,E147),0),0)</f>
        <v>0</v>
      </c>
      <c r="M147" s="5" t="n">
        <f aca="false">IF(K147="YES",MAX(CEILING(G147-I147,E147),0),0)</f>
        <v>4</v>
      </c>
      <c r="N147" s="12" t="n">
        <f aca="false">L147*D147</f>
        <v>0</v>
      </c>
      <c r="O147" s="12" t="n">
        <f aca="false">M147*D147</f>
        <v>66.4</v>
      </c>
      <c r="P147" s="12" t="n">
        <f aca="false">P146+N147+O147</f>
        <v>36303.13</v>
      </c>
      <c r="Q147" s="5" t="str">
        <f aca="false">IF(P147&lt;=CashCap,"YES","OVER CAP")</f>
        <v>OVER CAP</v>
      </c>
      <c r="R147" s="5" t="str">
        <f aca="false">IF(LowCashMode="OFF","Normal Mode",IF(AND(OR(J147="YES",K147="YES"),Q147="YES"),"BUY NOW",IF(OR(J147="YES",K147="YES"),"DEFERRED","—")))</f>
        <v>Normal Mode</v>
      </c>
    </row>
    <row r="148" customFormat="false" ht="15" hidden="false" customHeight="false" outlineLevel="0" collapsed="false">
      <c r="A148" s="5" t="n">
        <f aca="false">ITEM_MASTER_CLEAN!A148</f>
        <v>147</v>
      </c>
      <c r="B148" s="5" t="n">
        <f aca="false">ITEM_MASTER_CLEAN!B148</f>
        <v>44503</v>
      </c>
      <c r="C148" s="5" t="str">
        <f aca="false">ITEM_MASTER_CLEAN!C148</f>
        <v>CHOC SMARTIES CRUSHED BULK 10X1.1K</v>
      </c>
      <c r="D148" s="12" t="n">
        <f aca="false">ITEM_MASTER_CLEAN!F148</f>
        <v>33.76</v>
      </c>
      <c r="E148" s="5" t="n">
        <f aca="false">ITEM_MASTER_CLEAN!G148</f>
        <v>10</v>
      </c>
      <c r="F148" s="5" t="n">
        <f aca="false">DEMAND_MODEL!K148*SafetyDays</f>
        <v>0.857142857142857</v>
      </c>
      <c r="G148" s="5" t="n">
        <f aca="false">DEMAND_MODEL!L148*SafetyDays</f>
        <v>1.28571428571429</v>
      </c>
      <c r="H148" s="5" t="n">
        <f aca="false">ITEM_MASTER_CLEAN!H148</f>
        <v>2</v>
      </c>
      <c r="I148" s="5" t="n">
        <f aca="false">ITEM_MASTER_CLEAN!I148</f>
        <v>4</v>
      </c>
      <c r="J148" s="5" t="str">
        <f aca="false">IF(H148&lt;F148,"YES","")</f>
        <v/>
      </c>
      <c r="K148" s="5" t="str">
        <f aca="false">IF(I148&lt;G148,"YES","")</f>
        <v/>
      </c>
      <c r="L148" s="5" t="n">
        <f aca="false">IF(J148="YES",MAX(CEILING(F148-H148,E148),0),0)</f>
        <v>0</v>
      </c>
      <c r="M148" s="5" t="n">
        <f aca="false">IF(K148="YES",MAX(CEILING(G148-I148,E148),0),0)</f>
        <v>0</v>
      </c>
      <c r="N148" s="12" t="n">
        <f aca="false">L148*D148</f>
        <v>0</v>
      </c>
      <c r="O148" s="12" t="n">
        <f aca="false">M148*D148</f>
        <v>0</v>
      </c>
      <c r="P148" s="12" t="n">
        <f aca="false">P147+N148+O148</f>
        <v>36303.13</v>
      </c>
      <c r="Q148" s="5" t="str">
        <f aca="false">IF(P148&lt;=CashCap,"YES","OVER CAP")</f>
        <v>OVER CAP</v>
      </c>
      <c r="R148" s="5" t="str">
        <f aca="false">IF(LowCashMode="OFF","Normal Mode",IF(AND(OR(J148="YES",K148="YES"),Q148="YES"),"BUY NOW",IF(OR(J148="YES",K148="YES"),"DEFERRED","—")))</f>
        <v>Normal Mode</v>
      </c>
    </row>
    <row r="149" customFormat="false" ht="15" hidden="false" customHeight="false" outlineLevel="0" collapsed="false">
      <c r="A149" s="5" t="n">
        <f aca="false">ITEM_MASTER_CLEAN!A149</f>
        <v>148</v>
      </c>
      <c r="B149" s="5" t="n">
        <f aca="false">ITEM_MASTER_CLEAN!B149</f>
        <v>37163</v>
      </c>
      <c r="C149" s="5" t="str">
        <f aca="false">ITEM_MASTER_CLEAN!C149</f>
        <v>MAPLE NUGGET SUGAR 4065 1X1K</v>
      </c>
      <c r="D149" s="12" t="n">
        <f aca="false">ITEM_MASTER_CLEAN!F149</f>
        <v>3.89</v>
      </c>
      <c r="E149" s="5" t="n">
        <f aca="false">ITEM_MASTER_CLEAN!G149</f>
        <v>1</v>
      </c>
      <c r="F149" s="5" t="n">
        <f aca="false">DEMAND_MODEL!K149*SafetyDays</f>
        <v>2.57142857142857</v>
      </c>
      <c r="G149" s="5" t="n">
        <f aca="false">DEMAND_MODEL!L149*SafetyDays</f>
        <v>0.428571428571429</v>
      </c>
      <c r="H149" s="5" t="n">
        <f aca="false">ITEM_MASTER_CLEAN!H149</f>
        <v>4</v>
      </c>
      <c r="I149" s="5" t="n">
        <f aca="false">ITEM_MASTER_CLEAN!I149</f>
        <v>0</v>
      </c>
      <c r="J149" s="5" t="str">
        <f aca="false">IF(H149&lt;F149,"YES","")</f>
        <v/>
      </c>
      <c r="K149" s="5" t="str">
        <f aca="false">IF(I149&lt;G149,"YES","")</f>
        <v>YES</v>
      </c>
      <c r="L149" s="5" t="n">
        <f aca="false">IF(J149="YES",MAX(CEILING(F149-H149,E149),0),0)</f>
        <v>0</v>
      </c>
      <c r="M149" s="5" t="n">
        <f aca="false">IF(K149="YES",MAX(CEILING(G149-I149,E149),0),0)</f>
        <v>1</v>
      </c>
      <c r="N149" s="12" t="n">
        <f aca="false">L149*D149</f>
        <v>0</v>
      </c>
      <c r="O149" s="12" t="n">
        <f aca="false">M149*D149</f>
        <v>3.89</v>
      </c>
      <c r="P149" s="12" t="n">
        <f aca="false">P148+N149+O149</f>
        <v>36307.02</v>
      </c>
      <c r="Q149" s="5" t="str">
        <f aca="false">IF(P149&lt;=CashCap,"YES","OVER CAP")</f>
        <v>OVER CAP</v>
      </c>
      <c r="R149" s="5" t="str">
        <f aca="false">IF(LowCashMode="OFF","Normal Mode",IF(AND(OR(J149="YES",K149="YES"),Q149="YES"),"BUY NOW",IF(OR(J149="YES",K149="YES"),"DEFERRED","—")))</f>
        <v>Normal Mode</v>
      </c>
    </row>
    <row r="150" customFormat="false" ht="15" hidden="false" customHeight="false" outlineLevel="0" collapsed="false">
      <c r="A150" s="5" t="n">
        <f aca="false">ITEM_MASTER_CLEAN!A150</f>
        <v>149</v>
      </c>
      <c r="B150" s="5" t="n">
        <f aca="false">ITEM_MASTER_CLEAN!B150</f>
        <v>32978</v>
      </c>
      <c r="C150" s="5" t="str">
        <f aca="false">ITEM_MASTER_CLEAN!C150</f>
        <v>NUTS ALMOND DICED 10658 25LB</v>
      </c>
      <c r="D150" s="12" t="n">
        <f aca="false">ITEM_MASTER_CLEAN!F150</f>
        <v>16.6</v>
      </c>
      <c r="E150" s="5" t="n">
        <f aca="false">ITEM_MASTER_CLEAN!G150</f>
        <v>1</v>
      </c>
      <c r="F150" s="5" t="n">
        <f aca="false">DEMAND_MODEL!K150*SafetyDays</f>
        <v>0.857142857142857</v>
      </c>
      <c r="G150" s="5" t="n">
        <f aca="false">DEMAND_MODEL!L150*SafetyDays</f>
        <v>1.71428571428571</v>
      </c>
      <c r="H150" s="5" t="n">
        <f aca="false">ITEM_MASTER_CLEAN!H150</f>
        <v>3</v>
      </c>
      <c r="I150" s="5" t="n">
        <f aca="false">ITEM_MASTER_CLEAN!I150</f>
        <v>6</v>
      </c>
      <c r="J150" s="5" t="str">
        <f aca="false">IF(H150&lt;F150,"YES","")</f>
        <v/>
      </c>
      <c r="K150" s="5" t="str">
        <f aca="false">IF(I150&lt;G150,"YES","")</f>
        <v/>
      </c>
      <c r="L150" s="5" t="n">
        <f aca="false">IF(J150="YES",MAX(CEILING(F150-H150,E150),0),0)</f>
        <v>0</v>
      </c>
      <c r="M150" s="5" t="n">
        <f aca="false">IF(K150="YES",MAX(CEILING(G150-I150,E150),0),0)</f>
        <v>0</v>
      </c>
      <c r="N150" s="12" t="n">
        <f aca="false">L150*D150</f>
        <v>0</v>
      </c>
      <c r="O150" s="12" t="n">
        <f aca="false">M150*D150</f>
        <v>0</v>
      </c>
      <c r="P150" s="12" t="n">
        <f aca="false">P149+N150+O150</f>
        <v>36307.02</v>
      </c>
      <c r="Q150" s="5" t="str">
        <f aca="false">IF(P150&lt;=CashCap,"YES","OVER CAP")</f>
        <v>OVER CAP</v>
      </c>
      <c r="R150" s="5" t="str">
        <f aca="false">IF(LowCashMode="OFF","Normal Mode",IF(AND(OR(J150="YES",K150="YES"),Q150="YES"),"BUY NOW",IF(OR(J150="YES",K150="YES"),"DEFERRED","—")))</f>
        <v>Normal Mode</v>
      </c>
    </row>
    <row r="151" customFormat="false" ht="15" hidden="false" customHeight="false" outlineLevel="0" collapsed="false">
      <c r="A151" s="5" t="n">
        <f aca="false">ITEM_MASTER_CLEAN!A151</f>
        <v>150</v>
      </c>
      <c r="B151" s="5" t="n">
        <f aca="false">ITEM_MASTER_CLEAN!B151</f>
        <v>61496</v>
      </c>
      <c r="C151" s="5" t="str">
        <f aca="false">ITEM_MASTER_CLEAN!C151</f>
        <v>NUTS PEANUT CRSHD RSTED 3X1K</v>
      </c>
      <c r="D151" s="12" t="n">
        <f aca="false">ITEM_MASTER_CLEAN!F151</f>
        <v>17.84</v>
      </c>
      <c r="E151" s="5" t="n">
        <f aca="false">ITEM_MASTER_CLEAN!G151</f>
        <v>3</v>
      </c>
      <c r="F151" s="5" t="n">
        <f aca="false">DEMAND_MODEL!K151*SafetyDays</f>
        <v>1.28571428571429</v>
      </c>
      <c r="G151" s="5" t="n">
        <f aca="false">DEMAND_MODEL!L151*SafetyDays</f>
        <v>1.71428571428571</v>
      </c>
      <c r="H151" s="5" t="n">
        <f aca="false">ITEM_MASTER_CLEAN!H151</f>
        <v>3</v>
      </c>
      <c r="I151" s="5" t="n">
        <f aca="false">ITEM_MASTER_CLEAN!I151</f>
        <v>5</v>
      </c>
      <c r="J151" s="5" t="str">
        <f aca="false">IF(H151&lt;F151,"YES","")</f>
        <v/>
      </c>
      <c r="K151" s="5" t="str">
        <f aca="false">IF(I151&lt;G151,"YES","")</f>
        <v/>
      </c>
      <c r="L151" s="5" t="n">
        <f aca="false">IF(J151="YES",MAX(CEILING(F151-H151,E151),0),0)</f>
        <v>0</v>
      </c>
      <c r="M151" s="5" t="n">
        <f aca="false">IF(K151="YES",MAX(CEILING(G151-I151,E151),0),0)</f>
        <v>0</v>
      </c>
      <c r="N151" s="12" t="n">
        <f aca="false">L151*D151</f>
        <v>0</v>
      </c>
      <c r="O151" s="12" t="n">
        <f aca="false">M151*D151</f>
        <v>0</v>
      </c>
      <c r="P151" s="12" t="n">
        <f aca="false">P150+N151+O151</f>
        <v>36307.02</v>
      </c>
      <c r="Q151" s="5" t="str">
        <f aca="false">IF(P151&lt;=CashCap,"YES","OVER CAP")</f>
        <v>OVER CAP</v>
      </c>
      <c r="R151" s="5" t="str">
        <f aca="false">IF(LowCashMode="OFF","Normal Mode",IF(AND(OR(J151="YES",K151="YES"),Q151="YES"),"BUY NOW",IF(OR(J151="YES",K151="YES"),"DEFERRED","—")))</f>
        <v>Normal Mode</v>
      </c>
    </row>
    <row r="152" customFormat="false" ht="15" hidden="false" customHeight="false" outlineLevel="0" collapsed="false">
      <c r="A152" s="5" t="n">
        <f aca="false">ITEM_MASTER_CLEAN!A152</f>
        <v>151</v>
      </c>
      <c r="B152" s="5" t="n">
        <f aca="false">ITEM_MASTER_CLEAN!B152</f>
        <v>32981</v>
      </c>
      <c r="C152" s="5" t="str">
        <f aca="false">ITEM_MASTER_CLEAN!C152</f>
        <v>COCONUT SHREDDED SWEET 10780 25LB</v>
      </c>
      <c r="D152" s="12" t="n">
        <f aca="false">ITEM_MASTER_CLEAN!F152</f>
        <v>30.08</v>
      </c>
      <c r="E152" s="5" t="n">
        <f aca="false">ITEM_MASTER_CLEAN!G152</f>
        <v>1</v>
      </c>
      <c r="F152" s="5" t="n">
        <f aca="false">DEMAND_MODEL!K152*SafetyDays</f>
        <v>1.71428571428571</v>
      </c>
      <c r="G152" s="5" t="n">
        <f aca="false">DEMAND_MODEL!L152*SafetyDays</f>
        <v>0.428571428571429</v>
      </c>
      <c r="H152" s="5" t="n">
        <f aca="false">ITEM_MASTER_CLEAN!H152</f>
        <v>1</v>
      </c>
      <c r="I152" s="5" t="n">
        <f aca="false">ITEM_MASTER_CLEAN!I152</f>
        <v>0</v>
      </c>
      <c r="J152" s="5" t="str">
        <f aca="false">IF(H152&lt;F152,"YES","")</f>
        <v>YES</v>
      </c>
      <c r="K152" s="5" t="str">
        <f aca="false">IF(I152&lt;G152,"YES","")</f>
        <v>YES</v>
      </c>
      <c r="L152" s="5" t="n">
        <f aca="false">IF(J152="YES",MAX(CEILING(F152-H152,E152),0),0)</f>
        <v>1</v>
      </c>
      <c r="M152" s="5" t="n">
        <f aca="false">IF(K152="YES",MAX(CEILING(G152-I152,E152),0),0)</f>
        <v>1</v>
      </c>
      <c r="N152" s="12" t="n">
        <f aca="false">L152*D152</f>
        <v>30.08</v>
      </c>
      <c r="O152" s="12" t="n">
        <f aca="false">M152*D152</f>
        <v>30.08</v>
      </c>
      <c r="P152" s="12" t="n">
        <f aca="false">P151+N152+O152</f>
        <v>36367.18</v>
      </c>
      <c r="Q152" s="5" t="str">
        <f aca="false">IF(P152&lt;=CashCap,"YES","OVER CAP")</f>
        <v>OVER CAP</v>
      </c>
      <c r="R152" s="5" t="str">
        <f aca="false">IF(LowCashMode="OFF","Normal Mode",IF(AND(OR(J152="YES",K152="YES"),Q152="YES"),"BUY NOW",IF(OR(J152="YES",K152="YES"),"DEFERRED","—")))</f>
        <v>Normal Mode</v>
      </c>
    </row>
    <row r="153" customFormat="false" ht="15" hidden="false" customHeight="false" outlineLevel="0" collapsed="false">
      <c r="A153" s="5" t="n">
        <f aca="false">ITEM_MASTER_CLEAN!A153</f>
        <v>152</v>
      </c>
      <c r="B153" s="5" t="n">
        <f aca="false">ITEM_MASTER_CLEAN!B153</f>
        <v>15058</v>
      </c>
      <c r="C153" s="5" t="str">
        <f aca="false">ITEM_MASTER_CLEAN!C153</f>
        <v>NUT HAZELNUT RSTD 3X1K</v>
      </c>
      <c r="D153" s="12" t="n">
        <f aca="false">ITEM_MASTER_CLEAN!F153</f>
        <v>30.03</v>
      </c>
      <c r="E153" s="5" t="n">
        <f aca="false">ITEM_MASTER_CLEAN!G153</f>
        <v>3</v>
      </c>
      <c r="F153" s="5" t="n">
        <f aca="false">DEMAND_MODEL!K153*SafetyDays</f>
        <v>1.71428571428571</v>
      </c>
      <c r="G153" s="5" t="n">
        <f aca="false">DEMAND_MODEL!L153*SafetyDays</f>
        <v>0.857142857142857</v>
      </c>
      <c r="H153" s="5" t="n">
        <f aca="false">ITEM_MASTER_CLEAN!H153</f>
        <v>2</v>
      </c>
      <c r="I153" s="5" t="n">
        <f aca="false">ITEM_MASTER_CLEAN!I153</f>
        <v>0</v>
      </c>
      <c r="J153" s="5" t="str">
        <f aca="false">IF(H153&lt;F153,"YES","")</f>
        <v/>
      </c>
      <c r="K153" s="5" t="str">
        <f aca="false">IF(I153&lt;G153,"YES","")</f>
        <v>YES</v>
      </c>
      <c r="L153" s="5" t="n">
        <f aca="false">IF(J153="YES",MAX(CEILING(F153-H153,E153),0),0)</f>
        <v>0</v>
      </c>
      <c r="M153" s="5" t="n">
        <f aca="false">IF(K153="YES",MAX(CEILING(G153-I153,E153),0),0)</f>
        <v>3</v>
      </c>
      <c r="N153" s="12" t="n">
        <f aca="false">L153*D153</f>
        <v>0</v>
      </c>
      <c r="O153" s="12" t="n">
        <f aca="false">M153*D153</f>
        <v>90.09</v>
      </c>
      <c r="P153" s="12" t="n">
        <f aca="false">P152+N153+O153</f>
        <v>36457.27</v>
      </c>
      <c r="Q153" s="5" t="str">
        <f aca="false">IF(P153&lt;=CashCap,"YES","OVER CAP")</f>
        <v>OVER CAP</v>
      </c>
      <c r="R153" s="5" t="str">
        <f aca="false">IF(LowCashMode="OFF","Normal Mode",IF(AND(OR(J153="YES",K153="YES"),Q153="YES"),"BUY NOW",IF(OR(J153="YES",K153="YES"),"DEFERRED","—")))</f>
        <v>Normal Mode</v>
      </c>
    </row>
    <row r="154" customFormat="false" ht="15" hidden="false" customHeight="false" outlineLevel="0" collapsed="false">
      <c r="A154" s="5" t="n">
        <f aca="false">ITEM_MASTER_CLEAN!A154</f>
        <v>153</v>
      </c>
      <c r="B154" s="5" t="n">
        <f aca="false">ITEM_MASTER_CLEAN!B154</f>
        <v>40251</v>
      </c>
      <c r="C154" s="5" t="str">
        <f aca="false">ITEM_MASTER_CLEAN!C154</f>
        <v>NUT PISTACHIO N/SHELL 1KG</v>
      </c>
      <c r="D154" s="12" t="n">
        <f aca="false">ITEM_MASTER_CLEAN!F154</f>
        <v>47.81</v>
      </c>
      <c r="E154" s="5" t="n">
        <f aca="false">ITEM_MASTER_CLEAN!G154</f>
        <v>1</v>
      </c>
      <c r="F154" s="5" t="n">
        <f aca="false">DEMAND_MODEL!K154*SafetyDays</f>
        <v>2.14285714285714</v>
      </c>
      <c r="G154" s="5" t="n">
        <f aca="false">DEMAND_MODEL!L154*SafetyDays</f>
        <v>0.857142857142857</v>
      </c>
      <c r="H154" s="5" t="n">
        <f aca="false">ITEM_MASTER_CLEAN!H154</f>
        <v>24</v>
      </c>
      <c r="I154" s="5" t="n">
        <f aca="false">ITEM_MASTER_CLEAN!I154</f>
        <v>7</v>
      </c>
      <c r="J154" s="5" t="str">
        <f aca="false">IF(H154&lt;F154,"YES","")</f>
        <v/>
      </c>
      <c r="K154" s="5" t="str">
        <f aca="false">IF(I154&lt;G154,"YES","")</f>
        <v/>
      </c>
      <c r="L154" s="5" t="n">
        <f aca="false">IF(J154="YES",MAX(CEILING(F154-H154,E154),0),0)</f>
        <v>0</v>
      </c>
      <c r="M154" s="5" t="n">
        <f aca="false">IF(K154="YES",MAX(CEILING(G154-I154,E154),0),0)</f>
        <v>0</v>
      </c>
      <c r="N154" s="12" t="n">
        <f aca="false">L154*D154</f>
        <v>0</v>
      </c>
      <c r="O154" s="12" t="n">
        <f aca="false">M154*D154</f>
        <v>0</v>
      </c>
      <c r="P154" s="12" t="n">
        <f aca="false">P153+N154+O154</f>
        <v>36457.27</v>
      </c>
      <c r="Q154" s="5" t="str">
        <f aca="false">IF(P154&lt;=CashCap,"YES","OVER CAP")</f>
        <v>OVER CAP</v>
      </c>
      <c r="R154" s="5" t="str">
        <f aca="false">IF(LowCashMode="OFF","Normal Mode",IF(AND(OR(J154="YES",K154="YES"),Q154="YES"),"BUY NOW",IF(OR(J154="YES",K154="YES"),"DEFERRED","—")))</f>
        <v>Normal Mode</v>
      </c>
    </row>
    <row r="155" customFormat="false" ht="15" hidden="false" customHeight="false" outlineLevel="0" collapsed="false">
      <c r="A155" s="5" t="n">
        <f aca="false">ITEM_MASTER_CLEAN!A155</f>
        <v>154</v>
      </c>
      <c r="B155" s="5" t="n">
        <f aca="false">ITEM_MASTER_CLEAN!B155</f>
        <v>34732</v>
      </c>
      <c r="C155" s="5" t="str">
        <f aca="false">ITEM_MASTER_CLEAN!C155</f>
        <v>PRETZEL MINI PRT5204 20LB</v>
      </c>
      <c r="D155" s="12" t="n">
        <f aca="false">ITEM_MASTER_CLEAN!F155</f>
        <v>54.35</v>
      </c>
      <c r="E155" s="5" t="n">
        <f aca="false">ITEM_MASTER_CLEAN!G155</f>
        <v>1</v>
      </c>
      <c r="F155" s="5" t="n">
        <f aca="false">DEMAND_MODEL!K155*SafetyDays</f>
        <v>2.57142857142857</v>
      </c>
      <c r="G155" s="5" t="n">
        <f aca="false">DEMAND_MODEL!L155*SafetyDays</f>
        <v>0.428571428571429</v>
      </c>
      <c r="H155" s="5" t="n">
        <f aca="false">ITEM_MASTER_CLEAN!H155</f>
        <v>2</v>
      </c>
      <c r="I155" s="5" t="n">
        <f aca="false">ITEM_MASTER_CLEAN!I155</f>
        <v>2</v>
      </c>
      <c r="J155" s="5" t="str">
        <f aca="false">IF(H155&lt;F155,"YES","")</f>
        <v>YES</v>
      </c>
      <c r="K155" s="5" t="str">
        <f aca="false">IF(I155&lt;G155,"YES","")</f>
        <v/>
      </c>
      <c r="L155" s="5" t="n">
        <f aca="false">IF(J155="YES",MAX(CEILING(F155-H155,E155),0),0)</f>
        <v>1</v>
      </c>
      <c r="M155" s="5" t="n">
        <f aca="false">IF(K155="YES",MAX(CEILING(G155-I155,E155),0),0)</f>
        <v>0</v>
      </c>
      <c r="N155" s="12" t="n">
        <f aca="false">L155*D155</f>
        <v>54.35</v>
      </c>
      <c r="O155" s="12" t="n">
        <f aca="false">M155*D155</f>
        <v>0</v>
      </c>
      <c r="P155" s="12" t="n">
        <f aca="false">P154+N155+O155</f>
        <v>36511.62</v>
      </c>
      <c r="Q155" s="5" t="str">
        <f aca="false">IF(P155&lt;=CashCap,"YES","OVER CAP")</f>
        <v>OVER CAP</v>
      </c>
      <c r="R155" s="5" t="str">
        <f aca="false">IF(LowCashMode="OFF","Normal Mode",IF(AND(OR(J155="YES",K155="YES"),Q155="YES"),"BUY NOW",IF(OR(J155="YES",K155="YES"),"DEFERRED","—")))</f>
        <v>Normal Mode</v>
      </c>
    </row>
    <row r="156" customFormat="false" ht="15" hidden="false" customHeight="false" outlineLevel="0" collapsed="false">
      <c r="A156" s="5" t="n">
        <f aca="false">ITEM_MASTER_CLEAN!A156</f>
        <v>155</v>
      </c>
      <c r="B156" s="5" t="n">
        <f aca="false">ITEM_MASTER_CLEAN!B156</f>
        <v>61580</v>
      </c>
      <c r="C156" s="5" t="str">
        <f aca="false">ITEM_MASTER_CLEAN!C156</f>
        <v>SPRINKLES CHOCOLATE K 3K</v>
      </c>
      <c r="D156" s="12" t="n">
        <f aca="false">ITEM_MASTER_CLEAN!F156</f>
        <v>35.72</v>
      </c>
      <c r="E156" s="5" t="n">
        <f aca="false">ITEM_MASTER_CLEAN!G156</f>
        <v>1</v>
      </c>
      <c r="F156" s="5" t="n">
        <f aca="false">DEMAND_MODEL!K156*SafetyDays</f>
        <v>1.28571428571429</v>
      </c>
      <c r="G156" s="5" t="n">
        <f aca="false">DEMAND_MODEL!L156*SafetyDays</f>
        <v>0.857142857142857</v>
      </c>
      <c r="H156" s="5" t="n">
        <f aca="false">ITEM_MASTER_CLEAN!H156</f>
        <v>4</v>
      </c>
      <c r="I156" s="5" t="n">
        <f aca="false">ITEM_MASTER_CLEAN!I156</f>
        <v>3</v>
      </c>
      <c r="J156" s="5" t="str">
        <f aca="false">IF(H156&lt;F156,"YES","")</f>
        <v/>
      </c>
      <c r="K156" s="5" t="str">
        <f aca="false">IF(I156&lt;G156,"YES","")</f>
        <v/>
      </c>
      <c r="L156" s="5" t="n">
        <f aca="false">IF(J156="YES",MAX(CEILING(F156-H156,E156),0),0)</f>
        <v>0</v>
      </c>
      <c r="M156" s="5" t="n">
        <f aca="false">IF(K156="YES",MAX(CEILING(G156-I156,E156),0),0)</f>
        <v>0</v>
      </c>
      <c r="N156" s="12" t="n">
        <f aca="false">L156*D156</f>
        <v>0</v>
      </c>
      <c r="O156" s="12" t="n">
        <f aca="false">M156*D156</f>
        <v>0</v>
      </c>
      <c r="P156" s="12" t="n">
        <f aca="false">P155+N156+O156</f>
        <v>36511.62</v>
      </c>
      <c r="Q156" s="5" t="str">
        <f aca="false">IF(P156&lt;=CashCap,"YES","OVER CAP")</f>
        <v>OVER CAP</v>
      </c>
      <c r="R156" s="5" t="str">
        <f aca="false">IF(LowCashMode="OFF","Normal Mode",IF(AND(OR(J156="YES",K156="YES"),Q156="YES"),"BUY NOW",IF(OR(J156="YES",K156="YES"),"DEFERRED","—")))</f>
        <v>Normal Mode</v>
      </c>
    </row>
    <row r="157" customFormat="false" ht="15" hidden="false" customHeight="false" outlineLevel="0" collapsed="false">
      <c r="A157" s="5" t="n">
        <f aca="false">ITEM_MASTER_CLEAN!A157</f>
        <v>156</v>
      </c>
      <c r="B157" s="5" t="n">
        <f aca="false">ITEM_MASTER_CLEAN!B157</f>
        <v>61581</v>
      </c>
      <c r="C157" s="5" t="str">
        <f aca="false">ITEM_MASTER_CLEAN!C157</f>
        <v>SPRINKLES RAINBOW 3K</v>
      </c>
      <c r="D157" s="12" t="n">
        <f aca="false">ITEM_MASTER_CLEAN!F157</f>
        <v>50.1</v>
      </c>
      <c r="E157" s="5" t="n">
        <f aca="false">ITEM_MASTER_CLEAN!G157</f>
        <v>1</v>
      </c>
      <c r="F157" s="5" t="n">
        <f aca="false">DEMAND_MODEL!K157*SafetyDays</f>
        <v>2.57142857142857</v>
      </c>
      <c r="G157" s="5" t="n">
        <f aca="false">DEMAND_MODEL!L157*SafetyDays</f>
        <v>0.428571428571429</v>
      </c>
      <c r="H157" s="5" t="n">
        <f aca="false">ITEM_MASTER_CLEAN!H157</f>
        <v>2</v>
      </c>
      <c r="I157" s="5" t="n">
        <f aca="false">ITEM_MASTER_CLEAN!I157</f>
        <v>2</v>
      </c>
      <c r="J157" s="5" t="str">
        <f aca="false">IF(H157&lt;F157,"YES","")</f>
        <v>YES</v>
      </c>
      <c r="K157" s="5" t="str">
        <f aca="false">IF(I157&lt;G157,"YES","")</f>
        <v/>
      </c>
      <c r="L157" s="5" t="n">
        <f aca="false">IF(J157="YES",MAX(CEILING(F157-H157,E157),0),0)</f>
        <v>1</v>
      </c>
      <c r="M157" s="5" t="n">
        <f aca="false">IF(K157="YES",MAX(CEILING(G157-I157,E157),0),0)</f>
        <v>0</v>
      </c>
      <c r="N157" s="12" t="n">
        <f aca="false">L157*D157</f>
        <v>50.1</v>
      </c>
      <c r="O157" s="12" t="n">
        <f aca="false">M157*D157</f>
        <v>0</v>
      </c>
      <c r="P157" s="12" t="n">
        <f aca="false">P156+N157+O157</f>
        <v>36561.72</v>
      </c>
      <c r="Q157" s="5" t="str">
        <f aca="false">IF(P157&lt;=CashCap,"YES","OVER CAP")</f>
        <v>OVER CAP</v>
      </c>
      <c r="R157" s="5" t="str">
        <f aca="false">IF(LowCashMode="OFF","Normal Mode",IF(AND(OR(J157="YES",K157="YES"),Q157="YES"),"BUY NOW",IF(OR(J157="YES",K157="YES"),"DEFERRED","—")))</f>
        <v>Normal Mode</v>
      </c>
    </row>
    <row r="158" customFormat="false" ht="15" hidden="false" customHeight="false" outlineLevel="0" collapsed="false">
      <c r="A158" s="5" t="n">
        <f aca="false">ITEM_MASTER_CLEAN!A158</f>
        <v>157</v>
      </c>
      <c r="B158" s="5" t="n">
        <f aca="false">ITEM_MASTER_CLEAN!B158</f>
        <v>67089</v>
      </c>
      <c r="C158" s="5" t="str">
        <f aca="false">ITEM_MASTER_CLEAN!C158</f>
        <v>SYRUP VANILLA MONIN K 750ML</v>
      </c>
      <c r="D158" s="12" t="n">
        <f aca="false">ITEM_MASTER_CLEAN!F158</f>
        <v>11.75</v>
      </c>
      <c r="E158" s="5" t="n">
        <f aca="false">ITEM_MASTER_CLEAN!G158</f>
        <v>1</v>
      </c>
      <c r="F158" s="5" t="n">
        <f aca="false">DEMAND_MODEL!K158*SafetyDays</f>
        <v>0.428571428571429</v>
      </c>
      <c r="G158" s="5" t="n">
        <f aca="false">DEMAND_MODEL!L158*SafetyDays</f>
        <v>0.857142857142857</v>
      </c>
      <c r="H158" s="5" t="n">
        <f aca="false">ITEM_MASTER_CLEAN!H158</f>
        <v>1</v>
      </c>
      <c r="I158" s="5" t="n">
        <f aca="false">ITEM_MASTER_CLEAN!I158</f>
        <v>3</v>
      </c>
      <c r="J158" s="5" t="str">
        <f aca="false">IF(H158&lt;F158,"YES","")</f>
        <v/>
      </c>
      <c r="K158" s="5" t="str">
        <f aca="false">IF(I158&lt;G158,"YES","")</f>
        <v/>
      </c>
      <c r="L158" s="5" t="n">
        <f aca="false">IF(J158="YES",MAX(CEILING(F158-H158,E158),0),0)</f>
        <v>0</v>
      </c>
      <c r="M158" s="5" t="n">
        <f aca="false">IF(K158="YES",MAX(CEILING(G158-I158,E158),0),0)</f>
        <v>0</v>
      </c>
      <c r="N158" s="12" t="n">
        <f aca="false">L158*D158</f>
        <v>0</v>
      </c>
      <c r="O158" s="12" t="n">
        <f aca="false">M158*D158</f>
        <v>0</v>
      </c>
      <c r="P158" s="12" t="n">
        <f aca="false">P157+N158+O158</f>
        <v>36561.72</v>
      </c>
      <c r="Q158" s="5" t="str">
        <f aca="false">IF(P158&lt;=CashCap,"YES","OVER CAP")</f>
        <v>OVER CAP</v>
      </c>
      <c r="R158" s="5" t="str">
        <f aca="false">IF(LowCashMode="OFF","Normal Mode",IF(AND(OR(J158="YES",K158="YES"),Q158="YES"),"BUY NOW",IF(OR(J158="YES",K158="YES"),"DEFERRED","—")))</f>
        <v>Normal Mode</v>
      </c>
    </row>
    <row r="159" customFormat="false" ht="15" hidden="false" customHeight="false" outlineLevel="0" collapsed="false">
      <c r="A159" s="5" t="n">
        <f aca="false">ITEM_MASTER_CLEAN!A159</f>
        <v>158</v>
      </c>
      <c r="B159" s="5" t="n">
        <f aca="false">ITEM_MASTER_CLEAN!B159</f>
        <v>67123</v>
      </c>
      <c r="C159" s="5" t="str">
        <f aca="false">ITEM_MASTER_CLEAN!C159</f>
        <v>SYRUP PUR CANE SUG MONIN 750ML</v>
      </c>
      <c r="D159" s="12" t="n">
        <f aca="false">ITEM_MASTER_CLEAN!F159</f>
        <v>12.51</v>
      </c>
      <c r="E159" s="5" t="n">
        <f aca="false">ITEM_MASTER_CLEAN!G159</f>
        <v>1</v>
      </c>
      <c r="F159" s="5" t="n">
        <f aca="false">DEMAND_MODEL!K159*SafetyDays</f>
        <v>0.857142857142857</v>
      </c>
      <c r="G159" s="5" t="n">
        <f aca="false">DEMAND_MODEL!L159*SafetyDays</f>
        <v>0.428571428571429</v>
      </c>
      <c r="H159" s="5" t="n">
        <f aca="false">ITEM_MASTER_CLEAN!H159</f>
        <v>0</v>
      </c>
      <c r="I159" s="5" t="n">
        <f aca="false">ITEM_MASTER_CLEAN!I159</f>
        <v>0</v>
      </c>
      <c r="J159" s="5" t="str">
        <f aca="false">IF(H159&lt;F159,"YES","")</f>
        <v>YES</v>
      </c>
      <c r="K159" s="5" t="str">
        <f aca="false">IF(I159&lt;G159,"YES","")</f>
        <v>YES</v>
      </c>
      <c r="L159" s="5" t="n">
        <f aca="false">IF(J159="YES",MAX(CEILING(F159-H159,E159),0),0)</f>
        <v>1</v>
      </c>
      <c r="M159" s="5" t="n">
        <f aca="false">IF(K159="YES",MAX(CEILING(G159-I159,E159),0),0)</f>
        <v>1</v>
      </c>
      <c r="N159" s="12" t="n">
        <f aca="false">L159*D159</f>
        <v>12.51</v>
      </c>
      <c r="O159" s="12" t="n">
        <f aca="false">M159*D159</f>
        <v>12.51</v>
      </c>
      <c r="P159" s="12" t="n">
        <f aca="false">P158+N159+O159</f>
        <v>36586.74</v>
      </c>
      <c r="Q159" s="5" t="str">
        <f aca="false">IF(P159&lt;=CashCap,"YES","OVER CAP")</f>
        <v>OVER CAP</v>
      </c>
      <c r="R159" s="5" t="str">
        <f aca="false">IF(LowCashMode="OFF","Normal Mode",IF(AND(OR(J159="YES",K159="YES"),Q159="YES"),"BUY NOW",IF(OR(J159="YES",K159="YES"),"DEFERRED","—")))</f>
        <v>Normal Mode</v>
      </c>
    </row>
    <row r="160" customFormat="false" ht="15" hidden="false" customHeight="false" outlineLevel="0" collapsed="false">
      <c r="A160" s="5" t="n">
        <f aca="false">ITEM_MASTER_CLEAN!A160</f>
        <v>159</v>
      </c>
      <c r="B160" s="5" t="n">
        <f aca="false">ITEM_MASTER_CLEAN!B160</f>
        <v>67121</v>
      </c>
      <c r="C160" s="5" t="str">
        <f aca="false">ITEM_MASTER_CLEAN!C160</f>
        <v>SYRUP MOJITO MONIN 750ML</v>
      </c>
      <c r="D160" s="12" t="n">
        <f aca="false">ITEM_MASTER_CLEAN!F160</f>
        <v>10.21</v>
      </c>
      <c r="E160" s="5" t="n">
        <f aca="false">ITEM_MASTER_CLEAN!G160</f>
        <v>1</v>
      </c>
      <c r="F160" s="5" t="n">
        <f aca="false">DEMAND_MODEL!K160*SafetyDays</f>
        <v>1.28571428571429</v>
      </c>
      <c r="G160" s="5" t="n">
        <f aca="false">DEMAND_MODEL!L160*SafetyDays</f>
        <v>0.857142857142857</v>
      </c>
      <c r="H160" s="5" t="n">
        <f aca="false">ITEM_MASTER_CLEAN!H160</f>
        <v>1</v>
      </c>
      <c r="I160" s="5" t="n">
        <f aca="false">ITEM_MASTER_CLEAN!I160</f>
        <v>0</v>
      </c>
      <c r="J160" s="5" t="str">
        <f aca="false">IF(H160&lt;F160,"YES","")</f>
        <v>YES</v>
      </c>
      <c r="K160" s="5" t="str">
        <f aca="false">IF(I160&lt;G160,"YES","")</f>
        <v>YES</v>
      </c>
      <c r="L160" s="5" t="n">
        <f aca="false">IF(J160="YES",MAX(CEILING(F160-H160,E160),0),0)</f>
        <v>1</v>
      </c>
      <c r="M160" s="5" t="n">
        <f aca="false">IF(K160="YES",MAX(CEILING(G160-I160,E160),0),0)</f>
        <v>1</v>
      </c>
      <c r="N160" s="12" t="n">
        <f aca="false">L160*D160</f>
        <v>10.21</v>
      </c>
      <c r="O160" s="12" t="n">
        <f aca="false">M160*D160</f>
        <v>10.21</v>
      </c>
      <c r="P160" s="12" t="n">
        <f aca="false">P159+N160+O160</f>
        <v>36607.16</v>
      </c>
      <c r="Q160" s="5" t="str">
        <f aca="false">IF(P160&lt;=CashCap,"YES","OVER CAP")</f>
        <v>OVER CAP</v>
      </c>
      <c r="R160" s="5" t="str">
        <f aca="false">IF(LowCashMode="OFF","Normal Mode",IF(AND(OR(J160="YES",K160="YES"),Q160="YES"),"BUY NOW",IF(OR(J160="YES",K160="YES"),"DEFERRED","—")))</f>
        <v>Normal Mode</v>
      </c>
    </row>
    <row r="161" customFormat="false" ht="15" hidden="false" customHeight="false" outlineLevel="0" collapsed="false">
      <c r="A161" s="5" t="n">
        <f aca="false">ITEM_MASTER_CLEAN!A161</f>
        <v>160</v>
      </c>
      <c r="B161" s="5" t="n">
        <f aca="false">ITEM_MASTER_CLEAN!B161</f>
        <v>67094</v>
      </c>
      <c r="C161" s="5" t="str">
        <f aca="false">ITEM_MASTER_CLEAN!C161</f>
        <v>PUMP SYRUP MONIN 750ML(WHITE) 1</v>
      </c>
      <c r="D161" s="12" t="n">
        <f aca="false">ITEM_MASTER_CLEAN!F161</f>
        <v>7.01</v>
      </c>
      <c r="E161" s="5" t="n">
        <f aca="false">ITEM_MASTER_CLEAN!G161</f>
        <v>1</v>
      </c>
      <c r="F161" s="5" t="n">
        <f aca="false">DEMAND_MODEL!K161*SafetyDays</f>
        <v>0.428571428571429</v>
      </c>
      <c r="G161" s="5" t="n">
        <f aca="false">DEMAND_MODEL!L161*SafetyDays</f>
        <v>0.857142857142857</v>
      </c>
      <c r="H161" s="5" t="n">
        <f aca="false">ITEM_MASTER_CLEAN!H161</f>
        <v>1</v>
      </c>
      <c r="I161" s="5" t="n">
        <f aca="false">ITEM_MASTER_CLEAN!I161</f>
        <v>3</v>
      </c>
      <c r="J161" s="5" t="str">
        <f aca="false">IF(H161&lt;F161,"YES","")</f>
        <v/>
      </c>
      <c r="K161" s="5" t="str">
        <f aca="false">IF(I161&lt;G161,"YES","")</f>
        <v/>
      </c>
      <c r="L161" s="5" t="n">
        <f aca="false">IF(J161="YES",MAX(CEILING(F161-H161,E161),0),0)</f>
        <v>0</v>
      </c>
      <c r="M161" s="5" t="n">
        <f aca="false">IF(K161="YES",MAX(CEILING(G161-I161,E161),0),0)</f>
        <v>0</v>
      </c>
      <c r="N161" s="12" t="n">
        <f aca="false">L161*D161</f>
        <v>0</v>
      </c>
      <c r="O161" s="12" t="n">
        <f aca="false">M161*D161</f>
        <v>0</v>
      </c>
      <c r="P161" s="12" t="n">
        <f aca="false">P160+N161+O161</f>
        <v>36607.16</v>
      </c>
      <c r="Q161" s="5" t="str">
        <f aca="false">IF(P161&lt;=CashCap,"YES","OVER CAP")</f>
        <v>OVER CAP</v>
      </c>
      <c r="R161" s="5" t="str">
        <f aca="false">IF(LowCashMode="OFF","Normal Mode",IF(AND(OR(J161="YES",K161="YES"),Q161="YES"),"BUY NOW",IF(OR(J161="YES",K161="YES"),"DEFERRED","—")))</f>
        <v>Normal Mode</v>
      </c>
    </row>
    <row r="162" customFormat="false" ht="23.85" hidden="false" customHeight="false" outlineLevel="0" collapsed="false">
      <c r="A162" s="5" t="n">
        <f aca="false">ITEM_MASTER_CLEAN!A162</f>
        <v>161</v>
      </c>
      <c r="B162" s="5" t="n">
        <f aca="false">ITEM_MASTER_CLEAN!B162</f>
        <v>67106</v>
      </c>
      <c r="C162" s="5" t="str">
        <f aca="false">ITEM_MASTER_CLEAN!C162</f>
        <v>COFF ICED CONCENTRATE M-FT216F 4X1L</v>
      </c>
      <c r="D162" s="12" t="n">
        <f aca="false">ITEM_MASTER_CLEAN!F162</f>
        <v>13.1</v>
      </c>
      <c r="E162" s="5" t="n">
        <f aca="false">ITEM_MASTER_CLEAN!G162</f>
        <v>4</v>
      </c>
      <c r="F162" s="5" t="n">
        <f aca="false">DEMAND_MODEL!K162*SafetyDays</f>
        <v>0.428571428571429</v>
      </c>
      <c r="G162" s="5" t="n">
        <f aca="false">DEMAND_MODEL!L162*SafetyDays</f>
        <v>0.857142857142857</v>
      </c>
      <c r="H162" s="5" t="n">
        <f aca="false">ITEM_MASTER_CLEAN!H162</f>
        <v>1</v>
      </c>
      <c r="I162" s="5" t="n">
        <f aca="false">ITEM_MASTER_CLEAN!I162</f>
        <v>3</v>
      </c>
      <c r="J162" s="5" t="str">
        <f aca="false">IF(H162&lt;F162,"YES","")</f>
        <v/>
      </c>
      <c r="K162" s="5" t="str">
        <f aca="false">IF(I162&lt;G162,"YES","")</f>
        <v/>
      </c>
      <c r="L162" s="5" t="n">
        <f aca="false">IF(J162="YES",MAX(CEILING(F162-H162,E162),0),0)</f>
        <v>0</v>
      </c>
      <c r="M162" s="5" t="n">
        <f aca="false">IF(K162="YES",MAX(CEILING(G162-I162,E162),0),0)</f>
        <v>0</v>
      </c>
      <c r="N162" s="12" t="n">
        <f aca="false">L162*D162</f>
        <v>0</v>
      </c>
      <c r="O162" s="12" t="n">
        <f aca="false">M162*D162</f>
        <v>0</v>
      </c>
      <c r="P162" s="12" t="n">
        <f aca="false">P161+N162+O162</f>
        <v>36607.16</v>
      </c>
      <c r="Q162" s="5" t="str">
        <f aca="false">IF(P162&lt;=CashCap,"YES","OVER CAP")</f>
        <v>OVER CAP</v>
      </c>
      <c r="R162" s="5" t="str">
        <f aca="false">IF(LowCashMode="OFF","Normal Mode",IF(AND(OR(J162="YES",K162="YES"),Q162="YES"),"BUY NOW",IF(OR(J162="YES",K162="YES"),"DEFERRED","—")))</f>
        <v>Normal Mode</v>
      </c>
    </row>
    <row r="163" customFormat="false" ht="15" hidden="false" customHeight="false" outlineLevel="0" collapsed="false">
      <c r="A163" s="5" t="n">
        <f aca="false">ITEM_MASTER_CLEAN!A163</f>
        <v>162</v>
      </c>
      <c r="B163" s="5" t="n">
        <f aca="false">ITEM_MASTER_CLEAN!B163</f>
        <v>25645</v>
      </c>
      <c r="C163" s="5" t="str">
        <f aca="false">ITEM_MASTER_CLEAN!C163</f>
        <v>WATER ESKA NATURAL SPRING 24X500ML</v>
      </c>
      <c r="D163" s="12" t="n">
        <f aca="false">ITEM_MASTER_CLEAN!F163</f>
        <v>13.46</v>
      </c>
      <c r="E163" s="5" t="n">
        <f aca="false">ITEM_MASTER_CLEAN!G163</f>
        <v>24</v>
      </c>
      <c r="F163" s="5" t="n">
        <f aca="false">DEMAND_MODEL!K163*SafetyDays</f>
        <v>2.57142857142857</v>
      </c>
      <c r="G163" s="5" t="n">
        <f aca="false">DEMAND_MODEL!L163*SafetyDays</f>
        <v>1.71428571428571</v>
      </c>
      <c r="H163" s="5" t="n">
        <f aca="false">ITEM_MASTER_CLEAN!H163</f>
        <v>7</v>
      </c>
      <c r="I163" s="5" t="n">
        <f aca="false">ITEM_MASTER_CLEAN!I163</f>
        <v>4</v>
      </c>
      <c r="J163" s="5" t="str">
        <f aca="false">IF(H163&lt;F163,"YES","")</f>
        <v/>
      </c>
      <c r="K163" s="5" t="str">
        <f aca="false">IF(I163&lt;G163,"YES","")</f>
        <v/>
      </c>
      <c r="L163" s="5" t="n">
        <f aca="false">IF(J163="YES",MAX(CEILING(F163-H163,E163),0),0)</f>
        <v>0</v>
      </c>
      <c r="M163" s="5" t="n">
        <f aca="false">IF(K163="YES",MAX(CEILING(G163-I163,E163),0),0)</f>
        <v>0</v>
      </c>
      <c r="N163" s="12" t="n">
        <f aca="false">L163*D163</f>
        <v>0</v>
      </c>
      <c r="O163" s="12" t="n">
        <f aca="false">M163*D163</f>
        <v>0</v>
      </c>
      <c r="P163" s="12" t="n">
        <f aca="false">P162+N163+O163</f>
        <v>36607.16</v>
      </c>
      <c r="Q163" s="5" t="str">
        <f aca="false">IF(P163&lt;=CashCap,"YES","OVER CAP")</f>
        <v>OVER CAP</v>
      </c>
      <c r="R163" s="5" t="str">
        <f aca="false">IF(LowCashMode="OFF","Normal Mode",IF(AND(OR(J163="YES",K163="YES"),Q163="YES"),"BUY NOW",IF(OR(J163="YES",K163="YES"),"DEFERRED","—")))</f>
        <v>Normal Mode</v>
      </c>
    </row>
    <row r="164" customFormat="false" ht="15" hidden="false" customHeight="false" outlineLevel="0" collapsed="false">
      <c r="A164" s="5" t="n">
        <f aca="false">ITEM_MASTER_CLEAN!A164</f>
        <v>163</v>
      </c>
      <c r="B164" s="5" t="n">
        <f aca="false">ITEM_MASTER_CLEAN!B164</f>
        <v>724574</v>
      </c>
      <c r="C164" s="5" t="str">
        <f aca="false">ITEM_MASTER_CLEAN!C164</f>
        <v>BEV RED BULL SUGAR FREE 24X250ML</v>
      </c>
      <c r="D164" s="12" t="n">
        <f aca="false">ITEM_MASTER_CLEAN!F164</f>
        <v>54.25</v>
      </c>
      <c r="E164" s="5" t="n">
        <f aca="false">ITEM_MASTER_CLEAN!G164</f>
        <v>24</v>
      </c>
      <c r="F164" s="5" t="n">
        <f aca="false">DEMAND_MODEL!K164*SafetyDays</f>
        <v>2.14285714285714</v>
      </c>
      <c r="G164" s="5" t="n">
        <f aca="false">DEMAND_MODEL!L164*SafetyDays</f>
        <v>0.857142857142857</v>
      </c>
      <c r="H164" s="5" t="n">
        <f aca="false">ITEM_MASTER_CLEAN!H164</f>
        <v>15</v>
      </c>
      <c r="I164" s="5" t="n">
        <f aca="false">ITEM_MASTER_CLEAN!I164</f>
        <v>0</v>
      </c>
      <c r="J164" s="5" t="str">
        <f aca="false">IF(H164&lt;F164,"YES","")</f>
        <v/>
      </c>
      <c r="K164" s="5" t="str">
        <f aca="false">IF(I164&lt;G164,"YES","")</f>
        <v>YES</v>
      </c>
      <c r="L164" s="5" t="n">
        <f aca="false">IF(J164="YES",MAX(CEILING(F164-H164,E164),0),0)</f>
        <v>0</v>
      </c>
      <c r="M164" s="5" t="n">
        <f aca="false">IF(K164="YES",MAX(CEILING(G164-I164,E164),0),0)</f>
        <v>24</v>
      </c>
      <c r="N164" s="12" t="n">
        <f aca="false">L164*D164</f>
        <v>0</v>
      </c>
      <c r="O164" s="12" t="n">
        <f aca="false">M164*D164</f>
        <v>1302</v>
      </c>
      <c r="P164" s="12" t="n">
        <f aca="false">P163+N164+O164</f>
        <v>37909.16</v>
      </c>
      <c r="Q164" s="5" t="str">
        <f aca="false">IF(P164&lt;=CashCap,"YES","OVER CAP")</f>
        <v>OVER CAP</v>
      </c>
      <c r="R164" s="5" t="str">
        <f aca="false">IF(LowCashMode="OFF","Normal Mode",IF(AND(OR(J164="YES",K164="YES"),Q164="YES"),"BUY NOW",IF(OR(J164="YES",K164="YES"),"DEFERRED","—")))</f>
        <v>Normal Mode</v>
      </c>
    </row>
    <row r="165" customFormat="false" ht="15" hidden="false" customHeight="false" outlineLevel="0" collapsed="false">
      <c r="A165" s="5" t="n">
        <f aca="false">ITEM_MASTER_CLEAN!A165</f>
        <v>164</v>
      </c>
      <c r="B165" s="5" t="n">
        <f aca="false">ITEM_MASTER_CLEAN!B165</f>
        <v>724573</v>
      </c>
      <c r="C165" s="5" t="str">
        <f aca="false">ITEM_MASTER_CLEAN!C165</f>
        <v>BEV RED BULL 24X250ML</v>
      </c>
      <c r="D165" s="12" t="n">
        <f aca="false">ITEM_MASTER_CLEAN!F165</f>
        <v>53.39</v>
      </c>
      <c r="E165" s="5" t="n">
        <f aca="false">ITEM_MASTER_CLEAN!G165</f>
        <v>24</v>
      </c>
      <c r="F165" s="5" t="n">
        <f aca="false">DEMAND_MODEL!K165*SafetyDays</f>
        <v>3.42857142857143</v>
      </c>
      <c r="G165" s="5" t="n">
        <f aca="false">DEMAND_MODEL!L165*SafetyDays</f>
        <v>2.14285714285714</v>
      </c>
      <c r="H165" s="5" t="n">
        <f aca="false">ITEM_MASTER_CLEAN!H165</f>
        <v>1</v>
      </c>
      <c r="I165" s="5" t="n">
        <f aca="false">ITEM_MASTER_CLEAN!I165</f>
        <v>1</v>
      </c>
      <c r="J165" s="5" t="str">
        <f aca="false">IF(H165&lt;F165,"YES","")</f>
        <v>YES</v>
      </c>
      <c r="K165" s="5" t="str">
        <f aca="false">IF(I165&lt;G165,"YES","")</f>
        <v>YES</v>
      </c>
      <c r="L165" s="5" t="n">
        <f aca="false">IF(J165="YES",MAX(CEILING(F165-H165,E165),0),0)</f>
        <v>24</v>
      </c>
      <c r="M165" s="5" t="n">
        <f aca="false">IF(K165="YES",MAX(CEILING(G165-I165,E165),0),0)</f>
        <v>24</v>
      </c>
      <c r="N165" s="12" t="n">
        <f aca="false">L165*D165</f>
        <v>1281.36</v>
      </c>
      <c r="O165" s="12" t="n">
        <f aca="false">M165*D165</f>
        <v>1281.36</v>
      </c>
      <c r="P165" s="12" t="n">
        <f aca="false">P164+N165+O165</f>
        <v>40471.88</v>
      </c>
      <c r="Q165" s="5" t="str">
        <f aca="false">IF(P165&lt;=CashCap,"YES","OVER CAP")</f>
        <v>OVER CAP</v>
      </c>
      <c r="R165" s="5" t="str">
        <f aca="false">IF(LowCashMode="OFF","Normal Mode",IF(AND(OR(J165="YES",K165="YES"),Q165="YES"),"BUY NOW",IF(OR(J165="YES",K165="YES"),"DEFERRED","—")))</f>
        <v>Normal Mode</v>
      </c>
    </row>
    <row r="166" customFormat="false" ht="15" hidden="false" customHeight="false" outlineLevel="0" collapsed="false">
      <c r="A166" s="5" t="n">
        <f aca="false">ITEM_MASTER_CLEAN!A166</f>
        <v>165</v>
      </c>
      <c r="B166" s="5" t="n">
        <f aca="false">ITEM_MASTER_CLEAN!B166</f>
        <v>724571</v>
      </c>
      <c r="C166" s="5" t="str">
        <f aca="false">ITEM_MASTER_CLEAN!C166</f>
        <v>BEV RED BULL WATERMELON 24X250ML</v>
      </c>
      <c r="D166" s="12" t="n">
        <f aca="false">ITEM_MASTER_CLEAN!F166</f>
        <v>59.27</v>
      </c>
      <c r="E166" s="5" t="n">
        <f aca="false">ITEM_MASTER_CLEAN!G166</f>
        <v>24</v>
      </c>
      <c r="F166" s="5" t="n">
        <f aca="false">DEMAND_MODEL!K166*SafetyDays</f>
        <v>3</v>
      </c>
      <c r="G166" s="5" t="n">
        <f aca="false">DEMAND_MODEL!L166*SafetyDays</f>
        <v>2.14285714285714</v>
      </c>
      <c r="H166" s="5" t="n">
        <f aca="false">ITEM_MASTER_CLEAN!H166</f>
        <v>22</v>
      </c>
      <c r="I166" s="5" t="n">
        <f aca="false">ITEM_MASTER_CLEAN!I166</f>
        <v>2</v>
      </c>
      <c r="J166" s="5" t="str">
        <f aca="false">IF(H166&lt;F166,"YES","")</f>
        <v/>
      </c>
      <c r="K166" s="5" t="str">
        <f aca="false">IF(I166&lt;G166,"YES","")</f>
        <v>YES</v>
      </c>
      <c r="L166" s="5" t="n">
        <f aca="false">IF(J166="YES",MAX(CEILING(F166-H166,E166),0),0)</f>
        <v>0</v>
      </c>
      <c r="M166" s="5" t="n">
        <f aca="false">IF(K166="YES",MAX(CEILING(G166-I166,E166),0),0)</f>
        <v>24</v>
      </c>
      <c r="N166" s="12" t="n">
        <f aca="false">L166*D166</f>
        <v>0</v>
      </c>
      <c r="O166" s="12" t="n">
        <f aca="false">M166*D166</f>
        <v>1422.48</v>
      </c>
      <c r="P166" s="12" t="n">
        <f aca="false">P165+N166+O166</f>
        <v>41894.36</v>
      </c>
      <c r="Q166" s="5" t="str">
        <f aca="false">IF(P166&lt;=CashCap,"YES","OVER CAP")</f>
        <v>OVER CAP</v>
      </c>
      <c r="R166" s="5" t="str">
        <f aca="false">IF(LowCashMode="OFF","Normal Mode",IF(AND(OR(J166="YES",K166="YES"),Q166="YES"),"BUY NOW",IF(OR(J166="YES",K166="YES"),"DEFERRED","—")))</f>
        <v>Normal Mode</v>
      </c>
    </row>
    <row r="167" customFormat="false" ht="15" hidden="false" customHeight="false" outlineLevel="0" collapsed="false">
      <c r="A167" s="5" t="n">
        <f aca="false">ITEM_MASTER_CLEAN!A167</f>
        <v>166</v>
      </c>
      <c r="B167" s="5" t="n">
        <f aca="false">ITEM_MASTER_CLEAN!B167</f>
        <v>45164</v>
      </c>
      <c r="C167" s="5" t="str">
        <f aca="false">ITEM_MASTER_CLEAN!C167</f>
        <v>POPPING BOBBA MANGO 2X3.1K</v>
      </c>
      <c r="D167" s="12" t="n">
        <f aca="false">ITEM_MASTER_CLEAN!F167</f>
        <v>28.94</v>
      </c>
      <c r="E167" s="5" t="n">
        <f aca="false">ITEM_MASTER_CLEAN!G167</f>
        <v>2</v>
      </c>
      <c r="F167" s="5" t="n">
        <f aca="false">DEMAND_MODEL!K167*SafetyDays</f>
        <v>0.857142857142857</v>
      </c>
      <c r="G167" s="5" t="n">
        <f aca="false">DEMAND_MODEL!L167*SafetyDays</f>
        <v>1.71428571428571</v>
      </c>
      <c r="H167" s="5" t="n">
        <f aca="false">ITEM_MASTER_CLEAN!H167</f>
        <v>0</v>
      </c>
      <c r="I167" s="5" t="n">
        <f aca="false">ITEM_MASTER_CLEAN!I167</f>
        <v>12</v>
      </c>
      <c r="J167" s="5" t="str">
        <f aca="false">IF(H167&lt;F167,"YES","")</f>
        <v>YES</v>
      </c>
      <c r="K167" s="5" t="str">
        <f aca="false">IF(I167&lt;G167,"YES","")</f>
        <v/>
      </c>
      <c r="L167" s="5" t="n">
        <f aca="false">IF(J167="YES",MAX(CEILING(F167-H167,E167),0),0)</f>
        <v>2</v>
      </c>
      <c r="M167" s="5" t="n">
        <f aca="false">IF(K167="YES",MAX(CEILING(G167-I167,E167),0),0)</f>
        <v>0</v>
      </c>
      <c r="N167" s="12" t="n">
        <f aca="false">L167*D167</f>
        <v>57.88</v>
      </c>
      <c r="O167" s="12" t="n">
        <f aca="false">M167*D167</f>
        <v>0</v>
      </c>
      <c r="P167" s="12" t="n">
        <f aca="false">P166+N167+O167</f>
        <v>41952.24</v>
      </c>
      <c r="Q167" s="5" t="str">
        <f aca="false">IF(P167&lt;=CashCap,"YES","OVER CAP")</f>
        <v>OVER CAP</v>
      </c>
      <c r="R167" s="5" t="str">
        <f aca="false">IF(LowCashMode="OFF","Normal Mode",IF(AND(OR(J167="YES",K167="YES"),Q167="YES"),"BUY NOW",IF(OR(J167="YES",K167="YES"),"DEFERRED","—")))</f>
        <v>Normal Mode</v>
      </c>
    </row>
    <row r="168" customFormat="false" ht="15" hidden="false" customHeight="false" outlineLevel="0" collapsed="false">
      <c r="A168" s="5" t="n">
        <f aca="false">ITEM_MASTER_CLEAN!A168</f>
        <v>167</v>
      </c>
      <c r="B168" s="5" t="n">
        <f aca="false">ITEM_MASTER_CLEAN!B168</f>
        <v>52266</v>
      </c>
      <c r="C168" s="5" t="str">
        <f aca="false">ITEM_MASTER_CLEAN!C168</f>
        <v>POPPING BOBBA STRAWBERRY 2X3.1K</v>
      </c>
      <c r="D168" s="12" t="n">
        <f aca="false">ITEM_MASTER_CLEAN!F168</f>
        <v>22.17</v>
      </c>
      <c r="E168" s="5" t="n">
        <f aca="false">ITEM_MASTER_CLEAN!G168</f>
        <v>2</v>
      </c>
      <c r="F168" s="5" t="n">
        <f aca="false">DEMAND_MODEL!K168*SafetyDays</f>
        <v>0.857142857142857</v>
      </c>
      <c r="G168" s="5" t="n">
        <f aca="false">DEMAND_MODEL!L168*SafetyDays</f>
        <v>1.28571428571429</v>
      </c>
      <c r="H168" s="5" t="n">
        <f aca="false">ITEM_MASTER_CLEAN!H168</f>
        <v>3</v>
      </c>
      <c r="I168" s="5" t="n">
        <f aca="false">ITEM_MASTER_CLEAN!I168</f>
        <v>5</v>
      </c>
      <c r="J168" s="5" t="str">
        <f aca="false">IF(H168&lt;F168,"YES","")</f>
        <v/>
      </c>
      <c r="K168" s="5" t="str">
        <f aca="false">IF(I168&lt;G168,"YES","")</f>
        <v/>
      </c>
      <c r="L168" s="5" t="n">
        <f aca="false">IF(J168="YES",MAX(CEILING(F168-H168,E168),0),0)</f>
        <v>0</v>
      </c>
      <c r="M168" s="5" t="n">
        <f aca="false">IF(K168="YES",MAX(CEILING(G168-I168,E168),0),0)</f>
        <v>0</v>
      </c>
      <c r="N168" s="12" t="n">
        <f aca="false">L168*D168</f>
        <v>0</v>
      </c>
      <c r="O168" s="12" t="n">
        <f aca="false">M168*D168</f>
        <v>0</v>
      </c>
      <c r="P168" s="12" t="n">
        <f aca="false">P167+N168+O168</f>
        <v>41952.24</v>
      </c>
      <c r="Q168" s="5" t="str">
        <f aca="false">IF(P168&lt;=CashCap,"YES","OVER CAP")</f>
        <v>OVER CAP</v>
      </c>
      <c r="R168" s="5" t="str">
        <f aca="false">IF(LowCashMode="OFF","Normal Mode",IF(AND(OR(J168="YES",K168="YES"),Q168="YES"),"BUY NOW",IF(OR(J168="YES",K168="YES"),"DEFERRED","—")))</f>
        <v>Normal Mode</v>
      </c>
    </row>
    <row r="169" customFormat="false" ht="23.85" hidden="false" customHeight="false" outlineLevel="0" collapsed="false">
      <c r="A169" s="5" t="n">
        <f aca="false">ITEM_MASTER_CLEAN!A169</f>
        <v>168</v>
      </c>
      <c r="B169" s="5" t="n">
        <f aca="false">ITEM_MASTER_CLEAN!B169</f>
        <v>39813</v>
      </c>
      <c r="C169" s="5" t="str">
        <f aca="false">ITEM_MASTER_CLEAN!C169</f>
        <v>LADIP SMOOTH MAN/PCH(SUNRIZE)40X135</v>
      </c>
      <c r="D169" s="12" t="n">
        <f aca="false">ITEM_MASTER_CLEAN!F169</f>
        <v>25.74</v>
      </c>
      <c r="E169" s="5" t="n">
        <f aca="false">ITEM_MASTER_CLEAN!G169</f>
        <v>40</v>
      </c>
      <c r="F169" s="5" t="n">
        <f aca="false">DEMAND_MODEL!K169*SafetyDays</f>
        <v>2.14285714285714</v>
      </c>
      <c r="G169" s="5" t="n">
        <f aca="false">DEMAND_MODEL!L169*SafetyDays</f>
        <v>0.428571428571429</v>
      </c>
      <c r="H169" s="5" t="n">
        <f aca="false">ITEM_MASTER_CLEAN!H169</f>
        <v>18</v>
      </c>
      <c r="I169" s="5" t="n">
        <f aca="false">ITEM_MASTER_CLEAN!I169</f>
        <v>0</v>
      </c>
      <c r="J169" s="5" t="str">
        <f aca="false">IF(H169&lt;F169,"YES","")</f>
        <v/>
      </c>
      <c r="K169" s="5" t="str">
        <f aca="false">IF(I169&lt;G169,"YES","")</f>
        <v>YES</v>
      </c>
      <c r="L169" s="5" t="n">
        <f aca="false">IF(J169="YES",MAX(CEILING(F169-H169,E169),0),0)</f>
        <v>0</v>
      </c>
      <c r="M169" s="5" t="n">
        <f aca="false">IF(K169="YES",MAX(CEILING(G169-I169,E169),0),0)</f>
        <v>40</v>
      </c>
      <c r="N169" s="12" t="n">
        <f aca="false">L169*D169</f>
        <v>0</v>
      </c>
      <c r="O169" s="12" t="n">
        <f aca="false">M169*D169</f>
        <v>1029.6</v>
      </c>
      <c r="P169" s="12" t="n">
        <f aca="false">P168+N169+O169</f>
        <v>42981.84</v>
      </c>
      <c r="Q169" s="5" t="str">
        <f aca="false">IF(P169&lt;=CashCap,"YES","OVER CAP")</f>
        <v>OVER CAP</v>
      </c>
      <c r="R169" s="5" t="str">
        <f aca="false">IF(LowCashMode="OFF","Normal Mode",IF(AND(OR(J169="YES",K169="YES"),Q169="YES"),"BUY NOW",IF(OR(J169="YES",K169="YES"),"DEFERRED","—")))</f>
        <v>Normal Mode</v>
      </c>
    </row>
    <row r="170" customFormat="false" ht="15" hidden="false" customHeight="false" outlineLevel="0" collapsed="false">
      <c r="A170" s="5" t="n">
        <f aca="false">ITEM_MASTER_CLEAN!A170</f>
        <v>169</v>
      </c>
      <c r="B170" s="5" t="n">
        <f aca="false">ITEM_MASTER_CLEAN!B170</f>
        <v>39814</v>
      </c>
      <c r="C170" s="5" t="str">
        <f aca="false">ITEM_MASTER_CLEAN!C170</f>
        <v>LADIP SMOOTHIE MAN/KIWI(AZUR)40X135</v>
      </c>
      <c r="D170" s="12" t="n">
        <f aca="false">ITEM_MASTER_CLEAN!F170</f>
        <v>42.18</v>
      </c>
      <c r="E170" s="5" t="n">
        <f aca="false">ITEM_MASTER_CLEAN!G170</f>
        <v>40</v>
      </c>
      <c r="F170" s="5" t="n">
        <f aca="false">DEMAND_MODEL!K170*SafetyDays</f>
        <v>0.857142857142857</v>
      </c>
      <c r="G170" s="5" t="n">
        <f aca="false">DEMAND_MODEL!L170*SafetyDays</f>
        <v>1.28571428571429</v>
      </c>
      <c r="H170" s="5" t="n">
        <f aca="false">ITEM_MASTER_CLEAN!H170</f>
        <v>3</v>
      </c>
      <c r="I170" s="5" t="n">
        <f aca="false">ITEM_MASTER_CLEAN!I170</f>
        <v>4</v>
      </c>
      <c r="J170" s="5" t="str">
        <f aca="false">IF(H170&lt;F170,"YES","")</f>
        <v/>
      </c>
      <c r="K170" s="5" t="str">
        <f aca="false">IF(I170&lt;G170,"YES","")</f>
        <v/>
      </c>
      <c r="L170" s="5" t="n">
        <f aca="false">IF(J170="YES",MAX(CEILING(F170-H170,E170),0),0)</f>
        <v>0</v>
      </c>
      <c r="M170" s="5" t="n">
        <f aca="false">IF(K170="YES",MAX(CEILING(G170-I170,E170),0),0)</f>
        <v>0</v>
      </c>
      <c r="N170" s="12" t="n">
        <f aca="false">L170*D170</f>
        <v>0</v>
      </c>
      <c r="O170" s="12" t="n">
        <f aca="false">M170*D170</f>
        <v>0</v>
      </c>
      <c r="P170" s="12" t="n">
        <f aca="false">P169+N170+O170</f>
        <v>42981.84</v>
      </c>
      <c r="Q170" s="5" t="str">
        <f aca="false">IF(P170&lt;=CashCap,"YES","OVER CAP")</f>
        <v>OVER CAP</v>
      </c>
      <c r="R170" s="5" t="str">
        <f aca="false">IF(LowCashMode="OFF","Normal Mode",IF(AND(OR(J170="YES",K170="YES"),Q170="YES"),"BUY NOW",IF(OR(J170="YES",K170="YES"),"DEFERRED","—")))</f>
        <v>Normal Mode</v>
      </c>
    </row>
    <row r="171" customFormat="false" ht="15" hidden="false" customHeight="false" outlineLevel="0" collapsed="false">
      <c r="A171" s="5" t="n">
        <f aca="false">ITEM_MASTER_CLEAN!A171</f>
        <v>170</v>
      </c>
      <c r="B171" s="5" t="n">
        <f aca="false">ITEM_MASTER_CLEAN!B171</f>
        <v>32548</v>
      </c>
      <c r="C171" s="5" t="str">
        <f aca="false">ITEM_MASTER_CLEAN!C171</f>
        <v>JCE LEMON REALEMON K 2X3.8L</v>
      </c>
      <c r="D171" s="12" t="n">
        <f aca="false">ITEM_MASTER_CLEAN!F171</f>
        <v>39.86</v>
      </c>
      <c r="E171" s="5" t="n">
        <f aca="false">ITEM_MASTER_CLEAN!G171</f>
        <v>2</v>
      </c>
      <c r="F171" s="5" t="n">
        <f aca="false">DEMAND_MODEL!K171*SafetyDays</f>
        <v>2.14285714285714</v>
      </c>
      <c r="G171" s="5" t="n">
        <f aca="false">DEMAND_MODEL!L171*SafetyDays</f>
        <v>0.857142857142857</v>
      </c>
      <c r="H171" s="5" t="n">
        <f aca="false">ITEM_MASTER_CLEAN!H171</f>
        <v>5</v>
      </c>
      <c r="I171" s="5" t="n">
        <f aca="false">ITEM_MASTER_CLEAN!I171</f>
        <v>2</v>
      </c>
      <c r="J171" s="5" t="str">
        <f aca="false">IF(H171&lt;F171,"YES","")</f>
        <v/>
      </c>
      <c r="K171" s="5" t="str">
        <f aca="false">IF(I171&lt;G171,"YES","")</f>
        <v/>
      </c>
      <c r="L171" s="5" t="n">
        <f aca="false">IF(J171="YES",MAX(CEILING(F171-H171,E171),0),0)</f>
        <v>0</v>
      </c>
      <c r="M171" s="5" t="n">
        <f aca="false">IF(K171="YES",MAX(CEILING(G171-I171,E171),0),0)</f>
        <v>0</v>
      </c>
      <c r="N171" s="12" t="n">
        <f aca="false">L171*D171</f>
        <v>0</v>
      </c>
      <c r="O171" s="12" t="n">
        <f aca="false">M171*D171</f>
        <v>0</v>
      </c>
      <c r="P171" s="12" t="n">
        <f aca="false">P170+N171+O171</f>
        <v>42981.84</v>
      </c>
      <c r="Q171" s="5" t="str">
        <f aca="false">IF(P171&lt;=CashCap,"YES","OVER CAP")</f>
        <v>OVER CAP</v>
      </c>
      <c r="R171" s="5" t="str">
        <f aca="false">IF(LowCashMode="OFF","Normal Mode",IF(AND(OR(J171="YES",K171="YES"),Q171="YES"),"BUY NOW",IF(OR(J171="YES",K171="YES"),"DEFERRED","—")))</f>
        <v>Normal Mode</v>
      </c>
    </row>
    <row r="172" customFormat="false" ht="15" hidden="false" customHeight="false" outlineLevel="0" collapsed="false">
      <c r="A172" s="5" t="n">
        <f aca="false">ITEM_MASTER_CLEAN!A172</f>
        <v>171</v>
      </c>
      <c r="B172" s="5" t="n">
        <f aca="false">ITEM_MASTER_CLEAN!B172</f>
        <v>67168</v>
      </c>
      <c r="C172" s="5" t="str">
        <f aca="false">ITEM_MASTER_CLEAN!C172</f>
        <v>SYRUP MANGO M-FR032F 1L</v>
      </c>
      <c r="D172" s="12" t="n">
        <f aca="false">ITEM_MASTER_CLEAN!F172</f>
        <v>10.26</v>
      </c>
      <c r="E172" s="5" t="n">
        <f aca="false">ITEM_MASTER_CLEAN!G172</f>
        <v>1</v>
      </c>
      <c r="F172" s="5" t="n">
        <f aca="false">DEMAND_MODEL!K172*SafetyDays</f>
        <v>1.28571428571429</v>
      </c>
      <c r="G172" s="5" t="n">
        <f aca="false">DEMAND_MODEL!L172*SafetyDays</f>
        <v>0.428571428571429</v>
      </c>
      <c r="H172" s="5" t="n">
        <f aca="false">ITEM_MASTER_CLEAN!H172</f>
        <v>1</v>
      </c>
      <c r="I172" s="5" t="n">
        <f aca="false">ITEM_MASTER_CLEAN!I172</f>
        <v>0</v>
      </c>
      <c r="J172" s="5" t="str">
        <f aca="false">IF(H172&lt;F172,"YES","")</f>
        <v>YES</v>
      </c>
      <c r="K172" s="5" t="str">
        <f aca="false">IF(I172&lt;G172,"YES","")</f>
        <v>YES</v>
      </c>
      <c r="L172" s="5" t="n">
        <f aca="false">IF(J172="YES",MAX(CEILING(F172-H172,E172),0),0)</f>
        <v>1</v>
      </c>
      <c r="M172" s="5" t="n">
        <f aca="false">IF(K172="YES",MAX(CEILING(G172-I172,E172),0),0)</f>
        <v>1</v>
      </c>
      <c r="N172" s="12" t="n">
        <f aca="false">L172*D172</f>
        <v>10.26</v>
      </c>
      <c r="O172" s="12" t="n">
        <f aca="false">M172*D172</f>
        <v>10.26</v>
      </c>
      <c r="P172" s="12" t="n">
        <f aca="false">P171+N172+O172</f>
        <v>43002.36</v>
      </c>
      <c r="Q172" s="5" t="str">
        <f aca="false">IF(P172&lt;=CashCap,"YES","OVER CAP")</f>
        <v>OVER CAP</v>
      </c>
      <c r="R172" s="5" t="str">
        <f aca="false">IF(LowCashMode="OFF","Normal Mode",IF(AND(OR(J172="YES",K172="YES"),Q172="YES"),"BUY NOW",IF(OR(J172="YES",K172="YES"),"DEFERRED","—")))</f>
        <v>Normal Mode</v>
      </c>
    </row>
    <row r="173" customFormat="false" ht="15" hidden="false" customHeight="false" outlineLevel="0" collapsed="false">
      <c r="A173" s="5" t="n">
        <f aca="false">ITEM_MASTER_CLEAN!A173</f>
        <v>172</v>
      </c>
      <c r="B173" s="5" t="n">
        <f aca="false">ITEM_MASTER_CLEAN!B173</f>
        <v>67154</v>
      </c>
      <c r="C173" s="5" t="str">
        <f aca="false">ITEM_MASTER_CLEAN!C173</f>
        <v>SYRUP PASSION FRUIT 1L</v>
      </c>
      <c r="D173" s="12" t="n">
        <f aca="false">ITEM_MASTER_CLEAN!F173</f>
        <v>10.22</v>
      </c>
      <c r="E173" s="5" t="n">
        <f aca="false">ITEM_MASTER_CLEAN!G173</f>
        <v>1</v>
      </c>
      <c r="F173" s="5" t="n">
        <f aca="false">DEMAND_MODEL!K173*SafetyDays</f>
        <v>1.28571428571429</v>
      </c>
      <c r="G173" s="5" t="n">
        <f aca="false">DEMAND_MODEL!L173*SafetyDays</f>
        <v>1.28571428571429</v>
      </c>
      <c r="H173" s="5" t="n">
        <f aca="false">ITEM_MASTER_CLEAN!H173</f>
        <v>1</v>
      </c>
      <c r="I173" s="5" t="n">
        <f aca="false">ITEM_MASTER_CLEAN!I173</f>
        <v>9</v>
      </c>
      <c r="J173" s="5" t="str">
        <f aca="false">IF(H173&lt;F173,"YES","")</f>
        <v>YES</v>
      </c>
      <c r="K173" s="5" t="str">
        <f aca="false">IF(I173&lt;G173,"YES","")</f>
        <v/>
      </c>
      <c r="L173" s="5" t="n">
        <f aca="false">IF(J173="YES",MAX(CEILING(F173-H173,E173),0),0)</f>
        <v>1</v>
      </c>
      <c r="M173" s="5" t="n">
        <f aca="false">IF(K173="YES",MAX(CEILING(G173-I173,E173),0),0)</f>
        <v>0</v>
      </c>
      <c r="N173" s="12" t="n">
        <f aca="false">L173*D173</f>
        <v>10.22</v>
      </c>
      <c r="O173" s="12" t="n">
        <f aca="false">M173*D173</f>
        <v>0</v>
      </c>
      <c r="P173" s="12" t="n">
        <f aca="false">P172+N173+O173</f>
        <v>43012.58</v>
      </c>
      <c r="Q173" s="5" t="str">
        <f aca="false">IF(P173&lt;=CashCap,"YES","OVER CAP")</f>
        <v>OVER CAP</v>
      </c>
      <c r="R173" s="5" t="str">
        <f aca="false">IF(LowCashMode="OFF","Normal Mode",IF(AND(OR(J173="YES",K173="YES"),Q173="YES"),"BUY NOW",IF(OR(J173="YES",K173="YES"),"DEFERRED","—")))</f>
        <v>Normal Mode</v>
      </c>
    </row>
    <row r="174" customFormat="false" ht="15" hidden="false" customHeight="false" outlineLevel="0" collapsed="false">
      <c r="A174" s="5" t="n">
        <f aca="false">ITEM_MASTER_CLEAN!A174</f>
        <v>173</v>
      </c>
      <c r="B174" s="5" t="n">
        <f aca="false">ITEM_MASTER_CLEAN!B174</f>
        <v>67132</v>
      </c>
      <c r="C174" s="5" t="str">
        <f aca="false">ITEM_MASTER_CLEAN!C174</f>
        <v>SYRUP BLUE CURACAO M-AR007A  750ML</v>
      </c>
      <c r="D174" s="12" t="n">
        <f aca="false">ITEM_MASTER_CLEAN!F174</f>
        <v>12.46</v>
      </c>
      <c r="E174" s="5" t="n">
        <f aca="false">ITEM_MASTER_CLEAN!G174</f>
        <v>1</v>
      </c>
      <c r="F174" s="5" t="n">
        <f aca="false">DEMAND_MODEL!K174*SafetyDays</f>
        <v>2.14285714285714</v>
      </c>
      <c r="G174" s="5" t="n">
        <f aca="false">DEMAND_MODEL!L174*SafetyDays</f>
        <v>1.28571428571429</v>
      </c>
      <c r="H174" s="5" t="n">
        <f aca="false">ITEM_MASTER_CLEAN!H174</f>
        <v>6</v>
      </c>
      <c r="I174" s="5" t="n">
        <f aca="false">ITEM_MASTER_CLEAN!I174</f>
        <v>3</v>
      </c>
      <c r="J174" s="5" t="str">
        <f aca="false">IF(H174&lt;F174,"YES","")</f>
        <v/>
      </c>
      <c r="K174" s="5" t="str">
        <f aca="false">IF(I174&lt;G174,"YES","")</f>
        <v/>
      </c>
      <c r="L174" s="5" t="n">
        <f aca="false">IF(J174="YES",MAX(CEILING(F174-H174,E174),0),0)</f>
        <v>0</v>
      </c>
      <c r="M174" s="5" t="n">
        <f aca="false">IF(K174="YES",MAX(CEILING(G174-I174,E174),0),0)</f>
        <v>0</v>
      </c>
      <c r="N174" s="12" t="n">
        <f aca="false">L174*D174</f>
        <v>0</v>
      </c>
      <c r="O174" s="12" t="n">
        <f aca="false">M174*D174</f>
        <v>0</v>
      </c>
      <c r="P174" s="12" t="n">
        <f aca="false">P173+N174+O174</f>
        <v>43012.58</v>
      </c>
      <c r="Q174" s="5" t="str">
        <f aca="false">IF(P174&lt;=CashCap,"YES","OVER CAP")</f>
        <v>OVER CAP</v>
      </c>
      <c r="R174" s="5" t="str">
        <f aca="false">IF(LowCashMode="OFF","Normal Mode",IF(AND(OR(J174="YES",K174="YES"),Q174="YES"),"BUY NOW",IF(OR(J174="YES",K174="YES"),"DEFERRED","—")))</f>
        <v>Normal Mode</v>
      </c>
    </row>
    <row r="175" customFormat="false" ht="15" hidden="false" customHeight="false" outlineLevel="0" collapsed="false">
      <c r="A175" s="5" t="n">
        <f aca="false">ITEM_MASTER_CLEAN!A175</f>
        <v>174</v>
      </c>
      <c r="B175" s="5" t="n">
        <f aca="false">ITEM_MASTER_CLEAN!B175</f>
        <v>61661</v>
      </c>
      <c r="C175" s="5" t="str">
        <f aca="false">ITEM_MASTER_CLEAN!C175</f>
        <v>SYRUP RUBY RD GRFRUIT MONIN 1L</v>
      </c>
      <c r="D175" s="12" t="n">
        <f aca="false">ITEM_MASTER_CLEAN!F175</f>
        <v>14.81</v>
      </c>
      <c r="E175" s="5" t="n">
        <f aca="false">ITEM_MASTER_CLEAN!G175</f>
        <v>1</v>
      </c>
      <c r="F175" s="5" t="n">
        <f aca="false">DEMAND_MODEL!K175*SafetyDays</f>
        <v>2.14285714285714</v>
      </c>
      <c r="G175" s="5" t="n">
        <f aca="false">DEMAND_MODEL!L175*SafetyDays</f>
        <v>0.428571428571429</v>
      </c>
      <c r="H175" s="5" t="n">
        <f aca="false">ITEM_MASTER_CLEAN!H175</f>
        <v>1</v>
      </c>
      <c r="I175" s="5" t="n">
        <f aca="false">ITEM_MASTER_CLEAN!I175</f>
        <v>3</v>
      </c>
      <c r="J175" s="5" t="str">
        <f aca="false">IF(H175&lt;F175,"YES","")</f>
        <v>YES</v>
      </c>
      <c r="K175" s="5" t="str">
        <f aca="false">IF(I175&lt;G175,"YES","")</f>
        <v/>
      </c>
      <c r="L175" s="5" t="n">
        <f aca="false">IF(J175="YES",MAX(CEILING(F175-H175,E175),0),0)</f>
        <v>2</v>
      </c>
      <c r="M175" s="5" t="n">
        <f aca="false">IF(K175="YES",MAX(CEILING(G175-I175,E175),0),0)</f>
        <v>0</v>
      </c>
      <c r="N175" s="12" t="n">
        <f aca="false">L175*D175</f>
        <v>29.62</v>
      </c>
      <c r="O175" s="12" t="n">
        <f aca="false">M175*D175</f>
        <v>0</v>
      </c>
      <c r="P175" s="12" t="n">
        <f aca="false">P174+N175+O175</f>
        <v>43042.2</v>
      </c>
      <c r="Q175" s="5" t="str">
        <f aca="false">IF(P175&lt;=CashCap,"YES","OVER CAP")</f>
        <v>OVER CAP</v>
      </c>
      <c r="R175" s="5" t="str">
        <f aca="false">IF(LowCashMode="OFF","Normal Mode",IF(AND(OR(J175="YES",K175="YES"),Q175="YES"),"BUY NOW",IF(OR(J175="YES",K175="YES"),"DEFERRED","—")))</f>
        <v>Normal Mode</v>
      </c>
    </row>
    <row r="176" customFormat="false" ht="15" hidden="false" customHeight="false" outlineLevel="0" collapsed="false">
      <c r="A176" s="5" t="n">
        <f aca="false">ITEM_MASTER_CLEAN!A176</f>
        <v>175</v>
      </c>
      <c r="B176" s="5" t="n">
        <f aca="false">ITEM_MASTER_CLEAN!B176</f>
        <v>67085</v>
      </c>
      <c r="C176" s="5" t="str">
        <f aca="false">ITEM_MASTER_CLEAN!C176</f>
        <v>SYRUP STRAWBERRY MONIN K 750ML</v>
      </c>
      <c r="D176" s="12" t="n">
        <f aca="false">ITEM_MASTER_CLEAN!F176</f>
        <v>25.18</v>
      </c>
      <c r="E176" s="5" t="n">
        <f aca="false">ITEM_MASTER_CLEAN!G176</f>
        <v>1</v>
      </c>
      <c r="F176" s="5" t="n">
        <f aca="false">DEMAND_MODEL!K176*SafetyDays</f>
        <v>1.28571428571429</v>
      </c>
      <c r="G176" s="5" t="n">
        <f aca="false">DEMAND_MODEL!L176*SafetyDays</f>
        <v>1.71428571428571</v>
      </c>
      <c r="H176" s="5" t="n">
        <f aca="false">ITEM_MASTER_CLEAN!H176</f>
        <v>0</v>
      </c>
      <c r="I176" s="5" t="n">
        <f aca="false">ITEM_MASTER_CLEAN!I176</f>
        <v>2</v>
      </c>
      <c r="J176" s="5" t="str">
        <f aca="false">IF(H176&lt;F176,"YES","")</f>
        <v>YES</v>
      </c>
      <c r="K176" s="5" t="str">
        <f aca="false">IF(I176&lt;G176,"YES","")</f>
        <v/>
      </c>
      <c r="L176" s="5" t="n">
        <f aca="false">IF(J176="YES",MAX(CEILING(F176-H176,E176),0),0)</f>
        <v>2</v>
      </c>
      <c r="M176" s="5" t="n">
        <f aca="false">IF(K176="YES",MAX(CEILING(G176-I176,E176),0),0)</f>
        <v>0</v>
      </c>
      <c r="N176" s="12" t="n">
        <f aca="false">L176*D176</f>
        <v>50.36</v>
      </c>
      <c r="O176" s="12" t="n">
        <f aca="false">M176*D176</f>
        <v>0</v>
      </c>
      <c r="P176" s="12" t="n">
        <f aca="false">P175+N176+O176</f>
        <v>43092.56</v>
      </c>
      <c r="Q176" s="5" t="str">
        <f aca="false">IF(P176&lt;=CashCap,"YES","OVER CAP")</f>
        <v>OVER CAP</v>
      </c>
      <c r="R176" s="5" t="str">
        <f aca="false">IF(LowCashMode="OFF","Normal Mode",IF(AND(OR(J176="YES",K176="YES"),Q176="YES"),"BUY NOW",IF(OR(J176="YES",K176="YES"),"DEFERRED","—")))</f>
        <v>Normal Mode</v>
      </c>
    </row>
    <row r="177" customFormat="false" ht="15" hidden="false" customHeight="false" outlineLevel="0" collapsed="false">
      <c r="A177" s="5" t="n">
        <f aca="false">ITEM_MASTER_CLEAN!A177</f>
        <v>176</v>
      </c>
      <c r="B177" s="5" t="n">
        <f aca="false">ITEM_MASTER_CLEAN!B177</f>
        <v>67063</v>
      </c>
      <c r="C177" s="5" t="str">
        <f aca="false">ITEM_MASTER_CLEAN!C177</f>
        <v>SYRUP DRAGON FRUIT M-FR298F   1L</v>
      </c>
      <c r="D177" s="12" t="n">
        <f aca="false">ITEM_MASTER_CLEAN!F177</f>
        <v>11.65</v>
      </c>
      <c r="E177" s="5" t="n">
        <f aca="false">ITEM_MASTER_CLEAN!G177</f>
        <v>1</v>
      </c>
      <c r="F177" s="5" t="n">
        <f aca="false">DEMAND_MODEL!K177*SafetyDays</f>
        <v>0.857142857142857</v>
      </c>
      <c r="G177" s="5" t="n">
        <f aca="false">DEMAND_MODEL!L177*SafetyDays</f>
        <v>0.428571428571429</v>
      </c>
      <c r="H177" s="5" t="n">
        <f aca="false">ITEM_MASTER_CLEAN!H177</f>
        <v>0</v>
      </c>
      <c r="I177" s="5" t="n">
        <f aca="false">ITEM_MASTER_CLEAN!I177</f>
        <v>2</v>
      </c>
      <c r="J177" s="5" t="str">
        <f aca="false">IF(H177&lt;F177,"YES","")</f>
        <v>YES</v>
      </c>
      <c r="K177" s="5" t="str">
        <f aca="false">IF(I177&lt;G177,"YES","")</f>
        <v/>
      </c>
      <c r="L177" s="5" t="n">
        <f aca="false">IF(J177="YES",MAX(CEILING(F177-H177,E177),0),0)</f>
        <v>1</v>
      </c>
      <c r="M177" s="5" t="n">
        <f aca="false">IF(K177="YES",MAX(CEILING(G177-I177,E177),0),0)</f>
        <v>0</v>
      </c>
      <c r="N177" s="12" t="n">
        <f aca="false">L177*D177</f>
        <v>11.65</v>
      </c>
      <c r="O177" s="12" t="n">
        <f aca="false">M177*D177</f>
        <v>0</v>
      </c>
      <c r="P177" s="12" t="n">
        <f aca="false">P176+N177+O177</f>
        <v>43104.21</v>
      </c>
      <c r="Q177" s="5" t="str">
        <f aca="false">IF(P177&lt;=CashCap,"YES","OVER CAP")</f>
        <v>OVER CAP</v>
      </c>
      <c r="R177" s="5" t="str">
        <f aca="false">IF(LowCashMode="OFF","Normal Mode",IF(AND(OR(J177="YES",K177="YES"),Q177="YES"),"BUY NOW",IF(OR(J177="YES",K177="YES"),"DEFERRED","—")))</f>
        <v>Normal Mode</v>
      </c>
    </row>
    <row r="178" customFormat="false" ht="15" hidden="false" customHeight="false" outlineLevel="0" collapsed="false">
      <c r="A178" s="5" t="n">
        <f aca="false">ITEM_MASTER_CLEAN!A178</f>
        <v>177</v>
      </c>
      <c r="B178" s="5" t="n">
        <f aca="false">ITEM_MASTER_CLEAN!B178</f>
        <v>61739</v>
      </c>
      <c r="C178" s="5" t="str">
        <f aca="false">ITEM_MASTER_CLEAN!C178</f>
        <v>SYRUP HIBISCUS MONIN 1L</v>
      </c>
      <c r="D178" s="12" t="n">
        <f aca="false">ITEM_MASTER_CLEAN!F178</f>
        <v>14.07</v>
      </c>
      <c r="E178" s="5" t="n">
        <f aca="false">ITEM_MASTER_CLEAN!G178</f>
        <v>1</v>
      </c>
      <c r="F178" s="5" t="n">
        <f aca="false">DEMAND_MODEL!K178*SafetyDays</f>
        <v>2.14285714285714</v>
      </c>
      <c r="G178" s="5" t="n">
        <f aca="false">DEMAND_MODEL!L178*SafetyDays</f>
        <v>0.428571428571429</v>
      </c>
      <c r="H178" s="5" t="n">
        <f aca="false">ITEM_MASTER_CLEAN!H178</f>
        <v>7</v>
      </c>
      <c r="I178" s="5" t="n">
        <f aca="false">ITEM_MASTER_CLEAN!I178</f>
        <v>1</v>
      </c>
      <c r="J178" s="5" t="str">
        <f aca="false">IF(H178&lt;F178,"YES","")</f>
        <v/>
      </c>
      <c r="K178" s="5" t="str">
        <f aca="false">IF(I178&lt;G178,"YES","")</f>
        <v/>
      </c>
      <c r="L178" s="5" t="n">
        <f aca="false">IF(J178="YES",MAX(CEILING(F178-H178,E178),0),0)</f>
        <v>0</v>
      </c>
      <c r="M178" s="5" t="n">
        <f aca="false">IF(K178="YES",MAX(CEILING(G178-I178,E178),0),0)</f>
        <v>0</v>
      </c>
      <c r="N178" s="12" t="n">
        <f aca="false">L178*D178</f>
        <v>0</v>
      </c>
      <c r="O178" s="12" t="n">
        <f aca="false">M178*D178</f>
        <v>0</v>
      </c>
      <c r="P178" s="12" t="n">
        <f aca="false">P177+N178+O178</f>
        <v>43104.21</v>
      </c>
      <c r="Q178" s="5" t="str">
        <f aca="false">IF(P178&lt;=CashCap,"YES","OVER CAP")</f>
        <v>OVER CAP</v>
      </c>
      <c r="R178" s="5" t="str">
        <f aca="false">IF(LowCashMode="OFF","Normal Mode",IF(AND(OR(J178="YES",K178="YES"),Q178="YES"),"BUY NOW",IF(OR(J178="YES",K178="YES"),"DEFERRED","—")))</f>
        <v>Normal Mode</v>
      </c>
    </row>
    <row r="179" customFormat="false" ht="15" hidden="false" customHeight="false" outlineLevel="0" collapsed="false">
      <c r="A179" s="5" t="n">
        <f aca="false">ITEM_MASTER_CLEAN!A179</f>
        <v>178</v>
      </c>
      <c r="B179" s="5" t="n">
        <f aca="false">ITEM_MASTER_CLEAN!B179</f>
        <v>39817</v>
      </c>
      <c r="C179" s="5" t="str">
        <f aca="false">ITEM_MASTER_CLEAN!C179</f>
        <v>LADIP SMOOTH VANILLA/MAPLE 40X150G</v>
      </c>
      <c r="D179" s="12" t="n">
        <f aca="false">ITEM_MASTER_CLEAN!F179</f>
        <v>8.55</v>
      </c>
      <c r="E179" s="5" t="n">
        <f aca="false">ITEM_MASTER_CLEAN!G179</f>
        <v>40</v>
      </c>
      <c r="F179" s="5" t="n">
        <f aca="false">DEMAND_MODEL!K179*SafetyDays</f>
        <v>1.28571428571429</v>
      </c>
      <c r="G179" s="5" t="n">
        <f aca="false">DEMAND_MODEL!L179*SafetyDays</f>
        <v>1.71428571428571</v>
      </c>
      <c r="H179" s="5" t="n">
        <f aca="false">ITEM_MASTER_CLEAN!H179</f>
        <v>3</v>
      </c>
      <c r="I179" s="5" t="n">
        <f aca="false">ITEM_MASTER_CLEAN!I179</f>
        <v>5</v>
      </c>
      <c r="J179" s="5" t="str">
        <f aca="false">IF(H179&lt;F179,"YES","")</f>
        <v/>
      </c>
      <c r="K179" s="5" t="str">
        <f aca="false">IF(I179&lt;G179,"YES","")</f>
        <v/>
      </c>
      <c r="L179" s="5" t="n">
        <f aca="false">IF(J179="YES",MAX(CEILING(F179-H179,E179),0),0)</f>
        <v>0</v>
      </c>
      <c r="M179" s="5" t="n">
        <f aca="false">IF(K179="YES",MAX(CEILING(G179-I179,E179),0),0)</f>
        <v>0</v>
      </c>
      <c r="N179" s="12" t="n">
        <f aca="false">L179*D179</f>
        <v>0</v>
      </c>
      <c r="O179" s="12" t="n">
        <f aca="false">M179*D179</f>
        <v>0</v>
      </c>
      <c r="P179" s="12" t="n">
        <f aca="false">P178+N179+O179</f>
        <v>43104.21</v>
      </c>
      <c r="Q179" s="5" t="str">
        <f aca="false">IF(P179&lt;=CashCap,"YES","OVER CAP")</f>
        <v>OVER CAP</v>
      </c>
      <c r="R179" s="5" t="str">
        <f aca="false">IF(LowCashMode="OFF","Normal Mode",IF(AND(OR(J179="YES",K179="YES"),Q179="YES"),"BUY NOW",IF(OR(J179="YES",K179="YES"),"DEFERRED","—")))</f>
        <v>Normal Mode</v>
      </c>
    </row>
    <row r="180" customFormat="false" ht="15" hidden="false" customHeight="false" outlineLevel="0" collapsed="false">
      <c r="A180" s="5" t="n">
        <f aca="false">ITEM_MASTER_CLEAN!A180</f>
        <v>179</v>
      </c>
      <c r="B180" s="5" t="n">
        <f aca="false">ITEM_MASTER_CLEAN!B180</f>
        <v>67088</v>
      </c>
      <c r="C180" s="5" t="str">
        <f aca="false">ITEM_MASTER_CLEAN!C180</f>
        <v>SYRUP PEACH MONIN K 750ML</v>
      </c>
      <c r="D180" s="12" t="n">
        <f aca="false">ITEM_MASTER_CLEAN!F180</f>
        <v>10.39</v>
      </c>
      <c r="E180" s="5" t="n">
        <f aca="false">ITEM_MASTER_CLEAN!G180</f>
        <v>1</v>
      </c>
      <c r="F180" s="5" t="n">
        <f aca="false">DEMAND_MODEL!K180*SafetyDays</f>
        <v>1.71428571428571</v>
      </c>
      <c r="G180" s="5" t="n">
        <f aca="false">DEMAND_MODEL!L180*SafetyDays</f>
        <v>0.857142857142857</v>
      </c>
      <c r="H180" s="5" t="n">
        <f aca="false">ITEM_MASTER_CLEAN!H180</f>
        <v>4</v>
      </c>
      <c r="I180" s="5" t="n">
        <f aca="false">ITEM_MASTER_CLEAN!I180</f>
        <v>2</v>
      </c>
      <c r="J180" s="5" t="str">
        <f aca="false">IF(H180&lt;F180,"YES","")</f>
        <v/>
      </c>
      <c r="K180" s="5" t="str">
        <f aca="false">IF(I180&lt;G180,"YES","")</f>
        <v/>
      </c>
      <c r="L180" s="5" t="n">
        <f aca="false">IF(J180="YES",MAX(CEILING(F180-H180,E180),0),0)</f>
        <v>0</v>
      </c>
      <c r="M180" s="5" t="n">
        <f aca="false">IF(K180="YES",MAX(CEILING(G180-I180,E180),0),0)</f>
        <v>0</v>
      </c>
      <c r="N180" s="12" t="n">
        <f aca="false">L180*D180</f>
        <v>0</v>
      </c>
      <c r="O180" s="12" t="n">
        <f aca="false">M180*D180</f>
        <v>0</v>
      </c>
      <c r="P180" s="12" t="n">
        <f aca="false">P179+N180+O180</f>
        <v>43104.21</v>
      </c>
      <c r="Q180" s="5" t="str">
        <f aca="false">IF(P180&lt;=CashCap,"YES","OVER CAP")</f>
        <v>OVER CAP</v>
      </c>
      <c r="R180" s="5" t="str">
        <f aca="false">IF(LowCashMode="OFF","Normal Mode",IF(AND(OR(J180="YES",K180="YES"),Q180="YES"),"BUY NOW",IF(OR(J180="YES",K180="YES"),"DEFERRED","—")))</f>
        <v>Normal Mode</v>
      </c>
    </row>
    <row r="181" customFormat="false" ht="15" hidden="false" customHeight="false" outlineLevel="0" collapsed="false">
      <c r="A181" s="5" t="n">
        <f aca="false">ITEM_MASTER_CLEAN!A181</f>
        <v>180</v>
      </c>
      <c r="B181" s="5" t="n">
        <f aca="false">ITEM_MASTER_CLEAN!B181</f>
        <v>67094</v>
      </c>
      <c r="C181" s="5" t="str">
        <f aca="false">ITEM_MASTER_CLEAN!C181</f>
        <v>PUMP SYRUP MONIN 750ML(WHITE) 1</v>
      </c>
      <c r="D181" s="12" t="n">
        <f aca="false">ITEM_MASTER_CLEAN!F181</f>
        <v>6.87</v>
      </c>
      <c r="E181" s="5" t="n">
        <f aca="false">ITEM_MASTER_CLEAN!G181</f>
        <v>1</v>
      </c>
      <c r="F181" s="5" t="n">
        <f aca="false">DEMAND_MODEL!K181*SafetyDays</f>
        <v>2.14285714285714</v>
      </c>
      <c r="G181" s="5" t="n">
        <f aca="false">DEMAND_MODEL!L181*SafetyDays</f>
        <v>0.857142857142857</v>
      </c>
      <c r="H181" s="5" t="n">
        <f aca="false">ITEM_MASTER_CLEAN!H181</f>
        <v>1</v>
      </c>
      <c r="I181" s="5" t="n">
        <f aca="false">ITEM_MASTER_CLEAN!I181</f>
        <v>7</v>
      </c>
      <c r="J181" s="5" t="str">
        <f aca="false">IF(H181&lt;F181,"YES","")</f>
        <v>YES</v>
      </c>
      <c r="K181" s="5" t="str">
        <f aca="false">IF(I181&lt;G181,"YES","")</f>
        <v/>
      </c>
      <c r="L181" s="5" t="n">
        <f aca="false">IF(J181="YES",MAX(CEILING(F181-H181,E181),0),0)</f>
        <v>2</v>
      </c>
      <c r="M181" s="5" t="n">
        <f aca="false">IF(K181="YES",MAX(CEILING(G181-I181,E181),0),0)</f>
        <v>0</v>
      </c>
      <c r="N181" s="12" t="n">
        <f aca="false">L181*D181</f>
        <v>13.74</v>
      </c>
      <c r="O181" s="12" t="n">
        <f aca="false">M181*D181</f>
        <v>0</v>
      </c>
      <c r="P181" s="12" t="n">
        <f aca="false">P180+N181+O181</f>
        <v>43117.95</v>
      </c>
      <c r="Q181" s="5" t="str">
        <f aca="false">IF(P181&lt;=CashCap,"YES","OVER CAP")</f>
        <v>OVER CAP</v>
      </c>
      <c r="R181" s="5" t="str">
        <f aca="false">IF(LowCashMode="OFF","Normal Mode",IF(AND(OR(J181="YES",K181="YES"),Q181="YES"),"BUY NOW",IF(OR(J181="YES",K181="YES"),"DEFERRED","—")))</f>
        <v>Normal Mode</v>
      </c>
    </row>
    <row r="182" customFormat="false" ht="15" hidden="false" customHeight="false" outlineLevel="0" collapsed="false">
      <c r="A182" s="5" t="n">
        <f aca="false">ITEM_MASTER_CLEAN!A182</f>
        <v>181</v>
      </c>
      <c r="B182" s="5" t="n">
        <f aca="false">ITEM_MASTER_CLEAN!B182</f>
        <v>38527</v>
      </c>
      <c r="C182" s="5" t="str">
        <f aca="false">ITEM_MASTER_CLEAN!C182</f>
        <v>PUMP FOR SYRUP 1L X1</v>
      </c>
      <c r="D182" s="12" t="n">
        <f aca="false">ITEM_MASTER_CLEAN!F182</f>
        <v>5.23</v>
      </c>
      <c r="E182" s="5" t="n">
        <f aca="false">ITEM_MASTER_CLEAN!G182</f>
        <v>1</v>
      </c>
      <c r="F182" s="5" t="n">
        <f aca="false">DEMAND_MODEL!K182*SafetyDays</f>
        <v>0.857142857142857</v>
      </c>
      <c r="G182" s="5" t="n">
        <f aca="false">DEMAND_MODEL!L182*SafetyDays</f>
        <v>1.28571428571429</v>
      </c>
      <c r="H182" s="5" t="n">
        <f aca="false">ITEM_MASTER_CLEAN!H182</f>
        <v>8</v>
      </c>
      <c r="I182" s="5" t="n">
        <f aca="false">ITEM_MASTER_CLEAN!I182</f>
        <v>12</v>
      </c>
      <c r="J182" s="5" t="str">
        <f aca="false">IF(H182&lt;F182,"YES","")</f>
        <v/>
      </c>
      <c r="K182" s="5" t="str">
        <f aca="false">IF(I182&lt;G182,"YES","")</f>
        <v/>
      </c>
      <c r="L182" s="5" t="n">
        <f aca="false">IF(J182="YES",MAX(CEILING(F182-H182,E182),0),0)</f>
        <v>0</v>
      </c>
      <c r="M182" s="5" t="n">
        <f aca="false">IF(K182="YES",MAX(CEILING(G182-I182,E182),0),0)</f>
        <v>0</v>
      </c>
      <c r="N182" s="12" t="n">
        <f aca="false">L182*D182</f>
        <v>0</v>
      </c>
      <c r="O182" s="12" t="n">
        <f aca="false">M182*D182</f>
        <v>0</v>
      </c>
      <c r="P182" s="12" t="n">
        <f aca="false">P181+N182+O182</f>
        <v>43117.95</v>
      </c>
      <c r="Q182" s="5" t="str">
        <f aca="false">IF(P182&lt;=CashCap,"YES","OVER CAP")</f>
        <v>OVER CAP</v>
      </c>
      <c r="R182" s="5" t="str">
        <f aca="false">IF(LowCashMode="OFF","Normal Mode",IF(AND(OR(J182="YES",K182="YES"),Q182="YES"),"BUY NOW",IF(OR(J182="YES",K182="YES"),"DEFERRED","—")))</f>
        <v>Normal Mode</v>
      </c>
    </row>
    <row r="183" customFormat="false" ht="15" hidden="false" customHeight="false" outlineLevel="0" collapsed="false">
      <c r="A183" s="5" t="n">
        <f aca="false">ITEM_MASTER_CLEAN!A183</f>
        <v>182</v>
      </c>
      <c r="B183" s="5" t="n">
        <f aca="false">ITEM_MASTER_CLEAN!B183</f>
        <v>67112</v>
      </c>
      <c r="C183" s="5" t="str">
        <f aca="false">ITEM_MASTER_CLEAN!C183</f>
        <v>SYRUP STRAWBERRY WILD MONIN 1L</v>
      </c>
      <c r="D183" s="12" t="n">
        <f aca="false">ITEM_MASTER_CLEAN!F183</f>
        <v>25.1</v>
      </c>
      <c r="E183" s="5" t="n">
        <f aca="false">ITEM_MASTER_CLEAN!G183</f>
        <v>1</v>
      </c>
      <c r="F183" s="5" t="n">
        <f aca="false">DEMAND_MODEL!K183*SafetyDays</f>
        <v>1.28571428571429</v>
      </c>
      <c r="G183" s="5" t="n">
        <f aca="false">DEMAND_MODEL!L183*SafetyDays</f>
        <v>1.28571428571429</v>
      </c>
      <c r="H183" s="5" t="n">
        <f aca="false">ITEM_MASTER_CLEAN!H183</f>
        <v>11</v>
      </c>
      <c r="I183" s="5" t="n">
        <f aca="false">ITEM_MASTER_CLEAN!I183</f>
        <v>0</v>
      </c>
      <c r="J183" s="5" t="str">
        <f aca="false">IF(H183&lt;F183,"YES","")</f>
        <v/>
      </c>
      <c r="K183" s="5" t="str">
        <f aca="false">IF(I183&lt;G183,"YES","")</f>
        <v>YES</v>
      </c>
      <c r="L183" s="5" t="n">
        <f aca="false">IF(J183="YES",MAX(CEILING(F183-H183,E183),0),0)</f>
        <v>0</v>
      </c>
      <c r="M183" s="5" t="n">
        <f aca="false">IF(K183="YES",MAX(CEILING(G183-I183,E183),0),0)</f>
        <v>2</v>
      </c>
      <c r="N183" s="12" t="n">
        <f aca="false">L183*D183</f>
        <v>0</v>
      </c>
      <c r="O183" s="12" t="n">
        <f aca="false">M183*D183</f>
        <v>50.2</v>
      </c>
      <c r="P183" s="12" t="n">
        <f aca="false">P182+N183+O183</f>
        <v>43168.15</v>
      </c>
      <c r="Q183" s="5" t="str">
        <f aca="false">IF(P183&lt;=CashCap,"YES","OVER CAP")</f>
        <v>OVER CAP</v>
      </c>
      <c r="R183" s="5" t="str">
        <f aca="false">IF(LowCashMode="OFF","Normal Mode",IF(AND(OR(J183="YES",K183="YES"),Q183="YES"),"BUY NOW",IF(OR(J183="YES",K183="YES"),"DEFERRED","—")))</f>
        <v>Normal Mode</v>
      </c>
    </row>
    <row r="184" customFormat="false" ht="15" hidden="false" customHeight="false" outlineLevel="0" collapsed="false">
      <c r="A184" s="5" t="n">
        <f aca="false">ITEM_MASTER_CLEAN!A184</f>
        <v>183</v>
      </c>
      <c r="B184" s="5" t="n">
        <f aca="false">ITEM_MASTER_CLEAN!B184</f>
        <v>61558</v>
      </c>
      <c r="C184" s="5" t="str">
        <f aca="false">ITEM_MASTER_CLEAN!C184</f>
        <v>STRAW 8.5" BBL/TEA 12MM WH/PAP 2M</v>
      </c>
      <c r="D184" s="12" t="n">
        <f aca="false">ITEM_MASTER_CLEAN!F184</f>
        <v>21.69</v>
      </c>
      <c r="E184" s="5" t="n">
        <f aca="false">ITEM_MASTER_CLEAN!G184</f>
        <v>1</v>
      </c>
      <c r="F184" s="5" t="n">
        <f aca="false">DEMAND_MODEL!K184*SafetyDays</f>
        <v>1.28571428571429</v>
      </c>
      <c r="G184" s="5" t="n">
        <f aca="false">DEMAND_MODEL!L184*SafetyDays</f>
        <v>0.428571428571429</v>
      </c>
      <c r="H184" s="5" t="n">
        <f aca="false">ITEM_MASTER_CLEAN!H184</f>
        <v>4</v>
      </c>
      <c r="I184" s="5" t="n">
        <f aca="false">ITEM_MASTER_CLEAN!I184</f>
        <v>1</v>
      </c>
      <c r="J184" s="5" t="str">
        <f aca="false">IF(H184&lt;F184,"YES","")</f>
        <v/>
      </c>
      <c r="K184" s="5" t="str">
        <f aca="false">IF(I184&lt;G184,"YES","")</f>
        <v/>
      </c>
      <c r="L184" s="5" t="n">
        <f aca="false">IF(J184="YES",MAX(CEILING(F184-H184,E184),0),0)</f>
        <v>0</v>
      </c>
      <c r="M184" s="5" t="n">
        <f aca="false">IF(K184="YES",MAX(CEILING(G184-I184,E184),0),0)</f>
        <v>0</v>
      </c>
      <c r="N184" s="12" t="n">
        <f aca="false">L184*D184</f>
        <v>0</v>
      </c>
      <c r="O184" s="12" t="n">
        <f aca="false">M184*D184</f>
        <v>0</v>
      </c>
      <c r="P184" s="12" t="n">
        <f aca="false">P183+N184+O184</f>
        <v>43168.15</v>
      </c>
      <c r="Q184" s="5" t="str">
        <f aca="false">IF(P184&lt;=CashCap,"YES","OVER CAP")</f>
        <v>OVER CAP</v>
      </c>
      <c r="R184" s="5" t="str">
        <f aca="false">IF(LowCashMode="OFF","Normal Mode",IF(AND(OR(J184="YES",K184="YES"),Q184="YES"),"BUY NOW",IF(OR(J184="YES",K184="YES"),"DEFERRED","—")))</f>
        <v>Normal Mode</v>
      </c>
    </row>
    <row r="185" customFormat="false" ht="15" hidden="false" customHeight="false" outlineLevel="0" collapsed="false">
      <c r="A185" s="5" t="n">
        <f aca="false">ITEM_MASTER_CLEAN!A185</f>
        <v>184</v>
      </c>
      <c r="B185" s="5" t="n">
        <f aca="false">ITEM_MASTER_CLEAN!B185</f>
        <v>50046</v>
      </c>
      <c r="C185" s="5" t="str">
        <f aca="false">ITEM_MASTER_CLEAN!C185</f>
        <v>SLUSH BASE RTU 5+1 2X4L</v>
      </c>
      <c r="D185" s="12" t="n">
        <f aca="false">ITEM_MASTER_CLEAN!F185</f>
        <v>22.91</v>
      </c>
      <c r="E185" s="5" t="n">
        <f aca="false">ITEM_MASTER_CLEAN!G185</f>
        <v>2</v>
      </c>
      <c r="F185" s="5" t="n">
        <f aca="false">DEMAND_MODEL!K185*SafetyDays</f>
        <v>0.857142857142857</v>
      </c>
      <c r="G185" s="5" t="n">
        <f aca="false">DEMAND_MODEL!L185*SafetyDays</f>
        <v>0.428571428571429</v>
      </c>
      <c r="H185" s="5" t="n">
        <f aca="false">ITEM_MASTER_CLEAN!H185</f>
        <v>2</v>
      </c>
      <c r="I185" s="5" t="n">
        <f aca="false">ITEM_MASTER_CLEAN!I185</f>
        <v>1</v>
      </c>
      <c r="J185" s="5" t="str">
        <f aca="false">IF(H185&lt;F185,"YES","")</f>
        <v/>
      </c>
      <c r="K185" s="5" t="str">
        <f aca="false">IF(I185&lt;G185,"YES","")</f>
        <v/>
      </c>
      <c r="L185" s="5" t="n">
        <f aca="false">IF(J185="YES",MAX(CEILING(F185-H185,E185),0),0)</f>
        <v>0</v>
      </c>
      <c r="M185" s="5" t="n">
        <f aca="false">IF(K185="YES",MAX(CEILING(G185-I185,E185),0),0)</f>
        <v>0</v>
      </c>
      <c r="N185" s="12" t="n">
        <f aca="false">L185*D185</f>
        <v>0</v>
      </c>
      <c r="O185" s="12" t="n">
        <f aca="false">M185*D185</f>
        <v>0</v>
      </c>
      <c r="P185" s="12" t="n">
        <f aca="false">P184+N185+O185</f>
        <v>43168.15</v>
      </c>
      <c r="Q185" s="5" t="str">
        <f aca="false">IF(P185&lt;=CashCap,"YES","OVER CAP")</f>
        <v>OVER CAP</v>
      </c>
      <c r="R185" s="5" t="str">
        <f aca="false">IF(LowCashMode="OFF","Normal Mode",IF(AND(OR(J185="YES",K185="YES"),Q185="YES"),"BUY NOW",IF(OR(J185="YES",K185="YES"),"DEFERRED","—")))</f>
        <v>Normal Mode</v>
      </c>
    </row>
    <row r="186" customFormat="false" ht="15" hidden="false" customHeight="false" outlineLevel="0" collapsed="false">
      <c r="A186" s="5" t="n">
        <f aca="false">ITEM_MASTER_CLEAN!A186</f>
        <v>185</v>
      </c>
      <c r="B186" s="5" t="n">
        <f aca="false">ITEM_MASTER_CLEAN!B186</f>
        <v>97477</v>
      </c>
      <c r="C186" s="5" t="str">
        <f aca="false">ITEM_MASTER_CLEAN!C186</f>
        <v>9 SLUSH CONC.BUBBLE GUM  2X4L</v>
      </c>
      <c r="D186" s="12" t="n">
        <f aca="false">ITEM_MASTER_CLEAN!F186</f>
        <v>28.54</v>
      </c>
      <c r="E186" s="5" t="n">
        <f aca="false">ITEM_MASTER_CLEAN!G186</f>
        <v>2</v>
      </c>
      <c r="F186" s="5" t="n">
        <f aca="false">DEMAND_MODEL!K186*SafetyDays</f>
        <v>1.28571428571429</v>
      </c>
      <c r="G186" s="5" t="n">
        <f aca="false">DEMAND_MODEL!L186*SafetyDays</f>
        <v>0.428571428571429</v>
      </c>
      <c r="H186" s="5" t="n">
        <f aca="false">ITEM_MASTER_CLEAN!H186</f>
        <v>8</v>
      </c>
      <c r="I186" s="5" t="n">
        <f aca="false">ITEM_MASTER_CLEAN!I186</f>
        <v>0</v>
      </c>
      <c r="J186" s="5" t="str">
        <f aca="false">IF(H186&lt;F186,"YES","")</f>
        <v/>
      </c>
      <c r="K186" s="5" t="str">
        <f aca="false">IF(I186&lt;G186,"YES","")</f>
        <v>YES</v>
      </c>
      <c r="L186" s="5" t="n">
        <f aca="false">IF(J186="YES",MAX(CEILING(F186-H186,E186),0),0)</f>
        <v>0</v>
      </c>
      <c r="M186" s="5" t="n">
        <f aca="false">IF(K186="YES",MAX(CEILING(G186-I186,E186),0),0)</f>
        <v>2</v>
      </c>
      <c r="N186" s="12" t="n">
        <f aca="false">L186*D186</f>
        <v>0</v>
      </c>
      <c r="O186" s="12" t="n">
        <f aca="false">M186*D186</f>
        <v>57.08</v>
      </c>
      <c r="P186" s="12" t="n">
        <f aca="false">P185+N186+O186</f>
        <v>43225.23</v>
      </c>
      <c r="Q186" s="5" t="str">
        <f aca="false">IF(P186&lt;=CashCap,"YES","OVER CAP")</f>
        <v>OVER CAP</v>
      </c>
      <c r="R186" s="5" t="str">
        <f aca="false">IF(LowCashMode="OFF","Normal Mode",IF(AND(OR(J186="YES",K186="YES"),Q186="YES"),"BUY NOW",IF(OR(J186="YES",K186="YES"),"DEFERRED","—")))</f>
        <v>Normal Mode</v>
      </c>
    </row>
    <row r="187" customFormat="false" ht="15" hidden="false" customHeight="false" outlineLevel="0" collapsed="false">
      <c r="A187" s="5" t="n">
        <f aca="false">ITEM_MASTER_CLEAN!A187</f>
        <v>186</v>
      </c>
      <c r="B187" s="5" t="n">
        <f aca="false">ITEM_MASTER_CLEAN!B187</f>
        <v>50142</v>
      </c>
      <c r="C187" s="5" t="str">
        <f aca="false">ITEM_MASTER_CLEAN!C187</f>
        <v>9 SLUSH CONC.PEACH 3133024 2X4L</v>
      </c>
      <c r="D187" s="12" t="n">
        <f aca="false">ITEM_MASTER_CLEAN!F187</f>
        <v>21.87</v>
      </c>
      <c r="E187" s="5" t="n">
        <f aca="false">ITEM_MASTER_CLEAN!G187</f>
        <v>1</v>
      </c>
      <c r="F187" s="5" t="n">
        <f aca="false">DEMAND_MODEL!K187*SafetyDays</f>
        <v>1.28571428571429</v>
      </c>
      <c r="G187" s="5" t="n">
        <f aca="false">DEMAND_MODEL!L187*SafetyDays</f>
        <v>0.857142857142857</v>
      </c>
      <c r="H187" s="5" t="n">
        <f aca="false">ITEM_MASTER_CLEAN!H187</f>
        <v>8</v>
      </c>
      <c r="I187" s="5" t="n">
        <f aca="false">ITEM_MASTER_CLEAN!I187</f>
        <v>0</v>
      </c>
      <c r="J187" s="5" t="str">
        <f aca="false">IF(H187&lt;F187,"YES","")</f>
        <v/>
      </c>
      <c r="K187" s="5" t="str">
        <f aca="false">IF(I187&lt;G187,"YES","")</f>
        <v>YES</v>
      </c>
      <c r="L187" s="5" t="n">
        <f aca="false">IF(J187="YES",MAX(CEILING(F187-H187,E187),0),0)</f>
        <v>0</v>
      </c>
      <c r="M187" s="5" t="n">
        <f aca="false">IF(K187="YES",MAX(CEILING(G187-I187,E187),0),0)</f>
        <v>1</v>
      </c>
      <c r="N187" s="12" t="n">
        <f aca="false">L187*D187</f>
        <v>0</v>
      </c>
      <c r="O187" s="12" t="n">
        <f aca="false">M187*D187</f>
        <v>21.87</v>
      </c>
      <c r="P187" s="12" t="n">
        <f aca="false">P186+N187+O187</f>
        <v>43247.1</v>
      </c>
      <c r="Q187" s="5" t="str">
        <f aca="false">IF(P187&lt;=CashCap,"YES","OVER CAP")</f>
        <v>OVER CAP</v>
      </c>
      <c r="R187" s="5" t="str">
        <f aca="false">IF(LowCashMode="OFF","Normal Mode",IF(AND(OR(J187="YES",K187="YES"),Q187="YES"),"BUY NOW",IF(OR(J187="YES",K187="YES"),"DEFERRED","—")))</f>
        <v>Normal Mode</v>
      </c>
    </row>
    <row r="188" customFormat="false" ht="15" hidden="false" customHeight="false" outlineLevel="0" collapsed="false">
      <c r="A188" s="5" t="n">
        <f aca="false">ITEM_MASTER_CLEAN!A188</f>
        <v>187</v>
      </c>
      <c r="B188" s="5" t="n">
        <f aca="false">ITEM_MASTER_CLEAN!B188</f>
        <v>43369</v>
      </c>
      <c r="C188" s="5" t="str">
        <f aca="false">ITEM_MASTER_CLEAN!C188</f>
        <v>DIPP BAG COOKIE GREASPRF  PTD 1M</v>
      </c>
      <c r="D188" s="12" t="n">
        <f aca="false">ITEM_MASTER_CLEAN!F188</f>
        <v>23.8</v>
      </c>
      <c r="E188" s="5" t="n">
        <f aca="false">ITEM_MASTER_CLEAN!G188</f>
        <v>1</v>
      </c>
      <c r="F188" s="5" t="n">
        <f aca="false">DEMAND_MODEL!K188*SafetyDays</f>
        <v>3</v>
      </c>
      <c r="G188" s="5" t="n">
        <f aca="false">DEMAND_MODEL!L188*SafetyDays</f>
        <v>2.57142857142857</v>
      </c>
      <c r="H188" s="5" t="n">
        <f aca="false">ITEM_MASTER_CLEAN!H188</f>
        <v>2</v>
      </c>
      <c r="I188" s="5" t="n">
        <f aca="false">ITEM_MASTER_CLEAN!I188</f>
        <v>21</v>
      </c>
      <c r="J188" s="5" t="str">
        <f aca="false">IF(H188&lt;F188,"YES","")</f>
        <v>YES</v>
      </c>
      <c r="K188" s="5" t="str">
        <f aca="false">IF(I188&lt;G188,"YES","")</f>
        <v/>
      </c>
      <c r="L188" s="5" t="n">
        <f aca="false">IF(J188="YES",MAX(CEILING(F188-H188,E188),0),0)</f>
        <v>1</v>
      </c>
      <c r="M188" s="5" t="n">
        <f aca="false">IF(K188="YES",MAX(CEILING(G188-I188,E188),0),0)</f>
        <v>0</v>
      </c>
      <c r="N188" s="12" t="n">
        <f aca="false">L188*D188</f>
        <v>23.8</v>
      </c>
      <c r="O188" s="12" t="n">
        <f aca="false">M188*D188</f>
        <v>0</v>
      </c>
      <c r="P188" s="12" t="n">
        <f aca="false">P187+N188+O188</f>
        <v>43270.9</v>
      </c>
      <c r="Q188" s="5" t="str">
        <f aca="false">IF(P188&lt;=CashCap,"YES","OVER CAP")</f>
        <v>OVER CAP</v>
      </c>
      <c r="R188" s="5" t="str">
        <f aca="false">IF(LowCashMode="OFF","Normal Mode",IF(AND(OR(J188="YES",K188="YES"),Q188="YES"),"BUY NOW",IF(OR(J188="YES",K188="YES"),"DEFERRED","—")))</f>
        <v>Normal Mode</v>
      </c>
    </row>
    <row r="189" customFormat="false" ht="15" hidden="false" customHeight="false" outlineLevel="0" collapsed="false">
      <c r="A189" s="5" t="n">
        <f aca="false">ITEM_MASTER_CLEAN!A189</f>
        <v>188</v>
      </c>
      <c r="B189" s="5" t="n">
        <f aca="false">ITEM_MASTER_CLEAN!B189</f>
        <v>61763</v>
      </c>
      <c r="C189" s="5" t="str">
        <f aca="false">ITEM_MASTER_CLEAN!C189</f>
        <v>DIP BOX BLUE/DONUT 25X15X10  125</v>
      </c>
      <c r="D189" s="12" t="n">
        <f aca="false">ITEM_MASTER_CLEAN!F189</f>
        <v>38.02</v>
      </c>
      <c r="E189" s="5" t="n">
        <f aca="false">ITEM_MASTER_CLEAN!G189</f>
        <v>1</v>
      </c>
      <c r="F189" s="5" t="n">
        <f aca="false">DEMAND_MODEL!K189*SafetyDays</f>
        <v>1.28571428571429</v>
      </c>
      <c r="G189" s="5" t="n">
        <f aca="false">DEMAND_MODEL!L189*SafetyDays</f>
        <v>0.857142857142857</v>
      </c>
      <c r="H189" s="5" t="n">
        <f aca="false">ITEM_MASTER_CLEAN!H189</f>
        <v>5</v>
      </c>
      <c r="I189" s="5" t="n">
        <f aca="false">ITEM_MASTER_CLEAN!I189</f>
        <v>3</v>
      </c>
      <c r="J189" s="5" t="str">
        <f aca="false">IF(H189&lt;F189,"YES","")</f>
        <v/>
      </c>
      <c r="K189" s="5" t="str">
        <f aca="false">IF(I189&lt;G189,"YES","")</f>
        <v/>
      </c>
      <c r="L189" s="5" t="n">
        <f aca="false">IF(J189="YES",MAX(CEILING(F189-H189,E189),0),0)</f>
        <v>0</v>
      </c>
      <c r="M189" s="5" t="n">
        <f aca="false">IF(K189="YES",MAX(CEILING(G189-I189,E189),0),0)</f>
        <v>0</v>
      </c>
      <c r="N189" s="12" t="n">
        <f aca="false">L189*D189</f>
        <v>0</v>
      </c>
      <c r="O189" s="12" t="n">
        <f aca="false">M189*D189</f>
        <v>0</v>
      </c>
      <c r="P189" s="12" t="n">
        <f aca="false">P188+N189+O189</f>
        <v>43270.9</v>
      </c>
      <c r="Q189" s="5" t="str">
        <f aca="false">IF(P189&lt;=CashCap,"YES","OVER CAP")</f>
        <v>OVER CAP</v>
      </c>
      <c r="R189" s="5" t="str">
        <f aca="false">IF(LowCashMode="OFF","Normal Mode",IF(AND(OR(J189="YES",K189="YES"),Q189="YES"),"BUY NOW",IF(OR(J189="YES",K189="YES"),"DEFERRED","—")))</f>
        <v>Normal Mode</v>
      </c>
    </row>
    <row r="190" customFormat="false" ht="15" hidden="false" customHeight="false" outlineLevel="0" collapsed="false">
      <c r="A190" s="5" t="n">
        <f aca="false">ITEM_MASTER_CLEAN!A190</f>
        <v>189</v>
      </c>
      <c r="B190" s="5" t="n">
        <f aca="false">ITEM_MASTER_CLEAN!B190</f>
        <v>35182</v>
      </c>
      <c r="C190" s="5" t="str">
        <f aca="false">ITEM_MASTER_CLEAN!C190</f>
        <v>DIPP BOWL 6 OZ S605T-168259 1M</v>
      </c>
      <c r="D190" s="12" t="n">
        <f aca="false">ITEM_MASTER_CLEAN!F190</f>
        <v>44.69</v>
      </c>
      <c r="E190" s="5" t="n">
        <f aca="false">ITEM_MASTER_CLEAN!G190</f>
        <v>1</v>
      </c>
      <c r="F190" s="5" t="n">
        <f aca="false">DEMAND_MODEL!K190*SafetyDays</f>
        <v>1.28571428571429</v>
      </c>
      <c r="G190" s="5" t="n">
        <f aca="false">DEMAND_MODEL!L190*SafetyDays</f>
        <v>2.14285714285714</v>
      </c>
      <c r="H190" s="5" t="n">
        <f aca="false">ITEM_MASTER_CLEAN!H190</f>
        <v>3</v>
      </c>
      <c r="I190" s="5" t="n">
        <f aca="false">ITEM_MASTER_CLEAN!I190</f>
        <v>6</v>
      </c>
      <c r="J190" s="5" t="str">
        <f aca="false">IF(H190&lt;F190,"YES","")</f>
        <v/>
      </c>
      <c r="K190" s="5" t="str">
        <f aca="false">IF(I190&lt;G190,"YES","")</f>
        <v/>
      </c>
      <c r="L190" s="5" t="n">
        <f aca="false">IF(J190="YES",MAX(CEILING(F190-H190,E190),0),0)</f>
        <v>0</v>
      </c>
      <c r="M190" s="5" t="n">
        <f aca="false">IF(K190="YES",MAX(CEILING(G190-I190,E190),0),0)</f>
        <v>0</v>
      </c>
      <c r="N190" s="12" t="n">
        <f aca="false">L190*D190</f>
        <v>0</v>
      </c>
      <c r="O190" s="12" t="n">
        <f aca="false">M190*D190</f>
        <v>0</v>
      </c>
      <c r="P190" s="12" t="n">
        <f aca="false">P189+N190+O190</f>
        <v>43270.9</v>
      </c>
      <c r="Q190" s="5" t="str">
        <f aca="false">IF(P190&lt;=CashCap,"YES","OVER CAP")</f>
        <v>OVER CAP</v>
      </c>
      <c r="R190" s="5" t="str">
        <f aca="false">IF(LowCashMode="OFF","Normal Mode",IF(AND(OR(J190="YES",K190="YES"),Q190="YES"),"BUY NOW",IF(OR(J190="YES",K190="YES"),"DEFERRED","—")))</f>
        <v>Normal Mode</v>
      </c>
    </row>
    <row r="191" customFormat="false" ht="15" hidden="false" customHeight="false" outlineLevel="0" collapsed="false">
      <c r="A191" s="5" t="n">
        <f aca="false">ITEM_MASTER_CLEAN!A191</f>
        <v>190</v>
      </c>
      <c r="B191" s="5" t="n">
        <f aca="false">ITEM_MASTER_CLEAN!B191</f>
        <v>68687</v>
      </c>
      <c r="C191" s="5" t="str">
        <f aca="false">ITEM_MASTER_CLEAN!C191</f>
        <v>Couv 6oz</v>
      </c>
      <c r="D191" s="12" t="n">
        <f aca="false">ITEM_MASTER_CLEAN!F191</f>
        <v>20.12</v>
      </c>
      <c r="E191" s="5" t="n">
        <f aca="false">ITEM_MASTER_CLEAN!G191</f>
        <v>4</v>
      </c>
      <c r="F191" s="5" t="n">
        <f aca="false">DEMAND_MODEL!K191*SafetyDays</f>
        <v>4.28571428571429</v>
      </c>
      <c r="G191" s="5" t="n">
        <f aca="false">DEMAND_MODEL!L191*SafetyDays</f>
        <v>0.857142857142857</v>
      </c>
      <c r="H191" s="5" t="n">
        <f aca="false">ITEM_MASTER_CLEAN!H191</f>
        <v>33</v>
      </c>
      <c r="I191" s="5" t="n">
        <f aca="false">ITEM_MASTER_CLEAN!I191</f>
        <v>7</v>
      </c>
      <c r="J191" s="5" t="str">
        <f aca="false">IF(H191&lt;F191,"YES","")</f>
        <v/>
      </c>
      <c r="K191" s="5" t="str">
        <f aca="false">IF(I191&lt;G191,"YES","")</f>
        <v/>
      </c>
      <c r="L191" s="5" t="n">
        <f aca="false">IF(J191="YES",MAX(CEILING(F191-H191,E191),0),0)</f>
        <v>0</v>
      </c>
      <c r="M191" s="5" t="n">
        <f aca="false">IF(K191="YES",MAX(CEILING(G191-I191,E191),0),0)</f>
        <v>0</v>
      </c>
      <c r="N191" s="12" t="n">
        <f aca="false">L191*D191</f>
        <v>0</v>
      </c>
      <c r="O191" s="12" t="n">
        <f aca="false">M191*D191</f>
        <v>0</v>
      </c>
      <c r="P191" s="12" t="n">
        <f aca="false">P190+N191+O191</f>
        <v>43270.9</v>
      </c>
      <c r="Q191" s="5" t="str">
        <f aca="false">IF(P191&lt;=CashCap,"YES","OVER CAP")</f>
        <v>OVER CAP</v>
      </c>
      <c r="R191" s="5" t="str">
        <f aca="false">IF(LowCashMode="OFF","Normal Mode",IF(AND(OR(J191="YES",K191="YES"),Q191="YES"),"BUY NOW",IF(OR(J191="YES",K191="YES"),"DEFERRED","—")))</f>
        <v>Normal Mode</v>
      </c>
    </row>
    <row r="192" customFormat="false" ht="15" hidden="false" customHeight="false" outlineLevel="0" collapsed="false">
      <c r="A192" s="5" t="n">
        <f aca="false">ITEM_MASTER_CLEAN!A192</f>
        <v>191</v>
      </c>
      <c r="B192" s="5" t="n">
        <f aca="false">ITEM_MASTER_CLEAN!B192</f>
        <v>35171</v>
      </c>
      <c r="C192" s="5" t="str">
        <f aca="false">ITEM_MASTER_CLEAN!C192</f>
        <v>DIPP BOWL 8OZ VS608-168260 1M</v>
      </c>
      <c r="D192" s="12" t="n">
        <f aca="false">ITEM_MASTER_CLEAN!F192</f>
        <v>51.26</v>
      </c>
      <c r="E192" s="5" t="n">
        <f aca="false">ITEM_MASTER_CLEAN!G192</f>
        <v>1</v>
      </c>
      <c r="F192" s="5" t="n">
        <f aca="false">DEMAND_MODEL!K192*SafetyDays</f>
        <v>3.42857142857143</v>
      </c>
      <c r="G192" s="5" t="n">
        <f aca="false">DEMAND_MODEL!L192*SafetyDays</f>
        <v>3</v>
      </c>
      <c r="H192" s="5" t="n">
        <f aca="false">ITEM_MASTER_CLEAN!H192</f>
        <v>9</v>
      </c>
      <c r="I192" s="5" t="n">
        <f aca="false">ITEM_MASTER_CLEAN!I192</f>
        <v>8</v>
      </c>
      <c r="J192" s="5" t="str">
        <f aca="false">IF(H192&lt;F192,"YES","")</f>
        <v/>
      </c>
      <c r="K192" s="5" t="str">
        <f aca="false">IF(I192&lt;G192,"YES","")</f>
        <v/>
      </c>
      <c r="L192" s="5" t="n">
        <f aca="false">IF(J192="YES",MAX(CEILING(F192-H192,E192),0),0)</f>
        <v>0</v>
      </c>
      <c r="M192" s="5" t="n">
        <f aca="false">IF(K192="YES",MAX(CEILING(G192-I192,E192),0),0)</f>
        <v>0</v>
      </c>
      <c r="N192" s="12" t="n">
        <f aca="false">L192*D192</f>
        <v>0</v>
      </c>
      <c r="O192" s="12" t="n">
        <f aca="false">M192*D192</f>
        <v>0</v>
      </c>
      <c r="P192" s="12" t="n">
        <f aca="false">P191+N192+O192</f>
        <v>43270.9</v>
      </c>
      <c r="Q192" s="5" t="str">
        <f aca="false">IF(P192&lt;=CashCap,"YES","OVER CAP")</f>
        <v>OVER CAP</v>
      </c>
      <c r="R192" s="5" t="str">
        <f aca="false">IF(LowCashMode="OFF","Normal Mode",IF(AND(OR(J192="YES",K192="YES"),Q192="YES"),"BUY NOW",IF(OR(J192="YES",K192="YES"),"DEFERRED","—")))</f>
        <v>Normal Mode</v>
      </c>
    </row>
    <row r="193" customFormat="false" ht="15" hidden="false" customHeight="false" outlineLevel="0" collapsed="false">
      <c r="A193" s="5" t="n">
        <f aca="false">ITEM_MASTER_CLEAN!A193</f>
        <v>192</v>
      </c>
      <c r="B193" s="5" t="n">
        <f aca="false">ITEM_MASTER_CLEAN!B193</f>
        <v>35176</v>
      </c>
      <c r="C193" s="5" t="str">
        <f aca="false">ITEM_MASTER_CLEAN!C193</f>
        <v>couv / Lid  8oz</v>
      </c>
      <c r="D193" s="12" t="n">
        <f aca="false">ITEM_MASTER_CLEAN!F193</f>
        <v>34.53</v>
      </c>
      <c r="E193" s="5" t="n">
        <f aca="false">ITEM_MASTER_CLEAN!G193</f>
        <v>1</v>
      </c>
      <c r="F193" s="5" t="n">
        <f aca="false">DEMAND_MODEL!K193*SafetyDays</f>
        <v>1.71428571428571</v>
      </c>
      <c r="G193" s="5" t="n">
        <f aca="false">DEMAND_MODEL!L193*SafetyDays</f>
        <v>1.71428571428571</v>
      </c>
      <c r="H193" s="5" t="n">
        <f aca="false">ITEM_MASTER_CLEAN!H193</f>
        <v>1</v>
      </c>
      <c r="I193" s="5" t="n">
        <f aca="false">ITEM_MASTER_CLEAN!I193</f>
        <v>0</v>
      </c>
      <c r="J193" s="5" t="str">
        <f aca="false">IF(H193&lt;F193,"YES","")</f>
        <v>YES</v>
      </c>
      <c r="K193" s="5" t="str">
        <f aca="false">IF(I193&lt;G193,"YES","")</f>
        <v>YES</v>
      </c>
      <c r="L193" s="5" t="n">
        <f aca="false">IF(J193="YES",MAX(CEILING(F193-H193,E193),0),0)</f>
        <v>1</v>
      </c>
      <c r="M193" s="5" t="n">
        <f aca="false">IF(K193="YES",MAX(CEILING(G193-I193,E193),0),0)</f>
        <v>2</v>
      </c>
      <c r="N193" s="12" t="n">
        <f aca="false">L193*D193</f>
        <v>34.53</v>
      </c>
      <c r="O193" s="12" t="n">
        <f aca="false">M193*D193</f>
        <v>69.06</v>
      </c>
      <c r="P193" s="12" t="n">
        <f aca="false">P192+N193+O193</f>
        <v>43374.49</v>
      </c>
      <c r="Q193" s="5" t="str">
        <f aca="false">IF(P193&lt;=CashCap,"YES","OVER CAP")</f>
        <v>OVER CAP</v>
      </c>
      <c r="R193" s="5" t="str">
        <f aca="false">IF(LowCashMode="OFF","Normal Mode",IF(AND(OR(J193="YES",K193="YES"),Q193="YES"),"BUY NOW",IF(OR(J193="YES",K193="YES"),"DEFERRED","—")))</f>
        <v>Normal Mode</v>
      </c>
    </row>
    <row r="194" customFormat="false" ht="15" hidden="false" customHeight="false" outlineLevel="0" collapsed="false">
      <c r="A194" s="5" t="n">
        <f aca="false">ITEM_MASTER_CLEAN!A194</f>
        <v>193</v>
      </c>
      <c r="B194" s="5" t="n">
        <f aca="false">ITEM_MASTER_CLEAN!B194</f>
        <v>35026</v>
      </c>
      <c r="C194" s="5" t="str">
        <f aca="false">ITEM_MASTER_CLEAN!C194</f>
        <v>Dipp Bowl 12oz 1M</v>
      </c>
      <c r="D194" s="12" t="n">
        <f aca="false">ITEM_MASTER_CLEAN!F194</f>
        <v>29.98</v>
      </c>
      <c r="E194" s="5" t="n">
        <f aca="false">ITEM_MASTER_CLEAN!G194</f>
        <v>1</v>
      </c>
      <c r="F194" s="5" t="n">
        <f aca="false">DEMAND_MODEL!K194*SafetyDays</f>
        <v>2.14285714285714</v>
      </c>
      <c r="G194" s="5" t="n">
        <f aca="false">DEMAND_MODEL!L194*SafetyDays</f>
        <v>1.71428571428571</v>
      </c>
      <c r="H194" s="5" t="n">
        <f aca="false">ITEM_MASTER_CLEAN!H194</f>
        <v>19</v>
      </c>
      <c r="I194" s="5" t="n">
        <f aca="false">ITEM_MASTER_CLEAN!I194</f>
        <v>1</v>
      </c>
      <c r="J194" s="5" t="str">
        <f aca="false">IF(H194&lt;F194,"YES","")</f>
        <v/>
      </c>
      <c r="K194" s="5" t="str">
        <f aca="false">IF(I194&lt;G194,"YES","")</f>
        <v>YES</v>
      </c>
      <c r="L194" s="5" t="n">
        <f aca="false">IF(J194="YES",MAX(CEILING(F194-H194,E194),0),0)</f>
        <v>0</v>
      </c>
      <c r="M194" s="5" t="n">
        <f aca="false">IF(K194="YES",MAX(CEILING(G194-I194,E194),0),0)</f>
        <v>1</v>
      </c>
      <c r="N194" s="12" t="n">
        <f aca="false">L194*D194</f>
        <v>0</v>
      </c>
      <c r="O194" s="12" t="n">
        <f aca="false">M194*D194</f>
        <v>29.98</v>
      </c>
      <c r="P194" s="12" t="n">
        <f aca="false">P193+N194+O194</f>
        <v>43404.47</v>
      </c>
      <c r="Q194" s="5" t="str">
        <f aca="false">IF(P194&lt;=CashCap,"YES","OVER CAP")</f>
        <v>OVER CAP</v>
      </c>
      <c r="R194" s="5" t="str">
        <f aca="false">IF(LowCashMode="OFF","Normal Mode",IF(AND(OR(J194="YES",K194="YES"),Q194="YES"),"BUY NOW",IF(OR(J194="YES",K194="YES"),"DEFERRED","—")))</f>
        <v>Normal Mode</v>
      </c>
    </row>
    <row r="195" customFormat="false" ht="15" hidden="false" customHeight="false" outlineLevel="0" collapsed="false">
      <c r="A195" s="5" t="n">
        <f aca="false">ITEM_MASTER_CLEAN!A195</f>
        <v>194</v>
      </c>
      <c r="B195" s="5" t="n">
        <f aca="false">ITEM_MASTER_CLEAN!B195</f>
        <v>35226</v>
      </c>
      <c r="C195" s="5" t="str">
        <f aca="false">ITEM_MASTER_CLEAN!C195</f>
        <v>Lid for 12oz Bowl</v>
      </c>
      <c r="D195" s="12" t="n">
        <f aca="false">ITEM_MASTER_CLEAN!F195</f>
        <v>21.95</v>
      </c>
      <c r="E195" s="5" t="n">
        <f aca="false">ITEM_MASTER_CLEAN!G195</f>
        <v>10</v>
      </c>
      <c r="F195" s="5" t="n">
        <f aca="false">DEMAND_MODEL!K195*SafetyDays</f>
        <v>1.71428571428571</v>
      </c>
      <c r="G195" s="5" t="n">
        <f aca="false">DEMAND_MODEL!L195*SafetyDays</f>
        <v>2.14285714285714</v>
      </c>
      <c r="H195" s="5" t="n">
        <f aca="false">ITEM_MASTER_CLEAN!H195</f>
        <v>1</v>
      </c>
      <c r="I195" s="5" t="n">
        <f aca="false">ITEM_MASTER_CLEAN!I195</f>
        <v>16</v>
      </c>
      <c r="J195" s="5" t="str">
        <f aca="false">IF(H195&lt;F195,"YES","")</f>
        <v>YES</v>
      </c>
      <c r="K195" s="5" t="str">
        <f aca="false">IF(I195&lt;G195,"YES","")</f>
        <v/>
      </c>
      <c r="L195" s="5" t="n">
        <f aca="false">IF(J195="YES",MAX(CEILING(F195-H195,E195),0),0)</f>
        <v>10</v>
      </c>
      <c r="M195" s="5" t="n">
        <f aca="false">IF(K195="YES",MAX(CEILING(G195-I195,E195),0),0)</f>
        <v>0</v>
      </c>
      <c r="N195" s="12" t="n">
        <f aca="false">L195*D195</f>
        <v>219.5</v>
      </c>
      <c r="O195" s="12" t="n">
        <f aca="false">M195*D195</f>
        <v>0</v>
      </c>
      <c r="P195" s="12" t="n">
        <f aca="false">P194+N195+O195</f>
        <v>43623.97</v>
      </c>
      <c r="Q195" s="5" t="str">
        <f aca="false">IF(P195&lt;=CashCap,"YES","OVER CAP")</f>
        <v>OVER CAP</v>
      </c>
      <c r="R195" s="5" t="str">
        <f aca="false">IF(LowCashMode="OFF","Normal Mode",IF(AND(OR(J195="YES",K195="YES"),Q195="YES"),"BUY NOW",IF(OR(J195="YES",K195="YES"),"DEFERRED","—")))</f>
        <v>Normal Mode</v>
      </c>
    </row>
    <row r="196" customFormat="false" ht="15" hidden="false" customHeight="false" outlineLevel="0" collapsed="false">
      <c r="A196" s="5" t="n">
        <f aca="false">ITEM_MASTER_CLEAN!A196</f>
        <v>195</v>
      </c>
      <c r="B196" s="5" t="n">
        <f aca="false">ITEM_MASTER_CLEAN!B196</f>
        <v>33728</v>
      </c>
      <c r="C196" s="5" t="str">
        <f aca="false">ITEM_MASTER_CLEAN!C196</f>
        <v>DIPP CUP 10 OZ PAP RAZZLE PRT  1M</v>
      </c>
      <c r="D196" s="12" t="n">
        <f aca="false">ITEM_MASTER_CLEAN!F196</f>
        <v>40.71</v>
      </c>
      <c r="E196" s="5" t="n">
        <f aca="false">ITEM_MASTER_CLEAN!G196</f>
        <v>1</v>
      </c>
      <c r="F196" s="5" t="n">
        <f aca="false">DEMAND_MODEL!K196*SafetyDays</f>
        <v>1.28571428571429</v>
      </c>
      <c r="G196" s="5" t="n">
        <f aca="false">DEMAND_MODEL!L196*SafetyDays</f>
        <v>0.857142857142857</v>
      </c>
      <c r="H196" s="5" t="n">
        <f aca="false">ITEM_MASTER_CLEAN!H196</f>
        <v>2</v>
      </c>
      <c r="I196" s="5" t="n">
        <f aca="false">ITEM_MASTER_CLEAN!I196</f>
        <v>1</v>
      </c>
      <c r="J196" s="5" t="str">
        <f aca="false">IF(H196&lt;F196,"YES","")</f>
        <v/>
      </c>
      <c r="K196" s="5" t="str">
        <f aca="false">IF(I196&lt;G196,"YES","")</f>
        <v/>
      </c>
      <c r="L196" s="5" t="n">
        <f aca="false">IF(J196="YES",MAX(CEILING(F196-H196,E196),0),0)</f>
        <v>0</v>
      </c>
      <c r="M196" s="5" t="n">
        <f aca="false">IF(K196="YES",MAX(CEILING(G196-I196,E196),0),0)</f>
        <v>0</v>
      </c>
      <c r="N196" s="12" t="n">
        <f aca="false">L196*D196</f>
        <v>0</v>
      </c>
      <c r="O196" s="12" t="n">
        <f aca="false">M196*D196</f>
        <v>0</v>
      </c>
      <c r="P196" s="12" t="n">
        <f aca="false">P195+N196+O196</f>
        <v>43623.97</v>
      </c>
      <c r="Q196" s="5" t="str">
        <f aca="false">IF(P196&lt;=CashCap,"YES","OVER CAP")</f>
        <v>OVER CAP</v>
      </c>
      <c r="R196" s="5" t="str">
        <f aca="false">IF(LowCashMode="OFF","Normal Mode",IF(AND(OR(J196="YES",K196="YES"),Q196="YES"),"BUY NOW",IF(OR(J196="YES",K196="YES"),"DEFERRED","—")))</f>
        <v>Normal Mode</v>
      </c>
    </row>
    <row r="197" customFormat="false" ht="15" hidden="false" customHeight="false" outlineLevel="0" collapsed="false">
      <c r="A197" s="5" t="n">
        <f aca="false">ITEM_MASTER_CLEAN!A197</f>
        <v>196</v>
      </c>
      <c r="B197" s="5" t="n">
        <f aca="false">ITEM_MASTER_CLEAN!B197</f>
        <v>33729</v>
      </c>
      <c r="C197" s="5" t="str">
        <f aca="false">ITEM_MASTER_CLEAN!C197</f>
        <v>Lid Razzle/Coffee  white 1000</v>
      </c>
      <c r="D197" s="12" t="n">
        <f aca="false">ITEM_MASTER_CLEAN!F197</f>
        <v>43.4</v>
      </c>
      <c r="E197" s="5" t="n">
        <f aca="false">ITEM_MASTER_CLEAN!G197</f>
        <v>1</v>
      </c>
      <c r="F197" s="5" t="n">
        <f aca="false">DEMAND_MODEL!K197*SafetyDays</f>
        <v>2.57142857142857</v>
      </c>
      <c r="G197" s="5" t="n">
        <f aca="false">DEMAND_MODEL!L197*SafetyDays</f>
        <v>1.71428571428571</v>
      </c>
      <c r="H197" s="5" t="n">
        <f aca="false">ITEM_MASTER_CLEAN!H197</f>
        <v>18</v>
      </c>
      <c r="I197" s="5" t="n">
        <f aca="false">ITEM_MASTER_CLEAN!I197</f>
        <v>16</v>
      </c>
      <c r="J197" s="5" t="str">
        <f aca="false">IF(H197&lt;F197,"YES","")</f>
        <v/>
      </c>
      <c r="K197" s="5" t="str">
        <f aca="false">IF(I197&lt;G197,"YES","")</f>
        <v/>
      </c>
      <c r="L197" s="5" t="n">
        <f aca="false">IF(J197="YES",MAX(CEILING(F197-H197,E197),0),0)</f>
        <v>0</v>
      </c>
      <c r="M197" s="5" t="n">
        <f aca="false">IF(K197="YES",MAX(CEILING(G197-I197,E197),0),0)</f>
        <v>0</v>
      </c>
      <c r="N197" s="12" t="n">
        <f aca="false">L197*D197</f>
        <v>0</v>
      </c>
      <c r="O197" s="12" t="n">
        <f aca="false">M197*D197</f>
        <v>0</v>
      </c>
      <c r="P197" s="12" t="n">
        <f aca="false">P196+N197+O197</f>
        <v>43623.97</v>
      </c>
      <c r="Q197" s="5" t="str">
        <f aca="false">IF(P197&lt;=CashCap,"YES","OVER CAP")</f>
        <v>OVER CAP</v>
      </c>
      <c r="R197" s="5" t="str">
        <f aca="false">IF(LowCashMode="OFF","Normal Mode",IF(AND(OR(J197="YES",K197="YES"),Q197="YES"),"BUY NOW",IF(OR(J197="YES",K197="YES"),"DEFERRED","—")))</f>
        <v>Normal Mode</v>
      </c>
    </row>
    <row r="198" customFormat="false" ht="15" hidden="false" customHeight="false" outlineLevel="0" collapsed="false">
      <c r="A198" s="5" t="n">
        <f aca="false">ITEM_MASTER_CLEAN!A198</f>
        <v>197</v>
      </c>
      <c r="B198" s="5" t="n">
        <f aca="false">ITEM_MASTER_CLEAN!B198</f>
        <v>66985</v>
      </c>
      <c r="C198" s="5" t="str">
        <f aca="false">ITEM_MASTER_CLEAN!C198</f>
        <v>Lid Razzle Dome Clr 1000</v>
      </c>
      <c r="D198" s="12" t="n">
        <f aca="false">ITEM_MASTER_CLEAN!F198</f>
        <v>46.37</v>
      </c>
      <c r="E198" s="5" t="n">
        <f aca="false">ITEM_MASTER_CLEAN!G198</f>
        <v>1</v>
      </c>
      <c r="F198" s="5" t="n">
        <f aca="false">DEMAND_MODEL!K198*SafetyDays</f>
        <v>1.71428571428571</v>
      </c>
      <c r="G198" s="5" t="n">
        <f aca="false">DEMAND_MODEL!L198*SafetyDays</f>
        <v>1.28571428571429</v>
      </c>
      <c r="H198" s="5" t="n">
        <f aca="false">ITEM_MASTER_CLEAN!H198</f>
        <v>4</v>
      </c>
      <c r="I198" s="5" t="n">
        <f aca="false">ITEM_MASTER_CLEAN!I198</f>
        <v>4</v>
      </c>
      <c r="J198" s="5" t="str">
        <f aca="false">IF(H198&lt;F198,"YES","")</f>
        <v/>
      </c>
      <c r="K198" s="5" t="str">
        <f aca="false">IF(I198&lt;G198,"YES","")</f>
        <v/>
      </c>
      <c r="L198" s="5" t="n">
        <f aca="false">IF(J198="YES",MAX(CEILING(F198-H198,E198),0),0)</f>
        <v>0</v>
      </c>
      <c r="M198" s="5" t="n">
        <f aca="false">IF(K198="YES",MAX(CEILING(G198-I198,E198),0),0)</f>
        <v>0</v>
      </c>
      <c r="N198" s="12" t="n">
        <f aca="false">L198*D198</f>
        <v>0</v>
      </c>
      <c r="O198" s="12" t="n">
        <f aca="false">M198*D198</f>
        <v>0</v>
      </c>
      <c r="P198" s="12" t="n">
        <f aca="false">P197+N198+O198</f>
        <v>43623.97</v>
      </c>
      <c r="Q198" s="5" t="str">
        <f aca="false">IF(P198&lt;=CashCap,"YES","OVER CAP")</f>
        <v>OVER CAP</v>
      </c>
      <c r="R198" s="5" t="str">
        <f aca="false">IF(LowCashMode="OFF","Normal Mode",IF(AND(OR(J198="YES",K198="YES"),Q198="YES"),"BUY NOW",IF(OR(J198="YES",K198="YES"),"DEFERRED","—")))</f>
        <v>Normal Mode</v>
      </c>
    </row>
    <row r="199" customFormat="false" ht="15" hidden="false" customHeight="false" outlineLevel="0" collapsed="false">
      <c r="A199" s="5" t="n">
        <f aca="false">ITEM_MASTER_CLEAN!A199</f>
        <v>198</v>
      </c>
      <c r="B199" s="5" t="n">
        <f aca="false">ITEM_MASTER_CLEAN!B199</f>
        <v>63343</v>
      </c>
      <c r="C199" s="5" t="str">
        <f aca="false">ITEM_MASTER_CLEAN!C199</f>
        <v>CAKE DOME COMBO CLR 10"X5" 100</v>
      </c>
      <c r="D199" s="12" t="n">
        <f aca="false">ITEM_MASTER_CLEAN!F199</f>
        <v>27.4</v>
      </c>
      <c r="E199" s="5" t="n">
        <f aca="false">ITEM_MASTER_CLEAN!G199</f>
        <v>1</v>
      </c>
      <c r="F199" s="5" t="n">
        <f aca="false">DEMAND_MODEL!K199*SafetyDays</f>
        <v>0.857142857142857</v>
      </c>
      <c r="G199" s="5" t="n">
        <f aca="false">DEMAND_MODEL!L199*SafetyDays</f>
        <v>1.71428571428571</v>
      </c>
      <c r="H199" s="5" t="n">
        <f aca="false">ITEM_MASTER_CLEAN!H199</f>
        <v>0</v>
      </c>
      <c r="I199" s="5" t="n">
        <f aca="false">ITEM_MASTER_CLEAN!I199</f>
        <v>1</v>
      </c>
      <c r="J199" s="5" t="str">
        <f aca="false">IF(H199&lt;F199,"YES","")</f>
        <v>YES</v>
      </c>
      <c r="K199" s="5" t="str">
        <f aca="false">IF(I199&lt;G199,"YES","")</f>
        <v>YES</v>
      </c>
      <c r="L199" s="5" t="n">
        <f aca="false">IF(J199="YES",MAX(CEILING(F199-H199,E199),0),0)</f>
        <v>1</v>
      </c>
      <c r="M199" s="5" t="n">
        <f aca="false">IF(K199="YES",MAX(CEILING(G199-I199,E199),0),0)</f>
        <v>1</v>
      </c>
      <c r="N199" s="12" t="n">
        <f aca="false">L199*D199</f>
        <v>27.4</v>
      </c>
      <c r="O199" s="12" t="n">
        <f aca="false">M199*D199</f>
        <v>27.4</v>
      </c>
      <c r="P199" s="12" t="n">
        <f aca="false">P198+N199+O199</f>
        <v>43678.77</v>
      </c>
      <c r="Q199" s="5" t="str">
        <f aca="false">IF(P199&lt;=CashCap,"YES","OVER CAP")</f>
        <v>OVER CAP</v>
      </c>
      <c r="R199" s="5" t="str">
        <f aca="false">IF(LowCashMode="OFF","Normal Mode",IF(AND(OR(J199="YES",K199="YES"),Q199="YES"),"BUY NOW",IF(OR(J199="YES",K199="YES"),"DEFERRED","—")))</f>
        <v>Normal Mode</v>
      </c>
    </row>
    <row r="200" customFormat="false" ht="15" hidden="false" customHeight="false" outlineLevel="0" collapsed="false">
      <c r="A200" s="5" t="n">
        <f aca="false">ITEM_MASTER_CLEAN!A200</f>
        <v>199</v>
      </c>
      <c r="B200" s="5" t="n">
        <f aca="false">ITEM_MASTER_CLEAN!B200</f>
        <v>35113</v>
      </c>
      <c r="C200" s="5" t="str">
        <f aca="false">ITEM_MASTER_CLEAN!C200</f>
        <v>STICKS POPSICLE WOOD  1X1M</v>
      </c>
      <c r="D200" s="12" t="n">
        <f aca="false">ITEM_MASTER_CLEAN!F200</f>
        <v>11.64</v>
      </c>
      <c r="E200" s="5" t="n">
        <f aca="false">ITEM_MASTER_CLEAN!G200</f>
        <v>1</v>
      </c>
      <c r="F200" s="5" t="n">
        <f aca="false">DEMAND_MODEL!K200*SafetyDays</f>
        <v>2.14285714285714</v>
      </c>
      <c r="G200" s="5" t="n">
        <f aca="false">DEMAND_MODEL!L200*SafetyDays</f>
        <v>0.857142857142857</v>
      </c>
      <c r="H200" s="5" t="n">
        <f aca="false">ITEM_MASTER_CLEAN!H200</f>
        <v>2</v>
      </c>
      <c r="I200" s="5" t="n">
        <f aca="false">ITEM_MASTER_CLEAN!I200</f>
        <v>0</v>
      </c>
      <c r="J200" s="5" t="str">
        <f aca="false">IF(H200&lt;F200,"YES","")</f>
        <v>YES</v>
      </c>
      <c r="K200" s="5" t="str">
        <f aca="false">IF(I200&lt;G200,"YES","")</f>
        <v>YES</v>
      </c>
      <c r="L200" s="5" t="n">
        <f aca="false">IF(J200="YES",MAX(CEILING(F200-H200,E200),0),0)</f>
        <v>1</v>
      </c>
      <c r="M200" s="5" t="n">
        <f aca="false">IF(K200="YES",MAX(CEILING(G200-I200,E200),0),0)</f>
        <v>1</v>
      </c>
      <c r="N200" s="12" t="n">
        <f aca="false">L200*D200</f>
        <v>11.64</v>
      </c>
      <c r="O200" s="12" t="n">
        <f aca="false">M200*D200</f>
        <v>11.64</v>
      </c>
      <c r="P200" s="12" t="n">
        <f aca="false">P199+N200+O200</f>
        <v>43702.05</v>
      </c>
      <c r="Q200" s="5" t="str">
        <f aca="false">IF(P200&lt;=CashCap,"YES","OVER CAP")</f>
        <v>OVER CAP</v>
      </c>
      <c r="R200" s="5" t="str">
        <f aca="false">IF(LowCashMode="OFF","Normal Mode",IF(AND(OR(J200="YES",K200="YES"),Q200="YES"),"BUY NOW",IF(OR(J200="YES",K200="YES"),"DEFERRED","—")))</f>
        <v>Normal Mode</v>
      </c>
    </row>
    <row r="201" customFormat="false" ht="15" hidden="false" customHeight="false" outlineLevel="0" collapsed="false">
      <c r="A201" s="5" t="n">
        <f aca="false">ITEM_MASTER_CLEAN!A201</f>
        <v>200</v>
      </c>
      <c r="B201" s="5" t="n">
        <f aca="false">ITEM_MASTER_CLEAN!B201</f>
        <v>26324</v>
      </c>
      <c r="C201" s="5" t="str">
        <f aca="false">ITEM_MASTER_CLEAN!C201</f>
        <v>Cont Gauffre 6x6 500 units</v>
      </c>
      <c r="D201" s="12" t="n">
        <f aca="false">ITEM_MASTER_CLEAN!F201</f>
        <v>13.28</v>
      </c>
      <c r="E201" s="5" t="n">
        <f aca="false">ITEM_MASTER_CLEAN!G201</f>
        <v>1</v>
      </c>
      <c r="F201" s="5" t="n">
        <f aca="false">DEMAND_MODEL!K201*SafetyDays</f>
        <v>1.28571428571429</v>
      </c>
      <c r="G201" s="5" t="n">
        <f aca="false">DEMAND_MODEL!L201*SafetyDays</f>
        <v>1.71428571428571</v>
      </c>
      <c r="H201" s="5" t="n">
        <f aca="false">ITEM_MASTER_CLEAN!H201</f>
        <v>1</v>
      </c>
      <c r="I201" s="5" t="n">
        <f aca="false">ITEM_MASTER_CLEAN!I201</f>
        <v>1</v>
      </c>
      <c r="J201" s="5" t="str">
        <f aca="false">IF(H201&lt;F201,"YES","")</f>
        <v>YES</v>
      </c>
      <c r="K201" s="5" t="str">
        <f aca="false">IF(I201&lt;G201,"YES","")</f>
        <v>YES</v>
      </c>
      <c r="L201" s="5" t="n">
        <f aca="false">IF(J201="YES",MAX(CEILING(F201-H201,E201),0),0)</f>
        <v>1</v>
      </c>
      <c r="M201" s="5" t="n">
        <f aca="false">IF(K201="YES",MAX(CEILING(G201-I201,E201),0),0)</f>
        <v>1</v>
      </c>
      <c r="N201" s="12" t="n">
        <f aca="false">L201*D201</f>
        <v>13.28</v>
      </c>
      <c r="O201" s="12" t="n">
        <f aca="false">M201*D201</f>
        <v>13.28</v>
      </c>
      <c r="P201" s="12" t="n">
        <f aca="false">P200+N201+O201</f>
        <v>43728.61</v>
      </c>
      <c r="Q201" s="5" t="str">
        <f aca="false">IF(P201&lt;=CashCap,"YES","OVER CAP")</f>
        <v>OVER CAP</v>
      </c>
      <c r="R201" s="5" t="str">
        <f aca="false">IF(LowCashMode="OFF","Normal Mode",IF(AND(OR(J201="YES",K201="YES"),Q201="YES"),"BUY NOW",IF(OR(J201="YES",K201="YES"),"DEFERRED","—")))</f>
        <v>Normal Mode</v>
      </c>
    </row>
    <row r="202" customFormat="false" ht="15" hidden="false" customHeight="false" outlineLevel="0" collapsed="false">
      <c r="A202" s="5" t="n">
        <f aca="false">ITEM_MASTER_CLEAN!A202</f>
        <v>201</v>
      </c>
      <c r="B202" s="5" t="n">
        <f aca="false">ITEM_MASTER_CLEAN!B202</f>
        <v>26325</v>
      </c>
      <c r="C202" s="5" t="str">
        <f aca="false">ITEM_MASTER_CLEAN!C202</f>
        <v>Cont crepe 9"x6"x3"  250 units</v>
      </c>
      <c r="D202" s="12" t="n">
        <f aca="false">ITEM_MASTER_CLEAN!F202</f>
        <v>24.89</v>
      </c>
      <c r="E202" s="5" t="n">
        <f aca="false">ITEM_MASTER_CLEAN!G202</f>
        <v>1</v>
      </c>
      <c r="F202" s="5" t="n">
        <f aca="false">DEMAND_MODEL!K202*SafetyDays</f>
        <v>1.71428571428571</v>
      </c>
      <c r="G202" s="5" t="n">
        <f aca="false">DEMAND_MODEL!L202*SafetyDays</f>
        <v>1.28571428571429</v>
      </c>
      <c r="H202" s="5" t="n">
        <f aca="false">ITEM_MASTER_CLEAN!H202</f>
        <v>0</v>
      </c>
      <c r="I202" s="5" t="n">
        <f aca="false">ITEM_MASTER_CLEAN!I202</f>
        <v>1</v>
      </c>
      <c r="J202" s="5" t="str">
        <f aca="false">IF(H202&lt;F202,"YES","")</f>
        <v>YES</v>
      </c>
      <c r="K202" s="5" t="str">
        <f aca="false">IF(I202&lt;G202,"YES","")</f>
        <v>YES</v>
      </c>
      <c r="L202" s="5" t="n">
        <f aca="false">IF(J202="YES",MAX(CEILING(F202-H202,E202),0),0)</f>
        <v>2</v>
      </c>
      <c r="M202" s="5" t="n">
        <f aca="false">IF(K202="YES",MAX(CEILING(G202-I202,E202),0),0)</f>
        <v>1</v>
      </c>
      <c r="N202" s="12" t="n">
        <f aca="false">L202*D202</f>
        <v>49.78</v>
      </c>
      <c r="O202" s="12" t="n">
        <f aca="false">M202*D202</f>
        <v>24.89</v>
      </c>
      <c r="P202" s="12" t="n">
        <f aca="false">P201+N202+O202</f>
        <v>43803.28</v>
      </c>
      <c r="Q202" s="5" t="str">
        <f aca="false">IF(P202&lt;=CashCap,"YES","OVER CAP")</f>
        <v>OVER CAP</v>
      </c>
      <c r="R202" s="5" t="str">
        <f aca="false">IF(LowCashMode="OFF","Normal Mode",IF(AND(OR(J202="YES",K202="YES"),Q202="YES"),"BUY NOW",IF(OR(J202="YES",K202="YES"),"DEFERRED","—")))</f>
        <v>Normal Mode</v>
      </c>
    </row>
    <row r="203" customFormat="false" ht="15" hidden="false" customHeight="false" outlineLevel="0" collapsed="false">
      <c r="A203" s="5" t="n">
        <f aca="false">ITEM_MASTER_CLEAN!A203</f>
        <v>202</v>
      </c>
      <c r="B203" s="5" t="n">
        <f aca="false">ITEM_MASTER_CLEAN!B203</f>
        <v>17159</v>
      </c>
      <c r="C203" s="5" t="str">
        <f aca="false">ITEM_MASTER_CLEAN!C203</f>
        <v>Cont ChsCake slc tray 800un</v>
      </c>
      <c r="D203" s="12" t="n">
        <f aca="false">ITEM_MASTER_CLEAN!F203</f>
        <v>34.13</v>
      </c>
      <c r="E203" s="5" t="n">
        <f aca="false">ITEM_MASTER_CLEAN!G203</f>
        <v>1</v>
      </c>
      <c r="F203" s="5" t="n">
        <f aca="false">DEMAND_MODEL!K203*SafetyDays</f>
        <v>2.14285714285714</v>
      </c>
      <c r="G203" s="5" t="n">
        <f aca="false">DEMAND_MODEL!L203*SafetyDays</f>
        <v>0.857142857142857</v>
      </c>
      <c r="H203" s="5" t="n">
        <f aca="false">ITEM_MASTER_CLEAN!H203</f>
        <v>1</v>
      </c>
      <c r="I203" s="5" t="n">
        <f aca="false">ITEM_MASTER_CLEAN!I203</f>
        <v>0</v>
      </c>
      <c r="J203" s="5" t="str">
        <f aca="false">IF(H203&lt;F203,"YES","")</f>
        <v>YES</v>
      </c>
      <c r="K203" s="5" t="str">
        <f aca="false">IF(I203&lt;G203,"YES","")</f>
        <v>YES</v>
      </c>
      <c r="L203" s="5" t="n">
        <f aca="false">IF(J203="YES",MAX(CEILING(F203-H203,E203),0),0)</f>
        <v>2</v>
      </c>
      <c r="M203" s="5" t="n">
        <f aca="false">IF(K203="YES",MAX(CEILING(G203-I203,E203),0),0)</f>
        <v>1</v>
      </c>
      <c r="N203" s="12" t="n">
        <f aca="false">L203*D203</f>
        <v>68.26</v>
      </c>
      <c r="O203" s="12" t="n">
        <f aca="false">M203*D203</f>
        <v>34.13</v>
      </c>
      <c r="P203" s="12" t="n">
        <f aca="false">P202+N203+O203</f>
        <v>43905.67</v>
      </c>
      <c r="Q203" s="5" t="str">
        <f aca="false">IF(P203&lt;=CashCap,"YES","OVER CAP")</f>
        <v>OVER CAP</v>
      </c>
      <c r="R203" s="5" t="str">
        <f aca="false">IF(LowCashMode="OFF","Normal Mode",IF(AND(OR(J203="YES",K203="YES"),Q203="YES"),"BUY NOW",IF(OR(J203="YES",K203="YES"),"DEFERRED","—")))</f>
        <v>Normal Mode</v>
      </c>
    </row>
    <row r="204" customFormat="false" ht="15" hidden="false" customHeight="false" outlineLevel="0" collapsed="false">
      <c r="A204" s="5" t="n">
        <f aca="false">ITEM_MASTER_CLEAN!A204</f>
        <v>203</v>
      </c>
      <c r="B204" s="5" t="n">
        <f aca="false">ITEM_MASTER_CLEAN!B204</f>
        <v>17160</v>
      </c>
      <c r="C204" s="5" t="str">
        <f aca="false">ITEM_MASTER_CLEAN!C204</f>
        <v>Lid  ChsCake slc 800un</v>
      </c>
      <c r="D204" s="12" t="n">
        <f aca="false">ITEM_MASTER_CLEAN!F204</f>
        <v>19.6</v>
      </c>
      <c r="E204" s="5" t="n">
        <f aca="false">ITEM_MASTER_CLEAN!G204</f>
        <v>1</v>
      </c>
      <c r="F204" s="5" t="n">
        <f aca="false">DEMAND_MODEL!K204*SafetyDays</f>
        <v>2.57142857142857</v>
      </c>
      <c r="G204" s="5" t="n">
        <f aca="false">DEMAND_MODEL!L204*SafetyDays</f>
        <v>0.857142857142857</v>
      </c>
      <c r="H204" s="5" t="n">
        <f aca="false">ITEM_MASTER_CLEAN!H204</f>
        <v>18</v>
      </c>
      <c r="I204" s="5" t="n">
        <f aca="false">ITEM_MASTER_CLEAN!I204</f>
        <v>0</v>
      </c>
      <c r="J204" s="5" t="str">
        <f aca="false">IF(H204&lt;F204,"YES","")</f>
        <v/>
      </c>
      <c r="K204" s="5" t="str">
        <f aca="false">IF(I204&lt;G204,"YES","")</f>
        <v>YES</v>
      </c>
      <c r="L204" s="5" t="n">
        <f aca="false">IF(J204="YES",MAX(CEILING(F204-H204,E204),0),0)</f>
        <v>0</v>
      </c>
      <c r="M204" s="5" t="n">
        <f aca="false">IF(K204="YES",MAX(CEILING(G204-I204,E204),0),0)</f>
        <v>1</v>
      </c>
      <c r="N204" s="12" t="n">
        <f aca="false">L204*D204</f>
        <v>0</v>
      </c>
      <c r="O204" s="12" t="n">
        <f aca="false">M204*D204</f>
        <v>19.6</v>
      </c>
      <c r="P204" s="12" t="n">
        <f aca="false">P203+N204+O204</f>
        <v>43925.27</v>
      </c>
      <c r="Q204" s="5" t="str">
        <f aca="false">IF(P204&lt;=CashCap,"YES","OVER CAP")</f>
        <v>OVER CAP</v>
      </c>
      <c r="R204" s="5" t="str">
        <f aca="false">IF(LowCashMode="OFF","Normal Mode",IF(AND(OR(J204="YES",K204="YES"),Q204="YES"),"BUY NOW",IF(OR(J204="YES",K204="YES"),"DEFERRED","—")))</f>
        <v>Normal Mode</v>
      </c>
    </row>
    <row r="205" customFormat="false" ht="15" hidden="false" customHeight="false" outlineLevel="0" collapsed="false">
      <c r="A205" s="5" t="n">
        <f aca="false">ITEM_MASTER_CLEAN!A205</f>
        <v>204</v>
      </c>
      <c r="B205" s="5" t="n">
        <f aca="false">ITEM_MASTER_CLEAN!B205</f>
        <v>59752</v>
      </c>
      <c r="C205" s="5" t="str">
        <f aca="false">ITEM_MASTER_CLEAN!C205</f>
        <v>CONT CAKE SLICE PETE 6X6.3 X2.9 240</v>
      </c>
      <c r="D205" s="12" t="n">
        <f aca="false">ITEM_MASTER_CLEAN!F205</f>
        <v>20.21</v>
      </c>
      <c r="E205" s="5" t="n">
        <f aca="false">ITEM_MASTER_CLEAN!G205</f>
        <v>1</v>
      </c>
      <c r="F205" s="5" t="n">
        <f aca="false">DEMAND_MODEL!K205*SafetyDays</f>
        <v>2.14285714285714</v>
      </c>
      <c r="G205" s="5" t="n">
        <f aca="false">DEMAND_MODEL!L205*SafetyDays</f>
        <v>1.71428571428571</v>
      </c>
      <c r="H205" s="5" t="n">
        <f aca="false">ITEM_MASTER_CLEAN!H205</f>
        <v>14</v>
      </c>
      <c r="I205" s="5" t="n">
        <f aca="false">ITEM_MASTER_CLEAN!I205</f>
        <v>0</v>
      </c>
      <c r="J205" s="5" t="str">
        <f aca="false">IF(H205&lt;F205,"YES","")</f>
        <v/>
      </c>
      <c r="K205" s="5" t="str">
        <f aca="false">IF(I205&lt;G205,"YES","")</f>
        <v>YES</v>
      </c>
      <c r="L205" s="5" t="n">
        <f aca="false">IF(J205="YES",MAX(CEILING(F205-H205,E205),0),0)</f>
        <v>0</v>
      </c>
      <c r="M205" s="5" t="n">
        <f aca="false">IF(K205="YES",MAX(CEILING(G205-I205,E205),0),0)</f>
        <v>2</v>
      </c>
      <c r="N205" s="12" t="n">
        <f aca="false">L205*D205</f>
        <v>0</v>
      </c>
      <c r="O205" s="12" t="n">
        <f aca="false">M205*D205</f>
        <v>40.42</v>
      </c>
      <c r="P205" s="12" t="n">
        <f aca="false">P204+N205+O205</f>
        <v>43965.69</v>
      </c>
      <c r="Q205" s="5" t="str">
        <f aca="false">IF(P205&lt;=CashCap,"YES","OVER CAP")</f>
        <v>OVER CAP</v>
      </c>
      <c r="R205" s="5" t="str">
        <f aca="false">IF(LowCashMode="OFF","Normal Mode",IF(AND(OR(J205="YES",K205="YES"),Q205="YES"),"BUY NOW",IF(OR(J205="YES",K205="YES"),"DEFERRED","—")))</f>
        <v>Normal Mode</v>
      </c>
    </row>
    <row r="206" customFormat="false" ht="15" hidden="false" customHeight="false" outlineLevel="0" collapsed="false">
      <c r="A206" s="5" t="n">
        <f aca="false">ITEM_MASTER_CLEAN!A206</f>
        <v>205</v>
      </c>
      <c r="B206" s="5" t="n">
        <f aca="false">ITEM_MASTER_CLEAN!B206</f>
        <v>41216</v>
      </c>
      <c r="C206" s="5" t="str">
        <f aca="false">ITEM_MASTER_CLEAN!C206</f>
        <v>CONT PORT 2 OZ PLASTIC PP* 125UN</v>
      </c>
      <c r="D206" s="12" t="n">
        <f aca="false">ITEM_MASTER_CLEAN!F206</f>
        <v>22.51</v>
      </c>
      <c r="E206" s="5" t="n">
        <f aca="false">ITEM_MASTER_CLEAN!G206</f>
        <v>1</v>
      </c>
      <c r="F206" s="5" t="n">
        <f aca="false">DEMAND_MODEL!K206*SafetyDays</f>
        <v>1.28571428571429</v>
      </c>
      <c r="G206" s="5" t="n">
        <f aca="false">DEMAND_MODEL!L206*SafetyDays</f>
        <v>0.857142857142857</v>
      </c>
      <c r="H206" s="5" t="n">
        <f aca="false">ITEM_MASTER_CLEAN!H206</f>
        <v>1</v>
      </c>
      <c r="I206" s="5" t="n">
        <f aca="false">ITEM_MASTER_CLEAN!I206</f>
        <v>1</v>
      </c>
      <c r="J206" s="5" t="str">
        <f aca="false">IF(H206&lt;F206,"YES","")</f>
        <v>YES</v>
      </c>
      <c r="K206" s="5" t="str">
        <f aca="false">IF(I206&lt;G206,"YES","")</f>
        <v/>
      </c>
      <c r="L206" s="5" t="n">
        <f aca="false">IF(J206="YES",MAX(CEILING(F206-H206,E206),0),0)</f>
        <v>1</v>
      </c>
      <c r="M206" s="5" t="n">
        <f aca="false">IF(K206="YES",MAX(CEILING(G206-I206,E206),0),0)</f>
        <v>0</v>
      </c>
      <c r="N206" s="12" t="n">
        <f aca="false">L206*D206</f>
        <v>22.51</v>
      </c>
      <c r="O206" s="12" t="n">
        <f aca="false">M206*D206</f>
        <v>0</v>
      </c>
      <c r="P206" s="12" t="n">
        <f aca="false">P205+N206+O206</f>
        <v>43988.2</v>
      </c>
      <c r="Q206" s="5" t="str">
        <f aca="false">IF(P206&lt;=CashCap,"YES","OVER CAP")</f>
        <v>OVER CAP</v>
      </c>
      <c r="R206" s="5" t="str">
        <f aca="false">IF(LowCashMode="OFF","Normal Mode",IF(AND(OR(J206="YES",K206="YES"),Q206="YES"),"BUY NOW",IF(OR(J206="YES",K206="YES"),"DEFERRED","—")))</f>
        <v>Normal Mode</v>
      </c>
    </row>
    <row r="207" customFormat="false" ht="15" hidden="false" customHeight="false" outlineLevel="0" collapsed="false">
      <c r="A207" s="5" t="n">
        <f aca="false">ITEM_MASTER_CLEAN!A207</f>
        <v>206</v>
      </c>
      <c r="B207" s="5" t="n">
        <f aca="false">ITEM_MASTER_CLEAN!B207</f>
        <v>41217</v>
      </c>
      <c r="C207" s="5" t="str">
        <f aca="false">ITEM_MASTER_CLEAN!C207</f>
        <v>LID PORTION 2 OZ PL 125UN</v>
      </c>
      <c r="D207" s="12" t="n">
        <f aca="false">ITEM_MASTER_CLEAN!F207</f>
        <v>28.07</v>
      </c>
      <c r="E207" s="5" t="n">
        <f aca="false">ITEM_MASTER_CLEAN!G207</f>
        <v>1</v>
      </c>
      <c r="F207" s="5" t="n">
        <f aca="false">DEMAND_MODEL!K207*SafetyDays</f>
        <v>1.28571428571429</v>
      </c>
      <c r="G207" s="5" t="n">
        <f aca="false">DEMAND_MODEL!L207*SafetyDays</f>
        <v>1.71428571428571</v>
      </c>
      <c r="H207" s="5" t="n">
        <f aca="false">ITEM_MASTER_CLEAN!H207</f>
        <v>4</v>
      </c>
      <c r="I207" s="5" t="n">
        <f aca="false">ITEM_MASTER_CLEAN!I207</f>
        <v>6</v>
      </c>
      <c r="J207" s="5" t="str">
        <f aca="false">IF(H207&lt;F207,"YES","")</f>
        <v/>
      </c>
      <c r="K207" s="5" t="str">
        <f aca="false">IF(I207&lt;G207,"YES","")</f>
        <v/>
      </c>
      <c r="L207" s="5" t="n">
        <f aca="false">IF(J207="YES",MAX(CEILING(F207-H207,E207),0),0)</f>
        <v>0</v>
      </c>
      <c r="M207" s="5" t="n">
        <f aca="false">IF(K207="YES",MAX(CEILING(G207-I207,E207),0),0)</f>
        <v>0</v>
      </c>
      <c r="N207" s="12" t="n">
        <f aca="false">L207*D207</f>
        <v>0</v>
      </c>
      <c r="O207" s="12" t="n">
        <f aca="false">M207*D207</f>
        <v>0</v>
      </c>
      <c r="P207" s="12" t="n">
        <f aca="false">P206+N207+O207</f>
        <v>43988.2</v>
      </c>
      <c r="Q207" s="5" t="str">
        <f aca="false">IF(P207&lt;=CashCap,"YES","OVER CAP")</f>
        <v>OVER CAP</v>
      </c>
      <c r="R207" s="5" t="str">
        <f aca="false">IF(LowCashMode="OFF","Normal Mode",IF(AND(OR(J207="YES",K207="YES"),Q207="YES"),"BUY NOW",IF(OR(J207="YES",K207="YES"),"DEFERRED","—")))</f>
        <v>Normal Mode</v>
      </c>
    </row>
    <row r="208" customFormat="false" ht="15" hidden="false" customHeight="false" outlineLevel="0" collapsed="false">
      <c r="A208" s="5" t="n">
        <f aca="false">ITEM_MASTER_CLEAN!A208</f>
        <v>207</v>
      </c>
      <c r="B208" s="5" t="n">
        <f aca="false">ITEM_MASTER_CLEAN!B208</f>
        <v>66908</v>
      </c>
      <c r="C208" s="5" t="str">
        <f aca="false">ITEM_MASTER_CLEAN!C208</f>
        <v>CUTL KNIFE WOOD TI80691 1M</v>
      </c>
      <c r="D208" s="12" t="n">
        <f aca="false">ITEM_MASTER_CLEAN!F208</f>
        <v>13.23</v>
      </c>
      <c r="E208" s="5" t="n">
        <f aca="false">ITEM_MASTER_CLEAN!G208</f>
        <v>10</v>
      </c>
      <c r="F208" s="5" t="n">
        <f aca="false">DEMAND_MODEL!K208*SafetyDays</f>
        <v>1.28571428571429</v>
      </c>
      <c r="G208" s="5" t="n">
        <f aca="false">DEMAND_MODEL!L208*SafetyDays</f>
        <v>0.857142857142857</v>
      </c>
      <c r="H208" s="5" t="n">
        <f aca="false">ITEM_MASTER_CLEAN!H208</f>
        <v>11</v>
      </c>
      <c r="I208" s="5" t="n">
        <f aca="false">ITEM_MASTER_CLEAN!I208</f>
        <v>7</v>
      </c>
      <c r="J208" s="5" t="str">
        <f aca="false">IF(H208&lt;F208,"YES","")</f>
        <v/>
      </c>
      <c r="K208" s="5" t="str">
        <f aca="false">IF(I208&lt;G208,"YES","")</f>
        <v/>
      </c>
      <c r="L208" s="5" t="n">
        <f aca="false">IF(J208="YES",MAX(CEILING(F208-H208,E208),0),0)</f>
        <v>0</v>
      </c>
      <c r="M208" s="5" t="n">
        <f aca="false">IF(K208="YES",MAX(CEILING(G208-I208,E208),0),0)</f>
        <v>0</v>
      </c>
      <c r="N208" s="12" t="n">
        <f aca="false">L208*D208</f>
        <v>0</v>
      </c>
      <c r="O208" s="12" t="n">
        <f aca="false">M208*D208</f>
        <v>0</v>
      </c>
      <c r="P208" s="12" t="n">
        <f aca="false">P207+N208+O208</f>
        <v>43988.2</v>
      </c>
      <c r="Q208" s="5" t="str">
        <f aca="false">IF(P208&lt;=CashCap,"YES","OVER CAP")</f>
        <v>OVER CAP</v>
      </c>
      <c r="R208" s="5" t="str">
        <f aca="false">IF(LowCashMode="OFF","Normal Mode",IF(AND(OR(J208="YES",K208="YES"),Q208="YES"),"BUY NOW",IF(OR(J208="YES",K208="YES"),"DEFERRED","—")))</f>
        <v>Normal Mode</v>
      </c>
    </row>
    <row r="209" customFormat="false" ht="15" hidden="false" customHeight="false" outlineLevel="0" collapsed="false">
      <c r="A209" s="5" t="n">
        <f aca="false">ITEM_MASTER_CLEAN!A209</f>
        <v>208</v>
      </c>
      <c r="B209" s="5" t="n">
        <f aca="false">ITEM_MASTER_CLEAN!B209</f>
        <v>44099</v>
      </c>
      <c r="C209" s="5" t="str">
        <f aca="false">ITEM_MASTER_CLEAN!C209</f>
        <v>CUTLERY KNIVE POL WH MED PYL PP* 1M</v>
      </c>
      <c r="D209" s="12" t="n">
        <f aca="false">ITEM_MASTER_CLEAN!F209</f>
        <v>26.37</v>
      </c>
      <c r="E209" s="5" t="n">
        <f aca="false">ITEM_MASTER_CLEAN!G209</f>
        <v>1</v>
      </c>
      <c r="F209" s="5" t="n">
        <f aca="false">DEMAND_MODEL!K209*SafetyDays</f>
        <v>1.28571428571429</v>
      </c>
      <c r="G209" s="5" t="n">
        <f aca="false">DEMAND_MODEL!L209*SafetyDays</f>
        <v>0.428571428571429</v>
      </c>
      <c r="H209" s="5" t="n">
        <f aca="false">ITEM_MASTER_CLEAN!H209</f>
        <v>12</v>
      </c>
      <c r="I209" s="5" t="n">
        <f aca="false">ITEM_MASTER_CLEAN!I209</f>
        <v>4</v>
      </c>
      <c r="J209" s="5" t="str">
        <f aca="false">IF(H209&lt;F209,"YES","")</f>
        <v/>
      </c>
      <c r="K209" s="5" t="str">
        <f aca="false">IF(I209&lt;G209,"YES","")</f>
        <v/>
      </c>
      <c r="L209" s="5" t="n">
        <f aca="false">IF(J209="YES",MAX(CEILING(F209-H209,E209),0),0)</f>
        <v>0</v>
      </c>
      <c r="M209" s="5" t="n">
        <f aca="false">IF(K209="YES",MAX(CEILING(G209-I209,E209),0),0)</f>
        <v>0</v>
      </c>
      <c r="N209" s="12" t="n">
        <f aca="false">L209*D209</f>
        <v>0</v>
      </c>
      <c r="O209" s="12" t="n">
        <f aca="false">M209*D209</f>
        <v>0</v>
      </c>
      <c r="P209" s="12" t="n">
        <f aca="false">P208+N209+O209</f>
        <v>43988.2</v>
      </c>
      <c r="Q209" s="5" t="str">
        <f aca="false">IF(P209&lt;=CashCap,"YES","OVER CAP")</f>
        <v>OVER CAP</v>
      </c>
      <c r="R209" s="5" t="str">
        <f aca="false">IF(LowCashMode="OFF","Normal Mode",IF(AND(OR(J209="YES",K209="YES"),Q209="YES"),"BUY NOW",IF(OR(J209="YES",K209="YES"),"DEFERRED","—")))</f>
        <v>Normal Mode</v>
      </c>
    </row>
    <row r="210" customFormat="false" ht="23.85" hidden="false" customHeight="false" outlineLevel="0" collapsed="false">
      <c r="A210" s="5" t="n">
        <f aca="false">ITEM_MASTER_CLEAN!A210</f>
        <v>209</v>
      </c>
      <c r="B210" s="5" t="n">
        <f aca="false">ITEM_MASTER_CLEAN!B210</f>
        <v>41623</v>
      </c>
      <c r="C210" s="5" t="str">
        <f aca="false">ITEM_MASTER_CLEAN!C210</f>
        <v>CUTLERY SPOON POL TEA WH PYL PP* 1M</v>
      </c>
      <c r="D210" s="12" t="n">
        <f aca="false">ITEM_MASTER_CLEAN!F210</f>
        <v>27.96</v>
      </c>
      <c r="E210" s="5" t="n">
        <f aca="false">ITEM_MASTER_CLEAN!G210</f>
        <v>1</v>
      </c>
      <c r="F210" s="5" t="n">
        <f aca="false">DEMAND_MODEL!K210*SafetyDays</f>
        <v>0.857142857142857</v>
      </c>
      <c r="G210" s="5" t="n">
        <f aca="false">DEMAND_MODEL!L210*SafetyDays</f>
        <v>1.28571428571429</v>
      </c>
      <c r="H210" s="5" t="n">
        <f aca="false">ITEM_MASTER_CLEAN!H210</f>
        <v>3</v>
      </c>
      <c r="I210" s="5" t="n">
        <f aca="false">ITEM_MASTER_CLEAN!I210</f>
        <v>4</v>
      </c>
      <c r="J210" s="5" t="str">
        <f aca="false">IF(H210&lt;F210,"YES","")</f>
        <v/>
      </c>
      <c r="K210" s="5" t="str">
        <f aca="false">IF(I210&lt;G210,"YES","")</f>
        <v/>
      </c>
      <c r="L210" s="5" t="n">
        <f aca="false">IF(J210="YES",MAX(CEILING(F210-H210,E210),0),0)</f>
        <v>0</v>
      </c>
      <c r="M210" s="5" t="n">
        <f aca="false">IF(K210="YES",MAX(CEILING(G210-I210,E210),0),0)</f>
        <v>0</v>
      </c>
      <c r="N210" s="12" t="n">
        <f aca="false">L210*D210</f>
        <v>0</v>
      </c>
      <c r="O210" s="12" t="n">
        <f aca="false">M210*D210</f>
        <v>0</v>
      </c>
      <c r="P210" s="12" t="n">
        <f aca="false">P209+N210+O210</f>
        <v>43988.2</v>
      </c>
      <c r="Q210" s="5" t="str">
        <f aca="false">IF(P210&lt;=CashCap,"YES","OVER CAP")</f>
        <v>OVER CAP</v>
      </c>
      <c r="R210" s="5" t="str">
        <f aca="false">IF(LowCashMode="OFF","Normal Mode",IF(AND(OR(J210="YES",K210="YES"),Q210="YES"),"BUY NOW",IF(OR(J210="YES",K210="YES"),"DEFERRED","—")))</f>
        <v>Normal Mode</v>
      </c>
    </row>
    <row r="211" customFormat="false" ht="15" hidden="false" customHeight="false" outlineLevel="0" collapsed="false">
      <c r="A211" s="5" t="n">
        <f aca="false">ITEM_MASTER_CLEAN!A211</f>
        <v>210</v>
      </c>
      <c r="B211" s="5" t="n">
        <f aca="false">ITEM_MASTER_CLEAN!B211</f>
        <v>66910</v>
      </c>
      <c r="C211" s="5" t="str">
        <f aca="false">ITEM_MASTER_CLEAN!C211</f>
        <v>CUTL SPOON WOOD TI80692 1M</v>
      </c>
      <c r="D211" s="12" t="n">
        <f aca="false">ITEM_MASTER_CLEAN!F211</f>
        <v>27.17</v>
      </c>
      <c r="E211" s="5" t="n">
        <f aca="false">ITEM_MASTER_CLEAN!G211</f>
        <v>10</v>
      </c>
      <c r="F211" s="5" t="n">
        <f aca="false">DEMAND_MODEL!K211*SafetyDays</f>
        <v>0.857142857142857</v>
      </c>
      <c r="G211" s="5" t="n">
        <f aca="false">DEMAND_MODEL!L211*SafetyDays</f>
        <v>0.857142857142857</v>
      </c>
      <c r="H211" s="5" t="n">
        <f aca="false">ITEM_MASTER_CLEAN!H211</f>
        <v>0</v>
      </c>
      <c r="I211" s="5" t="n">
        <f aca="false">ITEM_MASTER_CLEAN!I211</f>
        <v>7</v>
      </c>
      <c r="J211" s="5" t="str">
        <f aca="false">IF(H211&lt;F211,"YES","")</f>
        <v>YES</v>
      </c>
      <c r="K211" s="5" t="str">
        <f aca="false">IF(I211&lt;G211,"YES","")</f>
        <v/>
      </c>
      <c r="L211" s="5" t="n">
        <f aca="false">IF(J211="YES",MAX(CEILING(F211-H211,E211),0),0)</f>
        <v>10</v>
      </c>
      <c r="M211" s="5" t="n">
        <f aca="false">IF(K211="YES",MAX(CEILING(G211-I211,E211),0),0)</f>
        <v>0</v>
      </c>
      <c r="N211" s="12" t="n">
        <f aca="false">L211*D211</f>
        <v>271.7</v>
      </c>
      <c r="O211" s="12" t="n">
        <f aca="false">M211*D211</f>
        <v>0</v>
      </c>
      <c r="P211" s="12" t="n">
        <f aca="false">P210+N211+O211</f>
        <v>44259.9</v>
      </c>
      <c r="Q211" s="5" t="str">
        <f aca="false">IF(P211&lt;=CashCap,"YES","OVER CAP")</f>
        <v>OVER CAP</v>
      </c>
      <c r="R211" s="5" t="str">
        <f aca="false">IF(LowCashMode="OFF","Normal Mode",IF(AND(OR(J211="YES",K211="YES"),Q211="YES"),"BUY NOW",IF(OR(J211="YES",K211="YES"),"DEFERRED","—")))</f>
        <v>Normal Mode</v>
      </c>
    </row>
    <row r="212" customFormat="false" ht="15" hidden="false" customHeight="false" outlineLevel="0" collapsed="false">
      <c r="A212" s="5" t="n">
        <f aca="false">ITEM_MASTER_CLEAN!A212</f>
        <v>211</v>
      </c>
      <c r="B212" s="5" t="n">
        <f aca="false">ITEM_MASTER_CLEAN!B212</f>
        <v>43703</v>
      </c>
      <c r="C212" s="5" t="str">
        <f aca="false">ITEM_MASTER_CLEAN!C212</f>
        <v>CUTLERY FORK POL WH MED PYL PP* 1M</v>
      </c>
      <c r="D212" s="12" t="n">
        <f aca="false">ITEM_MASTER_CLEAN!F212</f>
        <v>5.57</v>
      </c>
      <c r="E212" s="5" t="n">
        <f aca="false">ITEM_MASTER_CLEAN!G212</f>
        <v>1</v>
      </c>
      <c r="F212" s="5" t="n">
        <f aca="false">DEMAND_MODEL!K212*SafetyDays</f>
        <v>2.14285714285714</v>
      </c>
      <c r="G212" s="5" t="n">
        <f aca="false">DEMAND_MODEL!L212*SafetyDays</f>
        <v>0.857142857142857</v>
      </c>
      <c r="H212" s="5" t="n">
        <f aca="false">ITEM_MASTER_CLEAN!H212</f>
        <v>0</v>
      </c>
      <c r="I212" s="5" t="n">
        <f aca="false">ITEM_MASTER_CLEAN!I212</f>
        <v>7</v>
      </c>
      <c r="J212" s="5" t="str">
        <f aca="false">IF(H212&lt;F212,"YES","")</f>
        <v>YES</v>
      </c>
      <c r="K212" s="5" t="str">
        <f aca="false">IF(I212&lt;G212,"YES","")</f>
        <v/>
      </c>
      <c r="L212" s="5" t="n">
        <f aca="false">IF(J212="YES",MAX(CEILING(F212-H212,E212),0),0)</f>
        <v>3</v>
      </c>
      <c r="M212" s="5" t="n">
        <f aca="false">IF(K212="YES",MAX(CEILING(G212-I212,E212),0),0)</f>
        <v>0</v>
      </c>
      <c r="N212" s="12" t="n">
        <f aca="false">L212*D212</f>
        <v>16.71</v>
      </c>
      <c r="O212" s="12" t="n">
        <f aca="false">M212*D212</f>
        <v>0</v>
      </c>
      <c r="P212" s="12" t="n">
        <f aca="false">P211+N212+O212</f>
        <v>44276.61</v>
      </c>
      <c r="Q212" s="5" t="str">
        <f aca="false">IF(P212&lt;=CashCap,"YES","OVER CAP")</f>
        <v>OVER CAP</v>
      </c>
      <c r="R212" s="5" t="str">
        <f aca="false">IF(LowCashMode="OFF","Normal Mode",IF(AND(OR(J212="YES",K212="YES"),Q212="YES"),"BUY NOW",IF(OR(J212="YES",K212="YES"),"DEFERRED","—")))</f>
        <v>Normal Mode</v>
      </c>
    </row>
    <row r="213" customFormat="false" ht="15" hidden="false" customHeight="false" outlineLevel="0" collapsed="false">
      <c r="A213" s="5" t="n">
        <f aca="false">ITEM_MASTER_CLEAN!A213</f>
        <v>212</v>
      </c>
      <c r="B213" s="5" t="n">
        <f aca="false">ITEM_MASTER_CLEAN!B213</f>
        <v>66909</v>
      </c>
      <c r="C213" s="5" t="str">
        <f aca="false">ITEM_MASTER_CLEAN!C213</f>
        <v>CUTL FORK WOOD TI80690 1M</v>
      </c>
      <c r="D213" s="12" t="n">
        <f aca="false">ITEM_MASTER_CLEAN!F213</f>
        <v>21.06</v>
      </c>
      <c r="E213" s="5" t="n">
        <f aca="false">ITEM_MASTER_CLEAN!G213</f>
        <v>10</v>
      </c>
      <c r="F213" s="5" t="n">
        <f aca="false">DEMAND_MODEL!K213*SafetyDays</f>
        <v>0.857142857142857</v>
      </c>
      <c r="G213" s="5" t="n">
        <f aca="false">DEMAND_MODEL!L213*SafetyDays</f>
        <v>1.71428571428571</v>
      </c>
      <c r="H213" s="5" t="n">
        <f aca="false">ITEM_MASTER_CLEAN!H213</f>
        <v>9</v>
      </c>
      <c r="I213" s="5" t="n">
        <f aca="false">ITEM_MASTER_CLEAN!I213</f>
        <v>15</v>
      </c>
      <c r="J213" s="5" t="str">
        <f aca="false">IF(H213&lt;F213,"YES","")</f>
        <v/>
      </c>
      <c r="K213" s="5" t="str">
        <f aca="false">IF(I213&lt;G213,"YES","")</f>
        <v/>
      </c>
      <c r="L213" s="5" t="n">
        <f aca="false">IF(J213="YES",MAX(CEILING(F213-H213,E213),0),0)</f>
        <v>0</v>
      </c>
      <c r="M213" s="5" t="n">
        <f aca="false">IF(K213="YES",MAX(CEILING(G213-I213,E213),0),0)</f>
        <v>0</v>
      </c>
      <c r="N213" s="12" t="n">
        <f aca="false">L213*D213</f>
        <v>0</v>
      </c>
      <c r="O213" s="12" t="n">
        <f aca="false">M213*D213</f>
        <v>0</v>
      </c>
      <c r="P213" s="12" t="n">
        <f aca="false">P212+N213+O213</f>
        <v>44276.61</v>
      </c>
      <c r="Q213" s="5" t="str">
        <f aca="false">IF(P213&lt;=CashCap,"YES","OVER CAP")</f>
        <v>OVER CAP</v>
      </c>
      <c r="R213" s="5" t="str">
        <f aca="false">IF(LowCashMode="OFF","Normal Mode",IF(AND(OR(J213="YES",K213="YES"),Q213="YES"),"BUY NOW",IF(OR(J213="YES",K213="YES"),"DEFERRED","—")))</f>
        <v>Normal Mode</v>
      </c>
    </row>
    <row r="214" customFormat="false" ht="15" hidden="false" customHeight="false" outlineLevel="0" collapsed="false">
      <c r="A214" s="5" t="n">
        <f aca="false">ITEM_MASTER_CLEAN!A214</f>
        <v>213</v>
      </c>
      <c r="B214" s="5" t="n">
        <f aca="false">ITEM_MASTER_CLEAN!B214</f>
        <v>12562</v>
      </c>
      <c r="C214" s="5" t="str">
        <f aca="false">ITEM_MASTER_CLEAN!C214</f>
        <v>SPOON WOOD TASTER WRP 1M</v>
      </c>
      <c r="D214" s="12" t="n">
        <f aca="false">ITEM_MASTER_CLEAN!F214</f>
        <v>12.9</v>
      </c>
      <c r="E214" s="5" t="n">
        <f aca="false">ITEM_MASTER_CLEAN!G214</f>
        <v>1</v>
      </c>
      <c r="F214" s="5" t="n">
        <f aca="false">DEMAND_MODEL!K214*SafetyDays</f>
        <v>1.28571428571429</v>
      </c>
      <c r="G214" s="5" t="n">
        <f aca="false">DEMAND_MODEL!L214*SafetyDays</f>
        <v>0.428571428571429</v>
      </c>
      <c r="H214" s="5" t="n">
        <f aca="false">ITEM_MASTER_CLEAN!H214</f>
        <v>3</v>
      </c>
      <c r="I214" s="5" t="n">
        <f aca="false">ITEM_MASTER_CLEAN!I214</f>
        <v>1</v>
      </c>
      <c r="J214" s="5" t="str">
        <f aca="false">IF(H214&lt;F214,"YES","")</f>
        <v/>
      </c>
      <c r="K214" s="5" t="str">
        <f aca="false">IF(I214&lt;G214,"YES","")</f>
        <v/>
      </c>
      <c r="L214" s="5" t="n">
        <f aca="false">IF(J214="YES",MAX(CEILING(F214-H214,E214),0),0)</f>
        <v>0</v>
      </c>
      <c r="M214" s="5" t="n">
        <f aca="false">IF(K214="YES",MAX(CEILING(G214-I214,E214),0),0)</f>
        <v>0</v>
      </c>
      <c r="N214" s="12" t="n">
        <f aca="false">L214*D214</f>
        <v>0</v>
      </c>
      <c r="O214" s="12" t="n">
        <f aca="false">M214*D214</f>
        <v>0</v>
      </c>
      <c r="P214" s="12" t="n">
        <f aca="false">P213+N214+O214</f>
        <v>44276.61</v>
      </c>
      <c r="Q214" s="5" t="str">
        <f aca="false">IF(P214&lt;=CashCap,"YES","OVER CAP")</f>
        <v>OVER CAP</v>
      </c>
      <c r="R214" s="5" t="str">
        <f aca="false">IF(LowCashMode="OFF","Normal Mode",IF(AND(OR(J214="YES",K214="YES"),Q214="YES"),"BUY NOW",IF(OR(J214="YES",K214="YES"),"DEFERRED","—")))</f>
        <v>Normal Mode</v>
      </c>
    </row>
    <row r="215" customFormat="false" ht="23.85" hidden="false" customHeight="false" outlineLevel="0" collapsed="false">
      <c r="A215" s="5" t="n">
        <f aca="false">ITEM_MASTER_CLEAN!A215</f>
        <v>214</v>
      </c>
      <c r="B215" s="5" t="n">
        <f aca="false">ITEM_MASTER_CLEAN!B215</f>
        <v>66915</v>
      </c>
      <c r="C215" s="5" t="str">
        <f aca="false">ITEM_MASTER_CLEAN!C215</f>
        <v>MTY CUTLERY SPOON SODA 7.2" WOOD 1M</v>
      </c>
      <c r="D215" s="12" t="n">
        <f aca="false">ITEM_MASTER_CLEAN!F215</f>
        <v>33.04</v>
      </c>
      <c r="E215" s="5" t="n">
        <f aca="false">ITEM_MASTER_CLEAN!G215</f>
        <v>1</v>
      </c>
      <c r="F215" s="5" t="n">
        <f aca="false">DEMAND_MODEL!K215*SafetyDays</f>
        <v>0.857142857142857</v>
      </c>
      <c r="G215" s="5" t="n">
        <f aca="false">DEMAND_MODEL!L215*SafetyDays</f>
        <v>1.71428571428571</v>
      </c>
      <c r="H215" s="5" t="n">
        <f aca="false">ITEM_MASTER_CLEAN!H215</f>
        <v>2</v>
      </c>
      <c r="I215" s="5" t="n">
        <f aca="false">ITEM_MASTER_CLEAN!I215</f>
        <v>6</v>
      </c>
      <c r="J215" s="5" t="str">
        <f aca="false">IF(H215&lt;F215,"YES","")</f>
        <v/>
      </c>
      <c r="K215" s="5" t="str">
        <f aca="false">IF(I215&lt;G215,"YES","")</f>
        <v/>
      </c>
      <c r="L215" s="5" t="n">
        <f aca="false">IF(J215="YES",MAX(CEILING(F215-H215,E215),0),0)</f>
        <v>0</v>
      </c>
      <c r="M215" s="5" t="n">
        <f aca="false">IF(K215="YES",MAX(CEILING(G215-I215,E215),0),0)</f>
        <v>0</v>
      </c>
      <c r="N215" s="12" t="n">
        <f aca="false">L215*D215</f>
        <v>0</v>
      </c>
      <c r="O215" s="12" t="n">
        <f aca="false">M215*D215</f>
        <v>0</v>
      </c>
      <c r="P215" s="12" t="n">
        <f aca="false">P214+N215+O215</f>
        <v>44276.61</v>
      </c>
      <c r="Q215" s="5" t="str">
        <f aca="false">IF(P215&lt;=CashCap,"YES","OVER CAP")</f>
        <v>OVER CAP</v>
      </c>
      <c r="R215" s="5" t="str">
        <f aca="false">IF(LowCashMode="OFF","Normal Mode",IF(AND(OR(J215="YES",K215="YES"),Q215="YES"),"BUY NOW",IF(OR(J215="YES",K215="YES"),"DEFERRED","—")))</f>
        <v>Normal Mode</v>
      </c>
    </row>
    <row r="216" customFormat="false" ht="15" hidden="false" customHeight="false" outlineLevel="0" collapsed="false">
      <c r="A216" s="5" t="n">
        <f aca="false">ITEM_MASTER_CLEAN!A216</f>
        <v>215</v>
      </c>
      <c r="B216" s="5" t="n">
        <f aca="false">ITEM_MASTER_CLEAN!B216</f>
        <v>33725</v>
      </c>
      <c r="C216" s="5" t="str">
        <f aca="false">ITEM_MASTER_CLEAN!C216</f>
        <v>TRAY 4CUP CARRIER 8-32OZ  300</v>
      </c>
      <c r="D216" s="12" t="n">
        <f aca="false">ITEM_MASTER_CLEAN!F216</f>
        <v>30.73</v>
      </c>
      <c r="E216" s="5" t="n">
        <f aca="false">ITEM_MASTER_CLEAN!G216</f>
        <v>1</v>
      </c>
      <c r="F216" s="5" t="n">
        <f aca="false">DEMAND_MODEL!K216*SafetyDays</f>
        <v>1.28571428571429</v>
      </c>
      <c r="G216" s="5" t="n">
        <f aca="false">DEMAND_MODEL!L216*SafetyDays</f>
        <v>0.428571428571429</v>
      </c>
      <c r="H216" s="5" t="n">
        <f aca="false">ITEM_MASTER_CLEAN!H216</f>
        <v>5</v>
      </c>
      <c r="I216" s="5" t="n">
        <f aca="false">ITEM_MASTER_CLEAN!I216</f>
        <v>1</v>
      </c>
      <c r="J216" s="5" t="str">
        <f aca="false">IF(H216&lt;F216,"YES","")</f>
        <v/>
      </c>
      <c r="K216" s="5" t="str">
        <f aca="false">IF(I216&lt;G216,"YES","")</f>
        <v/>
      </c>
      <c r="L216" s="5" t="n">
        <f aca="false">IF(J216="YES",MAX(CEILING(F216-H216,E216),0),0)</f>
        <v>0</v>
      </c>
      <c r="M216" s="5" t="n">
        <f aca="false">IF(K216="YES",MAX(CEILING(G216-I216,E216),0),0)</f>
        <v>0</v>
      </c>
      <c r="N216" s="12" t="n">
        <f aca="false">L216*D216</f>
        <v>0</v>
      </c>
      <c r="O216" s="12" t="n">
        <f aca="false">M216*D216</f>
        <v>0</v>
      </c>
      <c r="P216" s="12" t="n">
        <f aca="false">P215+N216+O216</f>
        <v>44276.61</v>
      </c>
      <c r="Q216" s="5" t="str">
        <f aca="false">IF(P216&lt;=CashCap,"YES","OVER CAP")</f>
        <v>OVER CAP</v>
      </c>
      <c r="R216" s="5" t="str">
        <f aca="false">IF(LowCashMode="OFF","Normal Mode",IF(AND(OR(J216="YES",K216="YES"),Q216="YES"),"BUY NOW",IF(OR(J216="YES",K216="YES"),"DEFERRED","—")))</f>
        <v>Normal Mode</v>
      </c>
    </row>
    <row r="217" customFormat="false" ht="15" hidden="false" customHeight="false" outlineLevel="0" collapsed="false">
      <c r="A217" s="5" t="n">
        <f aca="false">ITEM_MASTER_CLEAN!A217</f>
        <v>216</v>
      </c>
      <c r="B217" s="5" t="n">
        <f aca="false">ITEM_MASTER_CLEAN!B217</f>
        <v>47498</v>
      </c>
      <c r="C217" s="5" t="str">
        <f aca="false">ITEM_MASTER_CLEAN!C217</f>
        <v>ROLL CASH THERMAL 3 1/8 X 210'   50</v>
      </c>
      <c r="D217" s="12" t="n">
        <f aca="false">ITEM_MASTER_CLEAN!F217</f>
        <v>29.06</v>
      </c>
      <c r="E217" s="5" t="n">
        <f aca="false">ITEM_MASTER_CLEAN!G217</f>
        <v>50</v>
      </c>
      <c r="F217" s="5" t="n">
        <f aca="false">DEMAND_MODEL!K217*SafetyDays</f>
        <v>1.71428571428571</v>
      </c>
      <c r="G217" s="5" t="n">
        <f aca="false">DEMAND_MODEL!L217*SafetyDays</f>
        <v>0.857142857142857</v>
      </c>
      <c r="H217" s="5" t="n">
        <f aca="false">ITEM_MASTER_CLEAN!H217</f>
        <v>11</v>
      </c>
      <c r="I217" s="5" t="n">
        <f aca="false">ITEM_MASTER_CLEAN!I217</f>
        <v>0</v>
      </c>
      <c r="J217" s="5" t="str">
        <f aca="false">IF(H217&lt;F217,"YES","")</f>
        <v/>
      </c>
      <c r="K217" s="5" t="str">
        <f aca="false">IF(I217&lt;G217,"YES","")</f>
        <v>YES</v>
      </c>
      <c r="L217" s="5" t="n">
        <f aca="false">IF(J217="YES",MAX(CEILING(F217-H217,E217),0),0)</f>
        <v>0</v>
      </c>
      <c r="M217" s="5" t="n">
        <f aca="false">IF(K217="YES",MAX(CEILING(G217-I217,E217),0),0)</f>
        <v>50</v>
      </c>
      <c r="N217" s="12" t="n">
        <f aca="false">L217*D217</f>
        <v>0</v>
      </c>
      <c r="O217" s="12" t="n">
        <f aca="false">M217*D217</f>
        <v>1453</v>
      </c>
      <c r="P217" s="12" t="n">
        <f aca="false">P216+N217+O217</f>
        <v>45729.61</v>
      </c>
      <c r="Q217" s="5" t="str">
        <f aca="false">IF(P217&lt;=CashCap,"YES","OVER CAP")</f>
        <v>OVER CAP</v>
      </c>
      <c r="R217" s="5" t="str">
        <f aca="false">IF(LowCashMode="OFF","Normal Mode",IF(AND(OR(J217="YES",K217="YES"),Q217="YES"),"BUY NOW",IF(OR(J217="YES",K217="YES"),"DEFERRED","—")))</f>
        <v>Normal Mode</v>
      </c>
    </row>
    <row r="218" customFormat="false" ht="15" hidden="false" customHeight="false" outlineLevel="0" collapsed="false">
      <c r="A218" s="5" t="n">
        <f aca="false">ITEM_MASTER_CLEAN!A218</f>
        <v>217</v>
      </c>
      <c r="B218" s="5" t="n">
        <f aca="false">ITEM_MASTER_CLEAN!B218</f>
        <v>12609</v>
      </c>
      <c r="C218" s="5" t="str">
        <f aca="false">ITEM_MASTER_CLEAN!C218</f>
        <v>BAGS GROCERY BROWN  8LB 500</v>
      </c>
      <c r="D218" s="12" t="n">
        <f aca="false">ITEM_MASTER_CLEAN!F218</f>
        <v>9.86</v>
      </c>
      <c r="E218" s="5" t="n">
        <f aca="false">ITEM_MASTER_CLEAN!G218</f>
        <v>1</v>
      </c>
      <c r="F218" s="5" t="n">
        <f aca="false">DEMAND_MODEL!K218*SafetyDays</f>
        <v>2.57142857142857</v>
      </c>
      <c r="G218" s="5" t="n">
        <f aca="false">DEMAND_MODEL!L218*SafetyDays</f>
        <v>1.28571428571429</v>
      </c>
      <c r="H218" s="5" t="n">
        <f aca="false">ITEM_MASTER_CLEAN!H218</f>
        <v>0</v>
      </c>
      <c r="I218" s="5" t="n">
        <f aca="false">ITEM_MASTER_CLEAN!I218</f>
        <v>0</v>
      </c>
      <c r="J218" s="5" t="str">
        <f aca="false">IF(H218&lt;F218,"YES","")</f>
        <v>YES</v>
      </c>
      <c r="K218" s="5" t="str">
        <f aca="false">IF(I218&lt;G218,"YES","")</f>
        <v>YES</v>
      </c>
      <c r="L218" s="5" t="n">
        <f aca="false">IF(J218="YES",MAX(CEILING(F218-H218,E218),0),0)</f>
        <v>3</v>
      </c>
      <c r="M218" s="5" t="n">
        <f aca="false">IF(K218="YES",MAX(CEILING(G218-I218,E218),0),0)</f>
        <v>2</v>
      </c>
      <c r="N218" s="12" t="n">
        <f aca="false">L218*D218</f>
        <v>29.58</v>
      </c>
      <c r="O218" s="12" t="n">
        <f aca="false">M218*D218</f>
        <v>19.72</v>
      </c>
      <c r="P218" s="12" t="n">
        <f aca="false">P217+N218+O218</f>
        <v>45778.91</v>
      </c>
      <c r="Q218" s="5" t="str">
        <f aca="false">IF(P218&lt;=CashCap,"YES","OVER CAP")</f>
        <v>OVER CAP</v>
      </c>
      <c r="R218" s="5" t="str">
        <f aca="false">IF(LowCashMode="OFF","Normal Mode",IF(AND(OR(J218="YES",K218="YES"),Q218="YES"),"BUY NOW",IF(OR(J218="YES",K218="YES"),"DEFERRED","—")))</f>
        <v>Normal Mode</v>
      </c>
    </row>
    <row r="219" customFormat="false" ht="15" hidden="false" customHeight="false" outlineLevel="0" collapsed="false">
      <c r="A219" s="5" t="n">
        <f aca="false">ITEM_MASTER_CLEAN!A219</f>
        <v>218</v>
      </c>
      <c r="B219" s="5" t="n">
        <f aca="false">ITEM_MASTER_CLEAN!B219</f>
        <v>12617</v>
      </c>
      <c r="C219" s="5" t="str">
        <f aca="false">ITEM_MASTER_CLEAN!C219</f>
        <v>BAGS GROCERY BROWN 10LB 500</v>
      </c>
      <c r="D219" s="12" t="n">
        <f aca="false">ITEM_MASTER_CLEAN!F219</f>
        <v>12.28</v>
      </c>
      <c r="E219" s="5" t="n">
        <f aca="false">ITEM_MASTER_CLEAN!G219</f>
        <v>1</v>
      </c>
      <c r="F219" s="5" t="n">
        <f aca="false">DEMAND_MODEL!K219*SafetyDays</f>
        <v>1.28571428571429</v>
      </c>
      <c r="G219" s="5" t="n">
        <f aca="false">DEMAND_MODEL!L219*SafetyDays</f>
        <v>0.428571428571429</v>
      </c>
      <c r="H219" s="5" t="n">
        <f aca="false">ITEM_MASTER_CLEAN!H219</f>
        <v>0</v>
      </c>
      <c r="I219" s="5" t="n">
        <f aca="false">ITEM_MASTER_CLEAN!I219</f>
        <v>0</v>
      </c>
      <c r="J219" s="5" t="str">
        <f aca="false">IF(H219&lt;F219,"YES","")</f>
        <v>YES</v>
      </c>
      <c r="K219" s="5" t="str">
        <f aca="false">IF(I219&lt;G219,"YES","")</f>
        <v>YES</v>
      </c>
      <c r="L219" s="5" t="n">
        <f aca="false">IF(J219="YES",MAX(CEILING(F219-H219,E219),0),0)</f>
        <v>2</v>
      </c>
      <c r="M219" s="5" t="n">
        <f aca="false">IF(K219="YES",MAX(CEILING(G219-I219,E219),0),0)</f>
        <v>1</v>
      </c>
      <c r="N219" s="12" t="n">
        <f aca="false">L219*D219</f>
        <v>24.56</v>
      </c>
      <c r="O219" s="12" t="n">
        <f aca="false">M219*D219</f>
        <v>12.28</v>
      </c>
      <c r="P219" s="12" t="n">
        <f aca="false">P218+N219+O219</f>
        <v>45815.75</v>
      </c>
      <c r="Q219" s="5" t="str">
        <f aca="false">IF(P219&lt;=CashCap,"YES","OVER CAP")</f>
        <v>OVER CAP</v>
      </c>
      <c r="R219" s="5" t="str">
        <f aca="false">IF(LowCashMode="OFF","Normal Mode",IF(AND(OR(J219="YES",K219="YES"),Q219="YES"),"BUY NOW",IF(OR(J219="YES",K219="YES"),"DEFERRED","—")))</f>
        <v>Normal Mode</v>
      </c>
    </row>
    <row r="220" customFormat="false" ht="15" hidden="false" customHeight="false" outlineLevel="0" collapsed="false">
      <c r="A220" s="5" t="n">
        <f aca="false">ITEM_MASTER_CLEAN!A220</f>
        <v>219</v>
      </c>
      <c r="B220" s="5" t="n">
        <f aca="false">ITEM_MASTER_CLEAN!B220</f>
        <v>12633</v>
      </c>
      <c r="C220" s="5" t="str">
        <f aca="false">ITEM_MASTER_CLEAN!C220</f>
        <v>BAGS GROCERY BROWN 14LB 500</v>
      </c>
      <c r="D220" s="12" t="n">
        <f aca="false">ITEM_MASTER_CLEAN!F220</f>
        <v>11.84</v>
      </c>
      <c r="E220" s="5" t="n">
        <f aca="false">ITEM_MASTER_CLEAN!G220</f>
        <v>1</v>
      </c>
      <c r="F220" s="5" t="n">
        <f aca="false">DEMAND_MODEL!K220*SafetyDays</f>
        <v>1.71428571428571</v>
      </c>
      <c r="G220" s="5" t="n">
        <f aca="false">DEMAND_MODEL!L220*SafetyDays</f>
        <v>1.28571428571429</v>
      </c>
      <c r="H220" s="5" t="n">
        <f aca="false">ITEM_MASTER_CLEAN!H220</f>
        <v>14</v>
      </c>
      <c r="I220" s="5" t="n">
        <f aca="false">ITEM_MASTER_CLEAN!I220</f>
        <v>1</v>
      </c>
      <c r="J220" s="5" t="str">
        <f aca="false">IF(H220&lt;F220,"YES","")</f>
        <v/>
      </c>
      <c r="K220" s="5" t="str">
        <f aca="false">IF(I220&lt;G220,"YES","")</f>
        <v>YES</v>
      </c>
      <c r="L220" s="5" t="n">
        <f aca="false">IF(J220="YES",MAX(CEILING(F220-H220,E220),0),0)</f>
        <v>0</v>
      </c>
      <c r="M220" s="5" t="n">
        <f aca="false">IF(K220="YES",MAX(CEILING(G220-I220,E220),0),0)</f>
        <v>1</v>
      </c>
      <c r="N220" s="12" t="n">
        <f aca="false">L220*D220</f>
        <v>0</v>
      </c>
      <c r="O220" s="12" t="n">
        <f aca="false">M220*D220</f>
        <v>11.84</v>
      </c>
      <c r="P220" s="12" t="n">
        <f aca="false">P219+N220+O220</f>
        <v>45827.59</v>
      </c>
      <c r="Q220" s="5" t="str">
        <f aca="false">IF(P220&lt;=CashCap,"YES","OVER CAP")</f>
        <v>OVER CAP</v>
      </c>
      <c r="R220" s="5" t="str">
        <f aca="false">IF(LowCashMode="OFF","Normal Mode",IF(AND(OR(J220="YES",K220="YES"),Q220="YES"),"BUY NOW",IF(OR(J220="YES",K220="YES"),"DEFERRED","—")))</f>
        <v>Normal Mode</v>
      </c>
    </row>
    <row r="221" customFormat="false" ht="15" hidden="false" customHeight="false" outlineLevel="0" collapsed="false">
      <c r="A221" s="5" t="n">
        <f aca="false">ITEM_MASTER_CLEAN!A221</f>
        <v>220</v>
      </c>
      <c r="B221" s="5" t="n">
        <f aca="false">ITEM_MASTER_CLEAN!B221</f>
        <v>12585</v>
      </c>
      <c r="C221" s="5" t="str">
        <f aca="false">ITEM_MASTER_CLEAN!C221</f>
        <v>BAGS GROCERY  30LB  DD50  500UN</v>
      </c>
      <c r="D221" s="12" t="n">
        <f aca="false">ITEM_MASTER_CLEAN!F221</f>
        <v>9.18</v>
      </c>
      <c r="E221" s="5" t="n">
        <f aca="false">ITEM_MASTER_CLEAN!G221</f>
        <v>1</v>
      </c>
      <c r="F221" s="5" t="n">
        <f aca="false">DEMAND_MODEL!K221*SafetyDays</f>
        <v>1.28571428571429</v>
      </c>
      <c r="G221" s="5" t="n">
        <f aca="false">DEMAND_MODEL!L221*SafetyDays</f>
        <v>0.857142857142857</v>
      </c>
      <c r="H221" s="5" t="n">
        <f aca="false">ITEM_MASTER_CLEAN!H221</f>
        <v>1</v>
      </c>
      <c r="I221" s="5" t="n">
        <f aca="false">ITEM_MASTER_CLEAN!I221</f>
        <v>1</v>
      </c>
      <c r="J221" s="5" t="str">
        <f aca="false">IF(H221&lt;F221,"YES","")</f>
        <v>YES</v>
      </c>
      <c r="K221" s="5" t="str">
        <f aca="false">IF(I221&lt;G221,"YES","")</f>
        <v/>
      </c>
      <c r="L221" s="5" t="n">
        <f aca="false">IF(J221="YES",MAX(CEILING(F221-H221,E221),0),0)</f>
        <v>1</v>
      </c>
      <c r="M221" s="5" t="n">
        <f aca="false">IF(K221="YES",MAX(CEILING(G221-I221,E221),0),0)</f>
        <v>0</v>
      </c>
      <c r="N221" s="12" t="n">
        <f aca="false">L221*D221</f>
        <v>9.18</v>
      </c>
      <c r="O221" s="12" t="n">
        <f aca="false">M221*D221</f>
        <v>0</v>
      </c>
      <c r="P221" s="12" t="n">
        <f aca="false">P220+N221+O221</f>
        <v>45836.77</v>
      </c>
      <c r="Q221" s="5" t="str">
        <f aca="false">IF(P221&lt;=CashCap,"YES","OVER CAP")</f>
        <v>OVER CAP</v>
      </c>
      <c r="R221" s="5" t="str">
        <f aca="false">IF(LowCashMode="OFF","Normal Mode",IF(AND(OR(J221="YES",K221="YES"),Q221="YES"),"BUY NOW",IF(OR(J221="YES",K221="YES"),"DEFERRED","—")))</f>
        <v>Normal Mode</v>
      </c>
    </row>
    <row r="222" customFormat="false" ht="15" hidden="false" customHeight="false" outlineLevel="0" collapsed="false">
      <c r="A222" s="5" t="n">
        <f aca="false">ITEM_MASTER_CLEAN!A222</f>
        <v>221</v>
      </c>
      <c r="B222" s="5" t="n">
        <f aca="false">ITEM_MASTER_CLEAN!B222</f>
        <v>22573</v>
      </c>
      <c r="C222" s="5" t="str">
        <f aca="false">ITEM_MASTER_CLEAN!C222</f>
        <v>BAG KFT W/HANDLE 14X10X16  200</v>
      </c>
      <c r="D222" s="12" t="n">
        <f aca="false">ITEM_MASTER_CLEAN!F222</f>
        <v>7.64</v>
      </c>
      <c r="E222" s="5" t="n">
        <f aca="false">ITEM_MASTER_CLEAN!G222</f>
        <v>1</v>
      </c>
      <c r="F222" s="5" t="n">
        <f aca="false">DEMAND_MODEL!K222*SafetyDays</f>
        <v>1.28571428571429</v>
      </c>
      <c r="G222" s="5" t="n">
        <f aca="false">DEMAND_MODEL!L222*SafetyDays</f>
        <v>1.28571428571429</v>
      </c>
      <c r="H222" s="5" t="n">
        <f aca="false">ITEM_MASTER_CLEAN!H222</f>
        <v>10</v>
      </c>
      <c r="I222" s="5" t="n">
        <f aca="false">ITEM_MASTER_CLEAN!I222</f>
        <v>1</v>
      </c>
      <c r="J222" s="5" t="str">
        <f aca="false">IF(H222&lt;F222,"YES","")</f>
        <v/>
      </c>
      <c r="K222" s="5" t="str">
        <f aca="false">IF(I222&lt;G222,"YES","")</f>
        <v>YES</v>
      </c>
      <c r="L222" s="5" t="n">
        <f aca="false">IF(J222="YES",MAX(CEILING(F222-H222,E222),0),0)</f>
        <v>0</v>
      </c>
      <c r="M222" s="5" t="n">
        <f aca="false">IF(K222="YES",MAX(CEILING(G222-I222,E222),0),0)</f>
        <v>1</v>
      </c>
      <c r="N222" s="12" t="n">
        <f aca="false">L222*D222</f>
        <v>0</v>
      </c>
      <c r="O222" s="12" t="n">
        <f aca="false">M222*D222</f>
        <v>7.64</v>
      </c>
      <c r="P222" s="12" t="n">
        <f aca="false">P221+N222+O222</f>
        <v>45844.41</v>
      </c>
      <c r="Q222" s="5" t="str">
        <f aca="false">IF(P222&lt;=CashCap,"YES","OVER CAP")</f>
        <v>OVER CAP</v>
      </c>
      <c r="R222" s="5" t="str">
        <f aca="false">IF(LowCashMode="OFF","Normal Mode",IF(AND(OR(J222="YES",K222="YES"),Q222="YES"),"BUY NOW",IF(OR(J222="YES",K222="YES"),"DEFERRED","—")))</f>
        <v>Normal Mode</v>
      </c>
    </row>
    <row r="223" customFormat="false" ht="15" hidden="false" customHeight="false" outlineLevel="0" collapsed="false">
      <c r="A223" s="5" t="n">
        <f aca="false">ITEM_MASTER_CLEAN!A223</f>
        <v>222</v>
      </c>
      <c r="B223" s="5" t="n">
        <f aca="false">ITEM_MASTER_CLEAN!B223</f>
        <v>28466</v>
      </c>
      <c r="C223" s="5" t="str">
        <f aca="false">ITEM_MASTER_CLEAN!C223</f>
        <v>NAPKIN COCTAIL 4M</v>
      </c>
      <c r="D223" s="12" t="n">
        <f aca="false">ITEM_MASTER_CLEAN!F223</f>
        <v>13.49</v>
      </c>
      <c r="E223" s="5" t="n">
        <f aca="false">ITEM_MASTER_CLEAN!G223</f>
        <v>1</v>
      </c>
      <c r="F223" s="5" t="n">
        <f aca="false">DEMAND_MODEL!K223*SafetyDays</f>
        <v>1.71428571428571</v>
      </c>
      <c r="G223" s="5" t="n">
        <f aca="false">DEMAND_MODEL!L223*SafetyDays</f>
        <v>0.857142857142857</v>
      </c>
      <c r="H223" s="5" t="n">
        <f aca="false">ITEM_MASTER_CLEAN!H223</f>
        <v>0</v>
      </c>
      <c r="I223" s="5" t="n">
        <f aca="false">ITEM_MASTER_CLEAN!I223</f>
        <v>1</v>
      </c>
      <c r="J223" s="5" t="str">
        <f aca="false">IF(H223&lt;F223,"YES","")</f>
        <v>YES</v>
      </c>
      <c r="K223" s="5" t="str">
        <f aca="false">IF(I223&lt;G223,"YES","")</f>
        <v/>
      </c>
      <c r="L223" s="5" t="n">
        <f aca="false">IF(J223="YES",MAX(CEILING(F223-H223,E223),0),0)</f>
        <v>2</v>
      </c>
      <c r="M223" s="5" t="n">
        <f aca="false">IF(K223="YES",MAX(CEILING(G223-I223,E223),0),0)</f>
        <v>0</v>
      </c>
      <c r="N223" s="12" t="n">
        <f aca="false">L223*D223</f>
        <v>26.98</v>
      </c>
      <c r="O223" s="12" t="n">
        <f aca="false">M223*D223</f>
        <v>0</v>
      </c>
      <c r="P223" s="12" t="n">
        <f aca="false">P222+N223+O223</f>
        <v>45871.39</v>
      </c>
      <c r="Q223" s="5" t="str">
        <f aca="false">IF(P223&lt;=CashCap,"YES","OVER CAP")</f>
        <v>OVER CAP</v>
      </c>
      <c r="R223" s="5" t="str">
        <f aca="false">IF(LowCashMode="OFF","Normal Mode",IF(AND(OR(J223="YES",K223="YES"),Q223="YES"),"BUY NOW",IF(OR(J223="YES",K223="YES"),"DEFERRED","—")))</f>
        <v>Normal Mode</v>
      </c>
    </row>
    <row r="224" customFormat="false" ht="15" hidden="false" customHeight="false" outlineLevel="0" collapsed="false">
      <c r="A224" s="5" t="n">
        <f aca="false">ITEM_MASTER_CLEAN!A224</f>
        <v>223</v>
      </c>
      <c r="B224" s="5" t="n">
        <f aca="false">ITEM_MASTER_CLEAN!B224</f>
        <v>31649</v>
      </c>
      <c r="C224" s="5" t="str">
        <f aca="false">ITEM_MASTER_CLEAN!C224</f>
        <v>NAPKIN MEALMATES 1PL KRAFT 12X300</v>
      </c>
      <c r="D224" s="12" t="n">
        <f aca="false">ITEM_MASTER_CLEAN!F224</f>
        <v>9.12</v>
      </c>
      <c r="E224" s="5" t="n">
        <f aca="false">ITEM_MASTER_CLEAN!G224</f>
        <v>12</v>
      </c>
      <c r="F224" s="5" t="n">
        <f aca="false">DEMAND_MODEL!K224*SafetyDays</f>
        <v>2.14285714285714</v>
      </c>
      <c r="G224" s="5" t="n">
        <f aca="false">DEMAND_MODEL!L224*SafetyDays</f>
        <v>0.857142857142857</v>
      </c>
      <c r="H224" s="5" t="n">
        <f aca="false">ITEM_MASTER_CLEAN!H224</f>
        <v>1</v>
      </c>
      <c r="I224" s="5" t="n">
        <f aca="false">ITEM_MASTER_CLEAN!I224</f>
        <v>5</v>
      </c>
      <c r="J224" s="5" t="str">
        <f aca="false">IF(H224&lt;F224,"YES","")</f>
        <v>YES</v>
      </c>
      <c r="K224" s="5" t="str">
        <f aca="false">IF(I224&lt;G224,"YES","")</f>
        <v/>
      </c>
      <c r="L224" s="5" t="n">
        <f aca="false">IF(J224="YES",MAX(CEILING(F224-H224,E224),0),0)</f>
        <v>12</v>
      </c>
      <c r="M224" s="5" t="n">
        <f aca="false">IF(K224="YES",MAX(CEILING(G224-I224,E224),0),0)</f>
        <v>0</v>
      </c>
      <c r="N224" s="12" t="n">
        <f aca="false">L224*D224</f>
        <v>109.44</v>
      </c>
      <c r="O224" s="12" t="n">
        <f aca="false">M224*D224</f>
        <v>0</v>
      </c>
      <c r="P224" s="12" t="n">
        <f aca="false">P223+N224+O224</f>
        <v>45980.83</v>
      </c>
      <c r="Q224" s="5" t="str">
        <f aca="false">IF(P224&lt;=CashCap,"YES","OVER CAP")</f>
        <v>OVER CAP</v>
      </c>
      <c r="R224" s="5" t="str">
        <f aca="false">IF(LowCashMode="OFF","Normal Mode",IF(AND(OR(J224="YES",K224="YES"),Q224="YES"),"BUY NOW",IF(OR(J224="YES",K224="YES"),"DEFERRED","—")))</f>
        <v>Normal Mode</v>
      </c>
    </row>
    <row r="225" customFormat="false" ht="15" hidden="false" customHeight="false" outlineLevel="0" collapsed="false">
      <c r="A225" s="5" t="n">
        <f aca="false">ITEM_MASTER_CLEAN!A225</f>
        <v>224</v>
      </c>
      <c r="B225" s="5" t="n">
        <f aca="false">ITEM_MASTER_CLEAN!B225</f>
        <v>66712</v>
      </c>
      <c r="C225" s="5" t="str">
        <f aca="false">ITEM_MASTER_CLEAN!C225</f>
        <v>SANITIZER STERA SHEEN 010425 1UN</v>
      </c>
      <c r="D225" s="12" t="n">
        <f aca="false">ITEM_MASTER_CLEAN!F225</f>
        <v>18.63</v>
      </c>
      <c r="E225" s="5" t="n">
        <f aca="false">ITEM_MASTER_CLEAN!G225</f>
        <v>1</v>
      </c>
      <c r="F225" s="5" t="n">
        <f aca="false">DEMAND_MODEL!K225*SafetyDays</f>
        <v>1.28571428571429</v>
      </c>
      <c r="G225" s="5" t="n">
        <f aca="false">DEMAND_MODEL!L225*SafetyDays</f>
        <v>0.428571428571429</v>
      </c>
      <c r="H225" s="5" t="n">
        <f aca="false">ITEM_MASTER_CLEAN!H225</f>
        <v>1</v>
      </c>
      <c r="I225" s="5" t="n">
        <f aca="false">ITEM_MASTER_CLEAN!I225</f>
        <v>1</v>
      </c>
      <c r="J225" s="5" t="str">
        <f aca="false">IF(H225&lt;F225,"YES","")</f>
        <v>YES</v>
      </c>
      <c r="K225" s="5" t="str">
        <f aca="false">IF(I225&lt;G225,"YES","")</f>
        <v/>
      </c>
      <c r="L225" s="5" t="n">
        <f aca="false">IF(J225="YES",MAX(CEILING(F225-H225,E225),0),0)</f>
        <v>1</v>
      </c>
      <c r="M225" s="5" t="n">
        <f aca="false">IF(K225="YES",MAX(CEILING(G225-I225,E225),0),0)</f>
        <v>0</v>
      </c>
      <c r="N225" s="12" t="n">
        <f aca="false">L225*D225</f>
        <v>18.63</v>
      </c>
      <c r="O225" s="12" t="n">
        <f aca="false">M225*D225</f>
        <v>0</v>
      </c>
      <c r="P225" s="12" t="n">
        <f aca="false">P224+N225+O225</f>
        <v>45999.46</v>
      </c>
      <c r="Q225" s="5" t="str">
        <f aca="false">IF(P225&lt;=CashCap,"YES","OVER CAP")</f>
        <v>OVER CAP</v>
      </c>
      <c r="R225" s="5" t="str">
        <f aca="false">IF(LowCashMode="OFF","Normal Mode",IF(AND(OR(J225="YES",K225="YES"),Q225="YES"),"BUY NOW",IF(OR(J225="YES",K225="YES"),"DEFERRED","—")))</f>
        <v>Normal Mode</v>
      </c>
    </row>
    <row r="226" customFormat="false" ht="15" hidden="false" customHeight="false" outlineLevel="0" collapsed="false">
      <c r="A226" s="5" t="n">
        <f aca="false">ITEM_MASTER_CLEAN!A226</f>
        <v>225</v>
      </c>
      <c r="B226" s="5" t="n">
        <f aca="false">ITEM_MASTER_CLEAN!B226</f>
        <v>66713</v>
      </c>
      <c r="C226" s="5" t="str">
        <f aca="false">ITEM_MASTER_CLEAN!C226</f>
        <v>LUBRICANT 047518 X1UN</v>
      </c>
      <c r="D226" s="12" t="n">
        <f aca="false">ITEM_MASTER_CLEAN!F226</f>
        <v>12.28</v>
      </c>
      <c r="E226" s="5" t="n">
        <f aca="false">ITEM_MASTER_CLEAN!G226</f>
        <v>1</v>
      </c>
      <c r="F226" s="5" t="n">
        <f aca="false">DEMAND_MODEL!K226*SafetyDays</f>
        <v>0.428571428571429</v>
      </c>
      <c r="G226" s="5" t="n">
        <f aca="false">DEMAND_MODEL!L226*SafetyDays</f>
        <v>1.28571428571429</v>
      </c>
      <c r="H226" s="5" t="n">
        <f aca="false">ITEM_MASTER_CLEAN!H226</f>
        <v>0</v>
      </c>
      <c r="I226" s="5" t="n">
        <f aca="false">ITEM_MASTER_CLEAN!I226</f>
        <v>0</v>
      </c>
      <c r="J226" s="5" t="str">
        <f aca="false">IF(H226&lt;F226,"YES","")</f>
        <v>YES</v>
      </c>
      <c r="K226" s="5" t="str">
        <f aca="false">IF(I226&lt;G226,"YES","")</f>
        <v>YES</v>
      </c>
      <c r="L226" s="5" t="n">
        <f aca="false">IF(J226="YES",MAX(CEILING(F226-H226,E226),0),0)</f>
        <v>1</v>
      </c>
      <c r="M226" s="5" t="n">
        <f aca="false">IF(K226="YES",MAX(CEILING(G226-I226,E226),0),0)</f>
        <v>2</v>
      </c>
      <c r="N226" s="12" t="n">
        <f aca="false">L226*D226</f>
        <v>12.28</v>
      </c>
      <c r="O226" s="12" t="n">
        <f aca="false">M226*D226</f>
        <v>24.56</v>
      </c>
      <c r="P226" s="12" t="n">
        <f aca="false">P225+N226+O226</f>
        <v>46036.3</v>
      </c>
      <c r="Q226" s="5" t="str">
        <f aca="false">IF(P226&lt;=CashCap,"YES","OVER CAP")</f>
        <v>OVER CAP</v>
      </c>
      <c r="R226" s="5" t="str">
        <f aca="false">IF(LowCashMode="OFF","Normal Mode",IF(AND(OR(J226="YES",K226="YES"),Q226="YES"),"BUY NOW",IF(OR(J226="YES",K226="YES"),"DEFERRED","—")))</f>
        <v>Normal Mode</v>
      </c>
    </row>
    <row r="227" customFormat="false" ht="15" hidden="false" customHeight="false" outlineLevel="0" collapsed="false">
      <c r="A227" s="5" t="n">
        <f aca="false">ITEM_MASTER_CLEAN!A227</f>
        <v>226</v>
      </c>
      <c r="B227" s="5" t="n">
        <f aca="false">ITEM_MASTER_CLEAN!B227</f>
        <v>49215</v>
      </c>
      <c r="C227" s="5" t="str">
        <f aca="false">ITEM_MASTER_CLEAN!C227</f>
        <v>TOWEL ROLL 8"X205' WHITE  24RL</v>
      </c>
      <c r="D227" s="12" t="n">
        <f aca="false">ITEM_MASTER_CLEAN!F227</f>
        <v>18.84</v>
      </c>
      <c r="E227" s="5" t="n">
        <f aca="false">ITEM_MASTER_CLEAN!G227</f>
        <v>1</v>
      </c>
      <c r="F227" s="5" t="n">
        <f aca="false">DEMAND_MODEL!K227*SafetyDays</f>
        <v>1.28571428571429</v>
      </c>
      <c r="G227" s="5" t="n">
        <f aca="false">DEMAND_MODEL!L227*SafetyDays</f>
        <v>0.428571428571429</v>
      </c>
      <c r="H227" s="5" t="n">
        <f aca="false">ITEM_MASTER_CLEAN!H227</f>
        <v>1</v>
      </c>
      <c r="I227" s="5" t="n">
        <f aca="false">ITEM_MASTER_CLEAN!I227</f>
        <v>1</v>
      </c>
      <c r="J227" s="5" t="str">
        <f aca="false">IF(H227&lt;F227,"YES","")</f>
        <v>YES</v>
      </c>
      <c r="K227" s="5" t="str">
        <f aca="false">IF(I227&lt;G227,"YES","")</f>
        <v/>
      </c>
      <c r="L227" s="5" t="n">
        <f aca="false">IF(J227="YES",MAX(CEILING(F227-H227,E227),0),0)</f>
        <v>1</v>
      </c>
      <c r="M227" s="5" t="n">
        <f aca="false">IF(K227="YES",MAX(CEILING(G227-I227,E227),0),0)</f>
        <v>0</v>
      </c>
      <c r="N227" s="12" t="n">
        <f aca="false">L227*D227</f>
        <v>18.84</v>
      </c>
      <c r="O227" s="12" t="n">
        <f aca="false">M227*D227</f>
        <v>0</v>
      </c>
      <c r="P227" s="12" t="n">
        <f aca="false">P226+N227+O227</f>
        <v>46055.14</v>
      </c>
      <c r="Q227" s="5" t="str">
        <f aca="false">IF(P227&lt;=CashCap,"YES","OVER CAP")</f>
        <v>OVER CAP</v>
      </c>
      <c r="R227" s="5" t="str">
        <f aca="false">IF(LowCashMode="OFF","Normal Mode",IF(AND(OR(J227="YES",K227="YES"),Q227="YES"),"BUY NOW",IF(OR(J227="YES",K227="YES"),"DEFERRED","—")))</f>
        <v>Normal Mode</v>
      </c>
    </row>
    <row r="228" customFormat="false" ht="15" hidden="false" customHeight="false" outlineLevel="0" collapsed="false">
      <c r="A228" s="5" t="n">
        <f aca="false">ITEM_MASTER_CLEAN!A228</f>
        <v>227</v>
      </c>
      <c r="B228" s="5" t="n">
        <f aca="false">ITEM_MASTER_CLEAN!B228</f>
        <v>62330</v>
      </c>
      <c r="C228" s="5" t="str">
        <f aca="false">ITEM_MASTER_CLEAN!C228</f>
        <v>TOWEL ROLL WHITE 2 PLY 24X1RL</v>
      </c>
      <c r="D228" s="12" t="n">
        <f aca="false">ITEM_MASTER_CLEAN!F228</f>
        <v>23.89</v>
      </c>
      <c r="E228" s="5" t="n">
        <f aca="false">ITEM_MASTER_CLEAN!G228</f>
        <v>24</v>
      </c>
      <c r="F228" s="5" t="n">
        <f aca="false">DEMAND_MODEL!K228*SafetyDays</f>
        <v>0.428571428571429</v>
      </c>
      <c r="G228" s="5" t="n">
        <f aca="false">DEMAND_MODEL!L228*SafetyDays</f>
        <v>0.428571428571429</v>
      </c>
      <c r="H228" s="5" t="n">
        <f aca="false">ITEM_MASTER_CLEAN!H228</f>
        <v>1</v>
      </c>
      <c r="I228" s="5" t="n">
        <f aca="false">ITEM_MASTER_CLEAN!I228</f>
        <v>1</v>
      </c>
      <c r="J228" s="5" t="str">
        <f aca="false">IF(H228&lt;F228,"YES","")</f>
        <v/>
      </c>
      <c r="K228" s="5" t="str">
        <f aca="false">IF(I228&lt;G228,"YES","")</f>
        <v/>
      </c>
      <c r="L228" s="5" t="n">
        <f aca="false">IF(J228="YES",MAX(CEILING(F228-H228,E228),0),0)</f>
        <v>0</v>
      </c>
      <c r="M228" s="5" t="n">
        <f aca="false">IF(K228="YES",MAX(CEILING(G228-I228,E228),0),0)</f>
        <v>0</v>
      </c>
      <c r="N228" s="12" t="n">
        <f aca="false">L228*D228</f>
        <v>0</v>
      </c>
      <c r="O228" s="12" t="n">
        <f aca="false">M228*D228</f>
        <v>0</v>
      </c>
      <c r="P228" s="12" t="n">
        <f aca="false">P227+N228+O228</f>
        <v>46055.14</v>
      </c>
      <c r="Q228" s="5" t="str">
        <f aca="false">IF(P228&lt;=CashCap,"YES","OVER CAP")</f>
        <v>OVER CAP</v>
      </c>
      <c r="R228" s="5" t="str">
        <f aca="false">IF(LowCashMode="OFF","Normal Mode",IF(AND(OR(J228="YES",K228="YES"),Q228="YES"),"BUY NOW",IF(OR(J228="YES",K228="YES"),"DEFERRED","—")))</f>
        <v>Normal Mode</v>
      </c>
    </row>
    <row r="229" customFormat="false" ht="15" hidden="false" customHeight="false" outlineLevel="0" collapsed="false">
      <c r="A229" s="5" t="n">
        <f aca="false">ITEM_MASTER_CLEAN!A229</f>
        <v>228</v>
      </c>
      <c r="B229" s="5" t="n">
        <f aca="false">ITEM_MASTER_CLEAN!B229</f>
        <v>63324</v>
      </c>
      <c r="C229" s="5" t="str">
        <f aca="false">ITEM_MASTER_CLEAN!C229</f>
        <v>NET FOR BEARD BROWN POLYESTER 100</v>
      </c>
      <c r="D229" s="12" t="n">
        <f aca="false">ITEM_MASTER_CLEAN!F229</f>
        <v>7.27</v>
      </c>
      <c r="E229" s="5" t="n">
        <f aca="false">ITEM_MASTER_CLEAN!G229</f>
        <v>1</v>
      </c>
      <c r="F229" s="5" t="n">
        <f aca="false">DEMAND_MODEL!K229*SafetyDays</f>
        <v>0.428571428571429</v>
      </c>
      <c r="G229" s="5" t="n">
        <f aca="false">DEMAND_MODEL!L229*SafetyDays</f>
        <v>1.28571428571429</v>
      </c>
      <c r="H229" s="5" t="n">
        <f aca="false">ITEM_MASTER_CLEAN!H229</f>
        <v>1</v>
      </c>
      <c r="I229" s="5" t="n">
        <f aca="false">ITEM_MASTER_CLEAN!I229</f>
        <v>1</v>
      </c>
      <c r="J229" s="5" t="str">
        <f aca="false">IF(H229&lt;F229,"YES","")</f>
        <v/>
      </c>
      <c r="K229" s="5" t="str">
        <f aca="false">IF(I229&lt;G229,"YES","")</f>
        <v>YES</v>
      </c>
      <c r="L229" s="5" t="n">
        <f aca="false">IF(J229="YES",MAX(CEILING(F229-H229,E229),0),0)</f>
        <v>0</v>
      </c>
      <c r="M229" s="5" t="n">
        <f aca="false">IF(K229="YES",MAX(CEILING(G229-I229,E229),0),0)</f>
        <v>1</v>
      </c>
      <c r="N229" s="12" t="n">
        <f aca="false">L229*D229</f>
        <v>0</v>
      </c>
      <c r="O229" s="12" t="n">
        <f aca="false">M229*D229</f>
        <v>7.27</v>
      </c>
      <c r="P229" s="12" t="n">
        <f aca="false">P228+N229+O229</f>
        <v>46062.41</v>
      </c>
      <c r="Q229" s="5" t="str">
        <f aca="false">IF(P229&lt;=CashCap,"YES","OVER CAP")</f>
        <v>OVER CAP</v>
      </c>
      <c r="R229" s="5" t="str">
        <f aca="false">IF(LowCashMode="OFF","Normal Mode",IF(AND(OR(J229="YES",K229="YES"),Q229="YES"),"BUY NOW",IF(OR(J229="YES",K229="YES"),"DEFERRED","—")))</f>
        <v>Normal Mode</v>
      </c>
    </row>
    <row r="230" customFormat="false" ht="15" hidden="false" customHeight="false" outlineLevel="0" collapsed="false">
      <c r="A230" s="5" t="n">
        <f aca="false">ITEM_MASTER_CLEAN!A230</f>
        <v>229</v>
      </c>
      <c r="B230" s="5" t="n">
        <f aca="false">ITEM_MASTER_CLEAN!B230</f>
        <v>63341</v>
      </c>
      <c r="C230" s="5" t="str">
        <f aca="false">ITEM_MASTER_CLEAN!C230</f>
        <v>HAIRNET INVISIBLE 89-420 1X144UN</v>
      </c>
      <c r="D230" s="12" t="n">
        <f aca="false">ITEM_MASTER_CLEAN!F230</f>
        <v>4.11</v>
      </c>
      <c r="E230" s="5" t="n">
        <f aca="false">ITEM_MASTER_CLEAN!G230</f>
        <v>1</v>
      </c>
      <c r="F230" s="5" t="n">
        <f aca="false">DEMAND_MODEL!K230*SafetyDays</f>
        <v>0.428571428571429</v>
      </c>
      <c r="G230" s="5" t="n">
        <f aca="false">DEMAND_MODEL!L230*SafetyDays</f>
        <v>0.428571428571429</v>
      </c>
      <c r="H230" s="5" t="n">
        <f aca="false">ITEM_MASTER_CLEAN!H230</f>
        <v>4</v>
      </c>
      <c r="I230" s="5" t="n">
        <f aca="false">ITEM_MASTER_CLEAN!I230</f>
        <v>4</v>
      </c>
      <c r="J230" s="5" t="str">
        <f aca="false">IF(H230&lt;F230,"YES","")</f>
        <v/>
      </c>
      <c r="K230" s="5" t="str">
        <f aca="false">IF(I230&lt;G230,"YES","")</f>
        <v/>
      </c>
      <c r="L230" s="5" t="n">
        <f aca="false">IF(J230="YES",MAX(CEILING(F230-H230,E230),0),0)</f>
        <v>0</v>
      </c>
      <c r="M230" s="5" t="n">
        <f aca="false">IF(K230="YES",MAX(CEILING(G230-I230,E230),0),0)</f>
        <v>0</v>
      </c>
      <c r="N230" s="12" t="n">
        <f aca="false">L230*D230</f>
        <v>0</v>
      </c>
      <c r="O230" s="12" t="n">
        <f aca="false">M230*D230</f>
        <v>0</v>
      </c>
      <c r="P230" s="12" t="n">
        <f aca="false">P229+N230+O230</f>
        <v>46062.41</v>
      </c>
      <c r="Q230" s="5" t="str">
        <f aca="false">IF(P230&lt;=CashCap,"YES","OVER CAP")</f>
        <v>OVER CAP</v>
      </c>
      <c r="R230" s="5" t="str">
        <f aca="false">IF(LowCashMode="OFF","Normal Mode",IF(AND(OR(J230="YES",K230="YES"),Q230="YES"),"BUY NOW",IF(OR(J230="YES",K230="YES"),"DEFERRED","—")))</f>
        <v>Normal Mode</v>
      </c>
    </row>
    <row r="231" customFormat="false" ht="15" hidden="false" customHeight="false" outlineLevel="0" collapsed="false">
      <c r="A231" s="5" t="n">
        <f aca="false">ITEM_MASTER_CLEAN!A231</f>
        <v>230</v>
      </c>
      <c r="B231" s="5" t="n">
        <f aca="false">ITEM_MASTER_CLEAN!B231</f>
        <v>62749</v>
      </c>
      <c r="C231" s="5" t="str">
        <f aca="false">ITEM_MASTER_CLEAN!C231</f>
        <v>MASK DISP BLUE MEDICAL DISTECH 50UN</v>
      </c>
      <c r="D231" s="12" t="n">
        <f aca="false">ITEM_MASTER_CLEAN!F231</f>
        <v>6.38</v>
      </c>
      <c r="E231" s="5" t="n">
        <f aca="false">ITEM_MASTER_CLEAN!G231</f>
        <v>50</v>
      </c>
      <c r="F231" s="5" t="n">
        <f aca="false">DEMAND_MODEL!K231*SafetyDays</f>
        <v>0.857142857142857</v>
      </c>
      <c r="G231" s="5" t="n">
        <f aca="false">DEMAND_MODEL!L231*SafetyDays</f>
        <v>1.28571428571429</v>
      </c>
      <c r="H231" s="5" t="n">
        <f aca="false">ITEM_MASTER_CLEAN!H231</f>
        <v>3</v>
      </c>
      <c r="I231" s="5" t="n">
        <f aca="false">ITEM_MASTER_CLEAN!I231</f>
        <v>1</v>
      </c>
      <c r="J231" s="5" t="str">
        <f aca="false">IF(H231&lt;F231,"YES","")</f>
        <v/>
      </c>
      <c r="K231" s="5" t="str">
        <f aca="false">IF(I231&lt;G231,"YES","")</f>
        <v>YES</v>
      </c>
      <c r="L231" s="5" t="n">
        <f aca="false">IF(J231="YES",MAX(CEILING(F231-H231,E231),0),0)</f>
        <v>0</v>
      </c>
      <c r="M231" s="5" t="n">
        <f aca="false">IF(K231="YES",MAX(CEILING(G231-I231,E231),0),0)</f>
        <v>50</v>
      </c>
      <c r="N231" s="12" t="n">
        <f aca="false">L231*D231</f>
        <v>0</v>
      </c>
      <c r="O231" s="12" t="n">
        <f aca="false">M231*D231</f>
        <v>319</v>
      </c>
      <c r="P231" s="12" t="n">
        <f aca="false">P230+N231+O231</f>
        <v>46381.41</v>
      </c>
      <c r="Q231" s="5" t="str">
        <f aca="false">IF(P231&lt;=CashCap,"YES","OVER CAP")</f>
        <v>OVER CAP</v>
      </c>
      <c r="R231" s="5" t="str">
        <f aca="false">IF(LowCashMode="OFF","Normal Mode",IF(AND(OR(J231="YES",K231="YES"),Q231="YES"),"BUY NOW",IF(OR(J231="YES",K231="YES"),"DEFERRED","—")))</f>
        <v>Normal Mode</v>
      </c>
    </row>
    <row r="232" customFormat="false" ht="15" hidden="false" customHeight="false" outlineLevel="0" collapsed="false">
      <c r="A232" s="5" t="n">
        <f aca="false">ITEM_MASTER_CLEAN!A232</f>
        <v>231</v>
      </c>
      <c r="B232" s="5" t="n">
        <f aca="false">ITEM_MASTER_CLEAN!B232</f>
        <v>62819</v>
      </c>
      <c r="C232" s="5" t="str">
        <f aca="false">ITEM_MASTER_CLEAN!C232</f>
        <v>GLOVES TPE CLR PDR FREE SM 100UN</v>
      </c>
      <c r="D232" s="12" t="n">
        <f aca="false">ITEM_MASTER_CLEAN!F232</f>
        <v>6.54</v>
      </c>
      <c r="E232" s="5" t="n">
        <f aca="false">ITEM_MASTER_CLEAN!G232</f>
        <v>1</v>
      </c>
      <c r="F232" s="5" t="n">
        <f aca="false">DEMAND_MODEL!K232*SafetyDays</f>
        <v>0.857142857142857</v>
      </c>
      <c r="G232" s="5" t="n">
        <f aca="false">DEMAND_MODEL!L232*SafetyDays</f>
        <v>1.28571428571429</v>
      </c>
      <c r="H232" s="5" t="n">
        <f aca="false">ITEM_MASTER_CLEAN!H232</f>
        <v>0</v>
      </c>
      <c r="I232" s="5" t="n">
        <f aca="false">ITEM_MASTER_CLEAN!I232</f>
        <v>0</v>
      </c>
      <c r="J232" s="5" t="str">
        <f aca="false">IF(H232&lt;F232,"YES","")</f>
        <v>YES</v>
      </c>
      <c r="K232" s="5" t="str">
        <f aca="false">IF(I232&lt;G232,"YES","")</f>
        <v>YES</v>
      </c>
      <c r="L232" s="5" t="n">
        <f aca="false">IF(J232="YES",MAX(CEILING(F232-H232,E232),0),0)</f>
        <v>1</v>
      </c>
      <c r="M232" s="5" t="n">
        <f aca="false">IF(K232="YES",MAX(CEILING(G232-I232,E232),0),0)</f>
        <v>2</v>
      </c>
      <c r="N232" s="12" t="n">
        <f aca="false">L232*D232</f>
        <v>6.54</v>
      </c>
      <c r="O232" s="12" t="n">
        <f aca="false">M232*D232</f>
        <v>13.08</v>
      </c>
      <c r="P232" s="12" t="n">
        <f aca="false">P231+N232+O232</f>
        <v>46401.03</v>
      </c>
      <c r="Q232" s="5" t="str">
        <f aca="false">IF(P232&lt;=CashCap,"YES","OVER CAP")</f>
        <v>OVER CAP</v>
      </c>
      <c r="R232" s="5" t="str">
        <f aca="false">IF(LowCashMode="OFF","Normal Mode",IF(AND(OR(J232="YES",K232="YES"),Q232="YES"),"BUY NOW",IF(OR(J232="YES",K232="YES"),"DEFERRED","—")))</f>
        <v>Normal Mode</v>
      </c>
    </row>
    <row r="233" customFormat="false" ht="15" hidden="false" customHeight="false" outlineLevel="0" collapsed="false">
      <c r="A233" s="5" t="n">
        <f aca="false">ITEM_MASTER_CLEAN!A233</f>
        <v>232</v>
      </c>
      <c r="B233" s="5" t="n">
        <f aca="false">ITEM_MASTER_CLEAN!B233</f>
        <v>62844</v>
      </c>
      <c r="C233" s="5" t="str">
        <f aca="false">ITEM_MASTER_CLEAN!C233</f>
        <v>GLOVE TPE CLR PDF FREE MED 100UN</v>
      </c>
      <c r="D233" s="12" t="n">
        <f aca="false">ITEM_MASTER_CLEAN!F233</f>
        <v>12.21</v>
      </c>
      <c r="E233" s="5" t="n">
        <f aca="false">ITEM_MASTER_CLEAN!G233</f>
        <v>1</v>
      </c>
      <c r="F233" s="5" t="n">
        <f aca="false">DEMAND_MODEL!K233*SafetyDays</f>
        <v>1.28571428571429</v>
      </c>
      <c r="G233" s="5" t="n">
        <f aca="false">DEMAND_MODEL!L233*SafetyDays</f>
        <v>0.857142857142857</v>
      </c>
      <c r="H233" s="5" t="n">
        <f aca="false">ITEM_MASTER_CLEAN!H233</f>
        <v>1</v>
      </c>
      <c r="I233" s="5" t="n">
        <f aca="false">ITEM_MASTER_CLEAN!I233</f>
        <v>3</v>
      </c>
      <c r="J233" s="5" t="str">
        <f aca="false">IF(H233&lt;F233,"YES","")</f>
        <v>YES</v>
      </c>
      <c r="K233" s="5" t="str">
        <f aca="false">IF(I233&lt;G233,"YES","")</f>
        <v/>
      </c>
      <c r="L233" s="5" t="n">
        <f aca="false">IF(J233="YES",MAX(CEILING(F233-H233,E233),0),0)</f>
        <v>1</v>
      </c>
      <c r="M233" s="5" t="n">
        <f aca="false">IF(K233="YES",MAX(CEILING(G233-I233,E233),0),0)</f>
        <v>0</v>
      </c>
      <c r="N233" s="12" t="n">
        <f aca="false">L233*D233</f>
        <v>12.21</v>
      </c>
      <c r="O233" s="12" t="n">
        <f aca="false">M233*D233</f>
        <v>0</v>
      </c>
      <c r="P233" s="12" t="n">
        <f aca="false">P232+N233+O233</f>
        <v>46413.24</v>
      </c>
      <c r="Q233" s="5" t="str">
        <f aca="false">IF(P233&lt;=CashCap,"YES","OVER CAP")</f>
        <v>OVER CAP</v>
      </c>
      <c r="R233" s="5" t="str">
        <f aca="false">IF(LowCashMode="OFF","Normal Mode",IF(AND(OR(J233="YES",K233="YES"),Q233="YES"),"BUY NOW",IF(OR(J233="YES",K233="YES"),"DEFERRED","—")))</f>
        <v>Normal Mode</v>
      </c>
    </row>
    <row r="234" customFormat="false" ht="15" hidden="false" customHeight="false" outlineLevel="0" collapsed="false">
      <c r="A234" s="5" t="n">
        <f aca="false">ITEM_MASTER_CLEAN!A234</f>
        <v>233</v>
      </c>
      <c r="B234" s="5" t="n">
        <f aca="false">ITEM_MASTER_CLEAN!B234</f>
        <v>62816</v>
      </c>
      <c r="C234" s="5" t="str">
        <f aca="false">ITEM_MASTER_CLEAN!C234</f>
        <v>GLOVES TPE CLR PDR FREE LG 100</v>
      </c>
      <c r="D234" s="12" t="n">
        <f aca="false">ITEM_MASTER_CLEAN!F234</f>
        <v>12.55</v>
      </c>
      <c r="E234" s="5" t="n">
        <f aca="false">ITEM_MASTER_CLEAN!G234</f>
        <v>1</v>
      </c>
      <c r="F234" s="5" t="n">
        <f aca="false">DEMAND_MODEL!K234*SafetyDays</f>
        <v>1.28571428571429</v>
      </c>
      <c r="G234" s="5" t="n">
        <f aca="false">DEMAND_MODEL!L234*SafetyDays</f>
        <v>0.428571428571429</v>
      </c>
      <c r="H234" s="5" t="n">
        <f aca="false">ITEM_MASTER_CLEAN!H234</f>
        <v>1</v>
      </c>
      <c r="I234" s="5" t="n">
        <f aca="false">ITEM_MASTER_CLEAN!I234</f>
        <v>1</v>
      </c>
      <c r="J234" s="5" t="str">
        <f aca="false">IF(H234&lt;F234,"YES","")</f>
        <v>YES</v>
      </c>
      <c r="K234" s="5" t="str">
        <f aca="false">IF(I234&lt;G234,"YES","")</f>
        <v/>
      </c>
      <c r="L234" s="5" t="n">
        <f aca="false">IF(J234="YES",MAX(CEILING(F234-H234,E234),0),0)</f>
        <v>1</v>
      </c>
      <c r="M234" s="5" t="n">
        <f aca="false">IF(K234="YES",MAX(CEILING(G234-I234,E234),0),0)</f>
        <v>0</v>
      </c>
      <c r="N234" s="12" t="n">
        <f aca="false">L234*D234</f>
        <v>12.55</v>
      </c>
      <c r="O234" s="12" t="n">
        <f aca="false">M234*D234</f>
        <v>0</v>
      </c>
      <c r="P234" s="12" t="n">
        <f aca="false">P233+N234+O234</f>
        <v>46425.79</v>
      </c>
      <c r="Q234" s="5" t="str">
        <f aca="false">IF(P234&lt;=CashCap,"YES","OVER CAP")</f>
        <v>OVER CAP</v>
      </c>
      <c r="R234" s="5" t="str">
        <f aca="false">IF(LowCashMode="OFF","Normal Mode",IF(AND(OR(J234="YES",K234="YES"),Q234="YES"),"BUY NOW",IF(OR(J234="YES",K234="YES"),"DEFERRED","—")))</f>
        <v>Normal Mode</v>
      </c>
    </row>
    <row r="235" customFormat="false" ht="15" hidden="false" customHeight="false" outlineLevel="0" collapsed="false">
      <c r="A235" s="5" t="n">
        <f aca="false">ITEM_MASTER_CLEAN!A235</f>
        <v>234</v>
      </c>
      <c r="B235" s="5" t="n">
        <f aca="false">ITEM_MASTER_CLEAN!B235</f>
        <v>62815</v>
      </c>
      <c r="C235" s="5" t="str">
        <f aca="false">ITEM_MASTER_CLEAN!C235</f>
        <v>GLOVES TPE CLR PDR FREE XL 100</v>
      </c>
      <c r="D235" s="12" t="n">
        <f aca="false">ITEM_MASTER_CLEAN!F235</f>
        <v>10.73</v>
      </c>
      <c r="E235" s="5" t="n">
        <f aca="false">ITEM_MASTER_CLEAN!G235</f>
        <v>1</v>
      </c>
      <c r="F235" s="5" t="n">
        <f aca="false">DEMAND_MODEL!K235*SafetyDays</f>
        <v>0.857142857142857</v>
      </c>
      <c r="G235" s="5" t="n">
        <f aca="false">DEMAND_MODEL!L235*SafetyDays</f>
        <v>1.28571428571429</v>
      </c>
      <c r="H235" s="5" t="n">
        <f aca="false">ITEM_MASTER_CLEAN!H235</f>
        <v>7</v>
      </c>
      <c r="I235" s="5" t="n">
        <f aca="false">ITEM_MASTER_CLEAN!I235</f>
        <v>0</v>
      </c>
      <c r="J235" s="5" t="str">
        <f aca="false">IF(H235&lt;F235,"YES","")</f>
        <v/>
      </c>
      <c r="K235" s="5" t="str">
        <f aca="false">IF(I235&lt;G235,"YES","")</f>
        <v>YES</v>
      </c>
      <c r="L235" s="5" t="n">
        <f aca="false">IF(J235="YES",MAX(CEILING(F235-H235,E235),0),0)</f>
        <v>0</v>
      </c>
      <c r="M235" s="5" t="n">
        <f aca="false">IF(K235="YES",MAX(CEILING(G235-I235,E235),0),0)</f>
        <v>2</v>
      </c>
      <c r="N235" s="12" t="n">
        <f aca="false">L235*D235</f>
        <v>0</v>
      </c>
      <c r="O235" s="12" t="n">
        <f aca="false">M235*D235</f>
        <v>21.46</v>
      </c>
      <c r="P235" s="12" t="n">
        <f aca="false">P234+N235+O235</f>
        <v>46447.25</v>
      </c>
      <c r="Q235" s="5" t="str">
        <f aca="false">IF(P235&lt;=CashCap,"YES","OVER CAP")</f>
        <v>OVER CAP</v>
      </c>
      <c r="R235" s="5" t="str">
        <f aca="false">IF(LowCashMode="OFF","Normal Mode",IF(AND(OR(J235="YES",K235="YES"),Q235="YES"),"BUY NOW",IF(OR(J235="YES",K235="YES"),"DEFERRED","—")))</f>
        <v>Normal Mode</v>
      </c>
    </row>
    <row r="236" customFormat="false" ht="15" hidden="false" customHeight="false" outlineLevel="0" collapsed="false">
      <c r="A236" s="5" t="n">
        <f aca="false">ITEM_MASTER_CLEAN!A236</f>
        <v>235</v>
      </c>
      <c r="B236" s="5" t="n">
        <f aca="false">ITEM_MASTER_CLEAN!B236</f>
        <v>38234</v>
      </c>
      <c r="C236" s="5" t="str">
        <f aca="false">ITEM_MASTER_CLEAN!C236</f>
        <v>GLOVES POLY DISP SM 9945B 500</v>
      </c>
      <c r="D236" s="12" t="n">
        <f aca="false">ITEM_MASTER_CLEAN!F236</f>
        <v>12.29</v>
      </c>
      <c r="E236" s="5" t="n">
        <f aca="false">ITEM_MASTER_CLEAN!G236</f>
        <v>1</v>
      </c>
      <c r="F236" s="5" t="n">
        <f aca="false">DEMAND_MODEL!K236*SafetyDays</f>
        <v>0.428571428571429</v>
      </c>
      <c r="G236" s="5" t="n">
        <f aca="false">DEMAND_MODEL!L236*SafetyDays</f>
        <v>0.857142857142857</v>
      </c>
      <c r="H236" s="5" t="n">
        <f aca="false">ITEM_MASTER_CLEAN!H236</f>
        <v>0</v>
      </c>
      <c r="I236" s="5" t="n">
        <f aca="false">ITEM_MASTER_CLEAN!I236</f>
        <v>0</v>
      </c>
      <c r="J236" s="5" t="str">
        <f aca="false">IF(H236&lt;F236,"YES","")</f>
        <v>YES</v>
      </c>
      <c r="K236" s="5" t="str">
        <f aca="false">IF(I236&lt;G236,"YES","")</f>
        <v>YES</v>
      </c>
      <c r="L236" s="5" t="n">
        <f aca="false">IF(J236="YES",MAX(CEILING(F236-H236,E236),0),0)</f>
        <v>1</v>
      </c>
      <c r="M236" s="5" t="n">
        <f aca="false">IF(K236="YES",MAX(CEILING(G236-I236,E236),0),0)</f>
        <v>1</v>
      </c>
      <c r="N236" s="12" t="n">
        <f aca="false">L236*D236</f>
        <v>12.29</v>
      </c>
      <c r="O236" s="12" t="n">
        <f aca="false">M236*D236</f>
        <v>12.29</v>
      </c>
      <c r="P236" s="12" t="n">
        <f aca="false">P235+N236+O236</f>
        <v>46471.83</v>
      </c>
      <c r="Q236" s="5" t="str">
        <f aca="false">IF(P236&lt;=CashCap,"YES","OVER CAP")</f>
        <v>OVER CAP</v>
      </c>
      <c r="R236" s="5" t="str">
        <f aca="false">IF(LowCashMode="OFF","Normal Mode",IF(AND(OR(J236="YES",K236="YES"),Q236="YES"),"BUY NOW",IF(OR(J236="YES",K236="YES"),"DEFERRED","—")))</f>
        <v>Normal Mode</v>
      </c>
    </row>
    <row r="237" customFormat="false" ht="15" hidden="false" customHeight="false" outlineLevel="0" collapsed="false">
      <c r="A237" s="5" t="n">
        <f aca="false">ITEM_MASTER_CLEAN!A237</f>
        <v>236</v>
      </c>
      <c r="B237" s="5" t="n">
        <f aca="false">ITEM_MASTER_CLEAN!B237</f>
        <v>34246</v>
      </c>
      <c r="C237" s="5" t="str">
        <f aca="false">ITEM_MASTER_CLEAN!C237</f>
        <v>GLOVES POLY DISP MED 9945C 1X500</v>
      </c>
      <c r="D237" s="12" t="n">
        <f aca="false">ITEM_MASTER_CLEAN!F237</f>
        <v>8.41</v>
      </c>
      <c r="E237" s="5" t="n">
        <f aca="false">ITEM_MASTER_CLEAN!G237</f>
        <v>1</v>
      </c>
      <c r="F237" s="5" t="n">
        <f aca="false">DEMAND_MODEL!K237*SafetyDays</f>
        <v>0.857142857142857</v>
      </c>
      <c r="G237" s="5" t="n">
        <f aca="false">DEMAND_MODEL!L237*SafetyDays</f>
        <v>1.28571428571429</v>
      </c>
      <c r="H237" s="5" t="n">
        <f aca="false">ITEM_MASTER_CLEAN!H237</f>
        <v>3</v>
      </c>
      <c r="I237" s="5" t="n">
        <f aca="false">ITEM_MASTER_CLEAN!I237</f>
        <v>1</v>
      </c>
      <c r="J237" s="5" t="str">
        <f aca="false">IF(H237&lt;F237,"YES","")</f>
        <v/>
      </c>
      <c r="K237" s="5" t="str">
        <f aca="false">IF(I237&lt;G237,"YES","")</f>
        <v>YES</v>
      </c>
      <c r="L237" s="5" t="n">
        <f aca="false">IF(J237="YES",MAX(CEILING(F237-H237,E237),0),0)</f>
        <v>0</v>
      </c>
      <c r="M237" s="5" t="n">
        <f aca="false">IF(K237="YES",MAX(CEILING(G237-I237,E237),0),0)</f>
        <v>1</v>
      </c>
      <c r="N237" s="12" t="n">
        <f aca="false">L237*D237</f>
        <v>0</v>
      </c>
      <c r="O237" s="12" t="n">
        <f aca="false">M237*D237</f>
        <v>8.41</v>
      </c>
      <c r="P237" s="12" t="n">
        <f aca="false">P236+N237+O237</f>
        <v>46480.24</v>
      </c>
      <c r="Q237" s="5" t="str">
        <f aca="false">IF(P237&lt;=CashCap,"YES","OVER CAP")</f>
        <v>OVER CAP</v>
      </c>
      <c r="R237" s="5" t="str">
        <f aca="false">IF(LowCashMode="OFF","Normal Mode",IF(AND(OR(J237="YES",K237="YES"),Q237="YES"),"BUY NOW",IF(OR(J237="YES",K237="YES"),"DEFERRED","—")))</f>
        <v>Normal Mode</v>
      </c>
    </row>
    <row r="238" customFormat="false" ht="15" hidden="false" customHeight="false" outlineLevel="0" collapsed="false">
      <c r="A238" s="5" t="n">
        <f aca="false">ITEM_MASTER_CLEAN!A238</f>
        <v>237</v>
      </c>
      <c r="B238" s="5" t="n">
        <f aca="false">ITEM_MASTER_CLEAN!B238</f>
        <v>62734</v>
      </c>
      <c r="C238" s="5" t="str">
        <f aca="false">ITEM_MASTER_CLEAN!C238</f>
        <v>GLOVES POLY DISP LRG 9945D 500</v>
      </c>
      <c r="D238" s="12" t="n">
        <f aca="false">ITEM_MASTER_CLEAN!F238</f>
        <v>7.94</v>
      </c>
      <c r="E238" s="5" t="n">
        <f aca="false">ITEM_MASTER_CLEAN!G238</f>
        <v>1</v>
      </c>
      <c r="F238" s="5" t="n">
        <f aca="false">DEMAND_MODEL!K238*SafetyDays</f>
        <v>1.28571428571429</v>
      </c>
      <c r="G238" s="5" t="n">
        <f aca="false">DEMAND_MODEL!L238*SafetyDays</f>
        <v>0.428571428571429</v>
      </c>
      <c r="H238" s="5" t="n">
        <f aca="false">ITEM_MASTER_CLEAN!H238</f>
        <v>0</v>
      </c>
      <c r="I238" s="5" t="n">
        <f aca="false">ITEM_MASTER_CLEAN!I238</f>
        <v>0</v>
      </c>
      <c r="J238" s="5" t="str">
        <f aca="false">IF(H238&lt;F238,"YES","")</f>
        <v>YES</v>
      </c>
      <c r="K238" s="5" t="str">
        <f aca="false">IF(I238&lt;G238,"YES","")</f>
        <v>YES</v>
      </c>
      <c r="L238" s="5" t="n">
        <f aca="false">IF(J238="YES",MAX(CEILING(F238-H238,E238),0),0)</f>
        <v>2</v>
      </c>
      <c r="M238" s="5" t="n">
        <f aca="false">IF(K238="YES",MAX(CEILING(G238-I238,E238),0),0)</f>
        <v>1</v>
      </c>
      <c r="N238" s="12" t="n">
        <f aca="false">L238*D238</f>
        <v>15.88</v>
      </c>
      <c r="O238" s="12" t="n">
        <f aca="false">M238*D238</f>
        <v>7.94</v>
      </c>
      <c r="P238" s="12" t="n">
        <f aca="false">P237+N238+O238</f>
        <v>46504.06</v>
      </c>
      <c r="Q238" s="5" t="str">
        <f aca="false">IF(P238&lt;=CashCap,"YES","OVER CAP")</f>
        <v>OVER CAP</v>
      </c>
      <c r="R238" s="5" t="str">
        <f aca="false">IF(LowCashMode="OFF","Normal Mode",IF(AND(OR(J238="YES",K238="YES"),Q238="YES"),"BUY NOW",IF(OR(J238="YES",K238="YES"),"DEFERRED","—")))</f>
        <v>Normal Mode</v>
      </c>
    </row>
    <row r="239" customFormat="false" ht="15" hidden="false" customHeight="false" outlineLevel="0" collapsed="false">
      <c r="A239" s="5" t="n">
        <f aca="false">ITEM_MASTER_CLEAN!A239</f>
        <v>238</v>
      </c>
      <c r="B239" s="5" t="n">
        <f aca="false">ITEM_MASTER_CLEAN!B239</f>
        <v>64410</v>
      </c>
      <c r="C239" s="5" t="str">
        <f aca="false">ITEM_MASTER_CLEAN!C239</f>
        <v>CLOTH JCHIX BLUE 12X24" 6279 1X100</v>
      </c>
      <c r="D239" s="12" t="n">
        <f aca="false">ITEM_MASTER_CLEAN!F239</f>
        <v>13.39</v>
      </c>
      <c r="E239" s="5" t="n">
        <f aca="false">ITEM_MASTER_CLEAN!G239</f>
        <v>1</v>
      </c>
      <c r="F239" s="5" t="n">
        <f aca="false">DEMAND_MODEL!K239*SafetyDays</f>
        <v>0.857142857142857</v>
      </c>
      <c r="G239" s="5" t="n">
        <f aca="false">DEMAND_MODEL!L239*SafetyDays</f>
        <v>1.28571428571429</v>
      </c>
      <c r="H239" s="5" t="n">
        <f aca="false">ITEM_MASTER_CLEAN!H239</f>
        <v>2</v>
      </c>
      <c r="I239" s="5" t="n">
        <f aca="false">ITEM_MASTER_CLEAN!I239</f>
        <v>1</v>
      </c>
      <c r="J239" s="5" t="str">
        <f aca="false">IF(H239&lt;F239,"YES","")</f>
        <v/>
      </c>
      <c r="K239" s="5" t="str">
        <f aca="false">IF(I239&lt;G239,"YES","")</f>
        <v>YES</v>
      </c>
      <c r="L239" s="5" t="n">
        <f aca="false">IF(J239="YES",MAX(CEILING(F239-H239,E239),0),0)</f>
        <v>0</v>
      </c>
      <c r="M239" s="5" t="n">
        <f aca="false">IF(K239="YES",MAX(CEILING(G239-I239,E239),0),0)</f>
        <v>1</v>
      </c>
      <c r="N239" s="12" t="n">
        <f aca="false">L239*D239</f>
        <v>0</v>
      </c>
      <c r="O239" s="12" t="n">
        <f aca="false">M239*D239</f>
        <v>13.39</v>
      </c>
      <c r="P239" s="12" t="n">
        <f aca="false">P238+N239+O239</f>
        <v>46517.45</v>
      </c>
      <c r="Q239" s="5" t="str">
        <f aca="false">IF(P239&lt;=CashCap,"YES","OVER CAP")</f>
        <v>OVER CAP</v>
      </c>
      <c r="R239" s="5" t="str">
        <f aca="false">IF(LowCashMode="OFF","Normal Mode",IF(AND(OR(J239="YES",K239="YES"),Q239="YES"),"BUY NOW",IF(OR(J239="YES",K239="YES"),"DEFERRED","—")))</f>
        <v>Normal Mode</v>
      </c>
    </row>
    <row r="240" customFormat="false" ht="15" hidden="false" customHeight="false" outlineLevel="0" collapsed="false">
      <c r="A240" s="5" t="n">
        <f aca="false">ITEM_MASTER_CLEAN!A240</f>
        <v>239</v>
      </c>
      <c r="B240" s="5" t="n">
        <f aca="false">ITEM_MASTER_CLEAN!B240</f>
        <v>26781</v>
      </c>
      <c r="C240" s="5" t="str">
        <f aca="false">ITEM_MASTER_CLEAN!C240</f>
        <v>MOP HEAD 650G 1</v>
      </c>
      <c r="D240" s="12" t="n">
        <f aca="false">ITEM_MASTER_CLEAN!F240</f>
        <v>11.22</v>
      </c>
      <c r="E240" s="5" t="n">
        <f aca="false">ITEM_MASTER_CLEAN!G240</f>
        <v>1</v>
      </c>
      <c r="F240" s="5" t="n">
        <f aca="false">DEMAND_MODEL!K240*SafetyDays</f>
        <v>0.428571428571429</v>
      </c>
      <c r="G240" s="5" t="n">
        <f aca="false">DEMAND_MODEL!L240*SafetyDays</f>
        <v>0.428571428571429</v>
      </c>
      <c r="H240" s="5" t="n">
        <f aca="false">ITEM_MASTER_CLEAN!H240</f>
        <v>0</v>
      </c>
      <c r="I240" s="5" t="n">
        <f aca="false">ITEM_MASTER_CLEAN!I240</f>
        <v>3</v>
      </c>
      <c r="J240" s="5" t="str">
        <f aca="false">IF(H240&lt;F240,"YES","")</f>
        <v>YES</v>
      </c>
      <c r="K240" s="5" t="str">
        <f aca="false">IF(I240&lt;G240,"YES","")</f>
        <v/>
      </c>
      <c r="L240" s="5" t="n">
        <f aca="false">IF(J240="YES",MAX(CEILING(F240-H240,E240),0),0)</f>
        <v>1</v>
      </c>
      <c r="M240" s="5" t="n">
        <f aca="false">IF(K240="YES",MAX(CEILING(G240-I240,E240),0),0)</f>
        <v>0</v>
      </c>
      <c r="N240" s="12" t="n">
        <f aca="false">L240*D240</f>
        <v>11.22</v>
      </c>
      <c r="O240" s="12" t="n">
        <f aca="false">M240*D240</f>
        <v>0</v>
      </c>
      <c r="P240" s="12" t="n">
        <f aca="false">P239+N240+O240</f>
        <v>46528.67</v>
      </c>
      <c r="Q240" s="5" t="str">
        <f aca="false">IF(P240&lt;=CashCap,"YES","OVER CAP")</f>
        <v>OVER CAP</v>
      </c>
      <c r="R240" s="5" t="str">
        <f aca="false">IF(LowCashMode="OFF","Normal Mode",IF(AND(OR(J240="YES",K240="YES"),Q240="YES"),"BUY NOW",IF(OR(J240="YES",K240="YES"),"DEFERRED","—")))</f>
        <v>Normal Mode</v>
      </c>
    </row>
    <row r="241" customFormat="false" ht="15" hidden="false" customHeight="false" outlineLevel="0" collapsed="false">
      <c r="A241" s="5" t="n">
        <f aca="false">ITEM_MASTER_CLEAN!A241</f>
        <v>240</v>
      </c>
      <c r="B241" s="5" t="n">
        <f aca="false">ITEM_MASTER_CLEAN!B241</f>
        <v>49219</v>
      </c>
      <c r="C241" s="5" t="str">
        <f aca="false">ITEM_MASTER_CLEAN!C241</f>
        <v>TOILET PAP 2PL METRO 48X500S</v>
      </c>
      <c r="D241" s="12" t="n">
        <f aca="false">ITEM_MASTER_CLEAN!F241</f>
        <v>36.46</v>
      </c>
      <c r="E241" s="5" t="n">
        <f aca="false">ITEM_MASTER_CLEAN!G241</f>
        <v>48</v>
      </c>
      <c r="F241" s="5" t="n">
        <f aca="false">DEMAND_MODEL!K241*SafetyDays</f>
        <v>1.28571428571429</v>
      </c>
      <c r="G241" s="5" t="n">
        <f aca="false">DEMAND_MODEL!L241*SafetyDays</f>
        <v>0.428571428571429</v>
      </c>
      <c r="H241" s="5" t="n">
        <f aca="false">ITEM_MASTER_CLEAN!H241</f>
        <v>1</v>
      </c>
      <c r="I241" s="5" t="n">
        <f aca="false">ITEM_MASTER_CLEAN!I241</f>
        <v>1</v>
      </c>
      <c r="J241" s="5" t="str">
        <f aca="false">IF(H241&lt;F241,"YES","")</f>
        <v>YES</v>
      </c>
      <c r="K241" s="5" t="str">
        <f aca="false">IF(I241&lt;G241,"YES","")</f>
        <v/>
      </c>
      <c r="L241" s="5" t="n">
        <f aca="false">IF(J241="YES",MAX(CEILING(F241-H241,E241),0),0)</f>
        <v>48</v>
      </c>
      <c r="M241" s="5" t="n">
        <f aca="false">IF(K241="YES",MAX(CEILING(G241-I241,E241),0),0)</f>
        <v>0</v>
      </c>
      <c r="N241" s="12" t="n">
        <f aca="false">L241*D241</f>
        <v>1750.08</v>
      </c>
      <c r="O241" s="12" t="n">
        <f aca="false">M241*D241</f>
        <v>0</v>
      </c>
      <c r="P241" s="12" t="n">
        <f aca="false">P240+N241+O241</f>
        <v>48278.75</v>
      </c>
      <c r="Q241" s="5" t="str">
        <f aca="false">IF(P241&lt;=CashCap,"YES","OVER CAP")</f>
        <v>OVER CAP</v>
      </c>
      <c r="R241" s="5" t="str">
        <f aca="false">IF(LowCashMode="OFF","Normal Mode",IF(AND(OR(J241="YES",K241="YES"),Q241="YES"),"BUY NOW",IF(OR(J241="YES",K241="YES"),"DEFERRED","—")))</f>
        <v>Normal Mode</v>
      </c>
    </row>
    <row r="242" customFormat="false" ht="15" hidden="false" customHeight="false" outlineLevel="0" collapsed="false">
      <c r="A242" s="5" t="n">
        <f aca="false">ITEM_MASTER_CLEAN!A242</f>
        <v>241</v>
      </c>
      <c r="B242" s="5" t="n">
        <f aca="false">ITEM_MASTER_CLEAN!B242</f>
        <v>28376</v>
      </c>
      <c r="C242" s="5" t="str">
        <f aca="false">ITEM_MASTER_CLEAN!C242</f>
        <v>BAGS GARBAGE 35X50 X-STG BLK 100</v>
      </c>
      <c r="D242" s="12" t="n">
        <f aca="false">ITEM_MASTER_CLEAN!F242</f>
        <v>10.62</v>
      </c>
      <c r="E242" s="5" t="n">
        <f aca="false">ITEM_MASTER_CLEAN!G242</f>
        <v>1</v>
      </c>
      <c r="F242" s="5" t="n">
        <f aca="false">DEMAND_MODEL!K242*SafetyDays</f>
        <v>0.857142857142857</v>
      </c>
      <c r="G242" s="5" t="n">
        <f aca="false">DEMAND_MODEL!L242*SafetyDays</f>
        <v>0.428571428571429</v>
      </c>
      <c r="H242" s="5" t="n">
        <f aca="false">ITEM_MASTER_CLEAN!H242</f>
        <v>1</v>
      </c>
      <c r="I242" s="5" t="n">
        <f aca="false">ITEM_MASTER_CLEAN!I242</f>
        <v>0</v>
      </c>
      <c r="J242" s="5" t="str">
        <f aca="false">IF(H242&lt;F242,"YES","")</f>
        <v/>
      </c>
      <c r="K242" s="5" t="str">
        <f aca="false">IF(I242&lt;G242,"YES","")</f>
        <v>YES</v>
      </c>
      <c r="L242" s="5" t="n">
        <f aca="false">IF(J242="YES",MAX(CEILING(F242-H242,E242),0),0)</f>
        <v>0</v>
      </c>
      <c r="M242" s="5" t="n">
        <f aca="false">IF(K242="YES",MAX(CEILING(G242-I242,E242),0),0)</f>
        <v>1</v>
      </c>
      <c r="N242" s="12" t="n">
        <f aca="false">L242*D242</f>
        <v>0</v>
      </c>
      <c r="O242" s="12" t="n">
        <f aca="false">M242*D242</f>
        <v>10.62</v>
      </c>
      <c r="P242" s="12" t="n">
        <f aca="false">P241+N242+O242</f>
        <v>48289.37</v>
      </c>
      <c r="Q242" s="5" t="str">
        <f aca="false">IF(P242&lt;=CashCap,"YES","OVER CAP")</f>
        <v>OVER CAP</v>
      </c>
      <c r="R242" s="5" t="str">
        <f aca="false">IF(LowCashMode="OFF","Normal Mode",IF(AND(OR(J242="YES",K242="YES"),Q242="YES"),"BUY NOW",IF(OR(J242="YES",K242="YES"),"DEFERRED","—")))</f>
        <v>Normal Mode</v>
      </c>
    </row>
    <row r="243" customFormat="false" ht="15" hidden="false" customHeight="false" outlineLevel="0" collapsed="false">
      <c r="A243" s="5" t="n">
        <f aca="false">ITEM_MASTER_CLEAN!A243</f>
        <v>242</v>
      </c>
      <c r="B243" s="5" t="n">
        <f aca="false">ITEM_MASTER_CLEAN!B243</f>
        <v>28671</v>
      </c>
      <c r="C243" s="5" t="str">
        <f aca="false">ITEM_MASTER_CLEAN!C243</f>
        <v>PAD SCOUR #97 GRN 6"X9"   X10UN</v>
      </c>
      <c r="D243" s="12" t="n">
        <f aca="false">ITEM_MASTER_CLEAN!F243</f>
        <v>10.5</v>
      </c>
      <c r="E243" s="5" t="n">
        <f aca="false">ITEM_MASTER_CLEAN!G243</f>
        <v>1</v>
      </c>
      <c r="F243" s="5" t="n">
        <f aca="false">DEMAND_MODEL!K243*SafetyDays</f>
        <v>1.28571428571429</v>
      </c>
      <c r="G243" s="5" t="n">
        <f aca="false">DEMAND_MODEL!L243*SafetyDays</f>
        <v>0.857142857142857</v>
      </c>
      <c r="H243" s="5" t="n">
        <f aca="false">ITEM_MASTER_CLEAN!H243</f>
        <v>1</v>
      </c>
      <c r="I243" s="5" t="n">
        <f aca="false">ITEM_MASTER_CLEAN!I243</f>
        <v>2</v>
      </c>
      <c r="J243" s="5" t="str">
        <f aca="false">IF(H243&lt;F243,"YES","")</f>
        <v>YES</v>
      </c>
      <c r="K243" s="5" t="str">
        <f aca="false">IF(I243&lt;G243,"YES","")</f>
        <v/>
      </c>
      <c r="L243" s="5" t="n">
        <f aca="false">IF(J243="YES",MAX(CEILING(F243-H243,E243),0),0)</f>
        <v>1</v>
      </c>
      <c r="M243" s="5" t="n">
        <f aca="false">IF(K243="YES",MAX(CEILING(G243-I243,E243),0),0)</f>
        <v>0</v>
      </c>
      <c r="N243" s="12" t="n">
        <f aca="false">L243*D243</f>
        <v>10.5</v>
      </c>
      <c r="O243" s="12" t="n">
        <f aca="false">M243*D243</f>
        <v>0</v>
      </c>
      <c r="P243" s="12" t="n">
        <f aca="false">P242+N243+O243</f>
        <v>48299.87</v>
      </c>
      <c r="Q243" s="5" t="str">
        <f aca="false">IF(P243&lt;=CashCap,"YES","OVER CAP")</f>
        <v>OVER CAP</v>
      </c>
      <c r="R243" s="5" t="str">
        <f aca="false">IF(LowCashMode="OFF","Normal Mode",IF(AND(OR(J243="YES",K243="YES"),Q243="YES"),"BUY NOW",IF(OR(J243="YES",K243="YES"),"DEFERRED","—")))</f>
        <v>Normal Mode</v>
      </c>
    </row>
    <row r="244" customFormat="false" ht="15" hidden="false" customHeight="false" outlineLevel="0" collapsed="false">
      <c r="A244" s="5" t="n">
        <f aca="false">ITEM_MASTER_CLEAN!A244</f>
        <v>243</v>
      </c>
      <c r="B244" s="5" t="n">
        <f aca="false">ITEM_MASTER_CLEAN!B244</f>
        <v>27499</v>
      </c>
      <c r="C244" s="5" t="str">
        <f aca="false">ITEM_MASTER_CLEAN!C244</f>
        <v>MTY SOAP HAND FM ALLPUR 6X1.3L</v>
      </c>
      <c r="D244" s="12" t="n">
        <f aca="false">ITEM_MASTER_CLEAN!F244</f>
        <v>40.44</v>
      </c>
      <c r="E244" s="5" t="n">
        <f aca="false">ITEM_MASTER_CLEAN!G244</f>
        <v>6</v>
      </c>
      <c r="F244" s="5" t="n">
        <f aca="false">DEMAND_MODEL!K244*SafetyDays</f>
        <v>0.428571428571429</v>
      </c>
      <c r="G244" s="5" t="n">
        <f aca="false">DEMAND_MODEL!L244*SafetyDays</f>
        <v>1.28571428571429</v>
      </c>
      <c r="H244" s="5" t="n">
        <f aca="false">ITEM_MASTER_CLEAN!H244</f>
        <v>1</v>
      </c>
      <c r="I244" s="5" t="n">
        <f aca="false">ITEM_MASTER_CLEAN!I244</f>
        <v>1</v>
      </c>
      <c r="J244" s="5" t="str">
        <f aca="false">IF(H244&lt;F244,"YES","")</f>
        <v/>
      </c>
      <c r="K244" s="5" t="str">
        <f aca="false">IF(I244&lt;G244,"YES","")</f>
        <v>YES</v>
      </c>
      <c r="L244" s="5" t="n">
        <f aca="false">IF(J244="YES",MAX(CEILING(F244-H244,E244),0),0)</f>
        <v>0</v>
      </c>
      <c r="M244" s="5" t="n">
        <f aca="false">IF(K244="YES",MAX(CEILING(G244-I244,E244),0),0)</f>
        <v>6</v>
      </c>
      <c r="N244" s="12" t="n">
        <f aca="false">L244*D244</f>
        <v>0</v>
      </c>
      <c r="O244" s="12" t="n">
        <f aca="false">M244*D244</f>
        <v>242.64</v>
      </c>
      <c r="P244" s="12" t="n">
        <f aca="false">P243+N244+O244</f>
        <v>48542.51</v>
      </c>
      <c r="Q244" s="5" t="str">
        <f aca="false">IF(P244&lt;=CashCap,"YES","OVER CAP")</f>
        <v>OVER CAP</v>
      </c>
      <c r="R244" s="5" t="str">
        <f aca="false">IF(LowCashMode="OFF","Normal Mode",IF(AND(OR(J244="YES",K244="YES"),Q244="YES"),"BUY NOW",IF(OR(J244="YES",K244="YES"),"DEFERRED","—")))</f>
        <v>Normal Mode</v>
      </c>
    </row>
    <row r="245" customFormat="false" ht="15" hidden="false" customHeight="false" outlineLevel="0" collapsed="false">
      <c r="A245" s="5" t="n">
        <f aca="false">ITEM_MASTER_CLEAN!A245</f>
        <v>244</v>
      </c>
      <c r="B245" s="5" t="n">
        <f aca="false">ITEM_MASTER_CLEAN!B245</f>
        <v>28528</v>
      </c>
      <c r="C245" s="5" t="str">
        <f aca="false">ITEM_MASTER_CLEAN!C245</f>
        <v>9 MTY CLNR GLASS LITE TCH RTU12X946</v>
      </c>
      <c r="D245" s="12" t="n">
        <f aca="false">ITEM_MASTER_CLEAN!F245</f>
        <v>52.06</v>
      </c>
      <c r="E245" s="5" t="n">
        <f aca="false">ITEM_MASTER_CLEAN!G245</f>
        <v>12</v>
      </c>
      <c r="F245" s="5" t="n">
        <f aca="false">DEMAND_MODEL!K245*SafetyDays</f>
        <v>0.428571428571429</v>
      </c>
      <c r="G245" s="5" t="n">
        <f aca="false">DEMAND_MODEL!L245*SafetyDays</f>
        <v>0.428571428571429</v>
      </c>
      <c r="H245" s="5" t="n">
        <f aca="false">ITEM_MASTER_CLEAN!H245</f>
        <v>1</v>
      </c>
      <c r="I245" s="5" t="n">
        <f aca="false">ITEM_MASTER_CLEAN!I245</f>
        <v>1</v>
      </c>
      <c r="J245" s="5" t="str">
        <f aca="false">IF(H245&lt;F245,"YES","")</f>
        <v/>
      </c>
      <c r="K245" s="5" t="str">
        <f aca="false">IF(I245&lt;G245,"YES","")</f>
        <v/>
      </c>
      <c r="L245" s="5" t="n">
        <f aca="false">IF(J245="YES",MAX(CEILING(F245-H245,E245),0),0)</f>
        <v>0</v>
      </c>
      <c r="M245" s="5" t="n">
        <f aca="false">IF(K245="YES",MAX(CEILING(G245-I245,E245),0),0)</f>
        <v>0</v>
      </c>
      <c r="N245" s="12" t="n">
        <f aca="false">L245*D245</f>
        <v>0</v>
      </c>
      <c r="O245" s="12" t="n">
        <f aca="false">M245*D245</f>
        <v>0</v>
      </c>
      <c r="P245" s="12" t="n">
        <f aca="false">P244+N245+O245</f>
        <v>48542.51</v>
      </c>
      <c r="Q245" s="5" t="str">
        <f aca="false">IF(P245&lt;=CashCap,"YES","OVER CAP")</f>
        <v>OVER CAP</v>
      </c>
      <c r="R245" s="5" t="str">
        <f aca="false">IF(LowCashMode="OFF","Normal Mode",IF(AND(OR(J245="YES",K245="YES"),Q245="YES"),"BUY NOW",IF(OR(J245="YES",K245="YES"),"DEFERRED","—")))</f>
        <v>Normal Mode</v>
      </c>
    </row>
    <row r="246" customFormat="false" ht="15" hidden="false" customHeight="false" outlineLevel="0" collapsed="false">
      <c r="A246" s="5" t="n">
        <f aca="false">ITEM_MASTER_CLEAN!A246</f>
        <v>245</v>
      </c>
      <c r="B246" s="5" t="n">
        <f aca="false">ITEM_MASTER_CLEAN!B246</f>
        <v>27497</v>
      </c>
      <c r="C246" s="5" t="str">
        <f aca="false">ITEM_MASTER_CLEAN!C246</f>
        <v>MTY DEGREASR ORANG STUFF  2X3.78L</v>
      </c>
      <c r="D246" s="12" t="n">
        <f aca="false">ITEM_MASTER_CLEAN!F246</f>
        <v>21.31</v>
      </c>
      <c r="E246" s="5" t="n">
        <f aca="false">ITEM_MASTER_CLEAN!G246</f>
        <v>2</v>
      </c>
      <c r="F246" s="5" t="n">
        <f aca="false">DEMAND_MODEL!K246*SafetyDays</f>
        <v>1.28571428571429</v>
      </c>
      <c r="G246" s="5" t="n">
        <f aca="false">DEMAND_MODEL!L246*SafetyDays</f>
        <v>0.428571428571429</v>
      </c>
      <c r="H246" s="5" t="n">
        <f aca="false">ITEM_MASTER_CLEAN!H246</f>
        <v>1</v>
      </c>
      <c r="I246" s="5" t="n">
        <f aca="false">ITEM_MASTER_CLEAN!I246</f>
        <v>1</v>
      </c>
      <c r="J246" s="5" t="str">
        <f aca="false">IF(H246&lt;F246,"YES","")</f>
        <v>YES</v>
      </c>
      <c r="K246" s="5" t="str">
        <f aca="false">IF(I246&lt;G246,"YES","")</f>
        <v/>
      </c>
      <c r="L246" s="5" t="n">
        <f aca="false">IF(J246="YES",MAX(CEILING(F246-H246,E246),0),0)</f>
        <v>2</v>
      </c>
      <c r="M246" s="5" t="n">
        <f aca="false">IF(K246="YES",MAX(CEILING(G246-I246,E246),0),0)</f>
        <v>0</v>
      </c>
      <c r="N246" s="12" t="n">
        <f aca="false">L246*D246</f>
        <v>42.62</v>
      </c>
      <c r="O246" s="12" t="n">
        <f aca="false">M246*D246</f>
        <v>0</v>
      </c>
      <c r="P246" s="12" t="n">
        <f aca="false">P245+N246+O246</f>
        <v>48585.13</v>
      </c>
      <c r="Q246" s="5" t="str">
        <f aca="false">IF(P246&lt;=CashCap,"YES","OVER CAP")</f>
        <v>OVER CAP</v>
      </c>
      <c r="R246" s="5" t="str">
        <f aca="false">IF(LowCashMode="OFF","Normal Mode",IF(AND(OR(J246="YES",K246="YES"),Q246="YES"),"BUY NOW",IF(OR(J246="YES",K246="YES"),"DEFERRED","—")))</f>
        <v>Normal Mode</v>
      </c>
    </row>
    <row r="247" customFormat="false" ht="15" hidden="false" customHeight="false" outlineLevel="0" collapsed="false">
      <c r="A247" s="5" t="n">
        <f aca="false">ITEM_MASTER_CLEAN!A247</f>
        <v>246</v>
      </c>
      <c r="B247" s="5" t="n">
        <f aca="false">ITEM_MASTER_CLEAN!B247</f>
        <v>27496</v>
      </c>
      <c r="C247" s="5" t="str">
        <f aca="false">ITEM_MASTER_CLEAN!C247</f>
        <v>MTY SANITI SANI-STUFF CONC 2X3.78L</v>
      </c>
      <c r="D247" s="12" t="n">
        <f aca="false">ITEM_MASTER_CLEAN!F247</f>
        <v>46.63</v>
      </c>
      <c r="E247" s="5" t="n">
        <f aca="false">ITEM_MASTER_CLEAN!G247</f>
        <v>2</v>
      </c>
      <c r="F247" s="5" t="n">
        <f aca="false">DEMAND_MODEL!K247*SafetyDays</f>
        <v>1.28571428571429</v>
      </c>
      <c r="G247" s="5" t="n">
        <f aca="false">DEMAND_MODEL!L247*SafetyDays</f>
        <v>1.28571428571429</v>
      </c>
      <c r="H247" s="5" t="n">
        <f aca="false">ITEM_MASTER_CLEAN!H247</f>
        <v>1</v>
      </c>
      <c r="I247" s="5" t="n">
        <f aca="false">ITEM_MASTER_CLEAN!I247</f>
        <v>0</v>
      </c>
      <c r="J247" s="5" t="str">
        <f aca="false">IF(H247&lt;F247,"YES","")</f>
        <v>YES</v>
      </c>
      <c r="K247" s="5" t="str">
        <f aca="false">IF(I247&lt;G247,"YES","")</f>
        <v>YES</v>
      </c>
      <c r="L247" s="5" t="n">
        <f aca="false">IF(J247="YES",MAX(CEILING(F247-H247,E247),0),0)</f>
        <v>2</v>
      </c>
      <c r="M247" s="5" t="n">
        <f aca="false">IF(K247="YES",MAX(CEILING(G247-I247,E247),0),0)</f>
        <v>2</v>
      </c>
      <c r="N247" s="12" t="n">
        <f aca="false">L247*D247</f>
        <v>93.26</v>
      </c>
      <c r="O247" s="12" t="n">
        <f aca="false">M247*D247</f>
        <v>93.26</v>
      </c>
      <c r="P247" s="12" t="n">
        <f aca="false">P246+N247+O247</f>
        <v>48771.65</v>
      </c>
      <c r="Q247" s="5" t="str">
        <f aca="false">IF(P247&lt;=CashCap,"YES","OVER CAP")</f>
        <v>OVER CAP</v>
      </c>
      <c r="R247" s="5" t="str">
        <f aca="false">IF(LowCashMode="OFF","Normal Mode",IF(AND(OR(J247="YES",K247="YES"),Q247="YES"),"BUY NOW",IF(OR(J247="YES",K247="YES"),"DEFERRED","—")))</f>
        <v>Normal Mode</v>
      </c>
    </row>
    <row r="248" customFormat="false" ht="15" hidden="false" customHeight="false" outlineLevel="0" collapsed="false">
      <c r="A248" s="5" t="n">
        <f aca="false">ITEM_MASTER_CLEAN!A248</f>
        <v>247</v>
      </c>
      <c r="B248" s="5" t="n">
        <f aca="false">ITEM_MASTER_CLEAN!B248</f>
        <v>27498</v>
      </c>
      <c r="C248" s="5" t="str">
        <f aca="false">ITEM_MASTER_CLEAN!C248</f>
        <v>MTY DET YELLOW STUFF POT/PAN 2X3.78</v>
      </c>
      <c r="D248" s="12" t="n">
        <f aca="false">ITEM_MASTER_CLEAN!F248</f>
        <v>39.77</v>
      </c>
      <c r="E248" s="5" t="n">
        <f aca="false">ITEM_MASTER_CLEAN!G248</f>
        <v>2</v>
      </c>
      <c r="F248" s="5" t="n">
        <f aca="false">DEMAND_MODEL!K248*SafetyDays</f>
        <v>1.28571428571429</v>
      </c>
      <c r="G248" s="5" t="n">
        <f aca="false">DEMAND_MODEL!L248*SafetyDays</f>
        <v>1.28571428571429</v>
      </c>
      <c r="H248" s="5" t="n">
        <f aca="false">ITEM_MASTER_CLEAN!H248</f>
        <v>0</v>
      </c>
      <c r="I248" s="5" t="n">
        <f aca="false">ITEM_MASTER_CLEAN!I248</f>
        <v>0</v>
      </c>
      <c r="J248" s="5" t="str">
        <f aca="false">IF(H248&lt;F248,"YES","")</f>
        <v>YES</v>
      </c>
      <c r="K248" s="5" t="str">
        <f aca="false">IF(I248&lt;G248,"YES","")</f>
        <v>YES</v>
      </c>
      <c r="L248" s="5" t="n">
        <f aca="false">IF(J248="YES",MAX(CEILING(F248-H248,E248),0),0)</f>
        <v>2</v>
      </c>
      <c r="M248" s="5" t="n">
        <f aca="false">IF(K248="YES",MAX(CEILING(G248-I248,E248),0),0)</f>
        <v>2</v>
      </c>
      <c r="N248" s="12" t="n">
        <f aca="false">L248*D248</f>
        <v>79.54</v>
      </c>
      <c r="O248" s="12" t="n">
        <f aca="false">M248*D248</f>
        <v>79.54</v>
      </c>
      <c r="P248" s="12" t="n">
        <f aca="false">P247+N248+O248</f>
        <v>48930.73</v>
      </c>
      <c r="Q248" s="5" t="str">
        <f aca="false">IF(P248&lt;=CashCap,"YES","OVER CAP")</f>
        <v>OVER CAP</v>
      </c>
      <c r="R248" s="5" t="str">
        <f aca="false">IF(LowCashMode="OFF","Normal Mode",IF(AND(OR(J248="YES",K248="YES"),Q248="YES"),"BUY NOW",IF(OR(J248="YES",K248="YES"),"DEFERRED","—")))</f>
        <v>Normal Mode</v>
      </c>
    </row>
    <row r="249" customFormat="false" ht="23.85" hidden="false" customHeight="false" outlineLevel="0" collapsed="false">
      <c r="A249" s="5" t="n">
        <f aca="false">ITEM_MASTER_CLEAN!A249</f>
        <v>248</v>
      </c>
      <c r="B249" s="5" t="n">
        <f aca="false">ITEM_MASTER_CLEAN!B249</f>
        <v>28527</v>
      </c>
      <c r="C249" s="5" t="str">
        <f aca="false">ITEM_MASTER_CLEAN!C249</f>
        <v>9 MTY OVEN CLEANGEL HOTSTUF 6X946ML</v>
      </c>
      <c r="D249" s="12" t="n">
        <f aca="false">ITEM_MASTER_CLEAN!F249</f>
        <v>28.13</v>
      </c>
      <c r="E249" s="5" t="n">
        <f aca="false">ITEM_MASTER_CLEAN!G249</f>
        <v>6</v>
      </c>
      <c r="F249" s="5" t="n">
        <f aca="false">DEMAND_MODEL!K249*SafetyDays</f>
        <v>0.428571428571429</v>
      </c>
      <c r="G249" s="5" t="n">
        <f aca="false">DEMAND_MODEL!L249*SafetyDays</f>
        <v>1.28571428571429</v>
      </c>
      <c r="H249" s="5" t="n">
        <f aca="false">ITEM_MASTER_CLEAN!H249</f>
        <v>1</v>
      </c>
      <c r="I249" s="5" t="n">
        <f aca="false">ITEM_MASTER_CLEAN!I249</f>
        <v>1</v>
      </c>
      <c r="J249" s="5" t="str">
        <f aca="false">IF(H249&lt;F249,"YES","")</f>
        <v/>
      </c>
      <c r="K249" s="5" t="str">
        <f aca="false">IF(I249&lt;G249,"YES","")</f>
        <v>YES</v>
      </c>
      <c r="L249" s="5" t="n">
        <f aca="false">IF(J249="YES",MAX(CEILING(F249-H249,E249),0),0)</f>
        <v>0</v>
      </c>
      <c r="M249" s="5" t="n">
        <f aca="false">IF(K249="YES",MAX(CEILING(G249-I249,E249),0),0)</f>
        <v>6</v>
      </c>
      <c r="N249" s="12" t="n">
        <f aca="false">L249*D249</f>
        <v>0</v>
      </c>
      <c r="O249" s="12" t="n">
        <f aca="false">M249*D249</f>
        <v>168.78</v>
      </c>
      <c r="P249" s="12" t="n">
        <f aca="false">P248+N249+O249</f>
        <v>49099.51</v>
      </c>
      <c r="Q249" s="5" t="str">
        <f aca="false">IF(P249&lt;=CashCap,"YES","OVER CAP")</f>
        <v>OVER CAP</v>
      </c>
      <c r="R249" s="5" t="str">
        <f aca="false">IF(LowCashMode="OFF","Normal Mode",IF(AND(OR(J249="YES",K249="YES"),Q249="YES"),"BUY NOW",IF(OR(J249="YES",K249="YES"),"DEFERRED","—")))</f>
        <v>Normal Mode</v>
      </c>
    </row>
    <row r="250" customFormat="false" ht="15" hidden="false" customHeight="false" outlineLevel="0" collapsed="false">
      <c r="A250" s="5" t="n">
        <f aca="false">ITEM_MASTER_CLEAN!A250</f>
        <v>249</v>
      </c>
      <c r="B250" s="5" t="n">
        <f aca="false">ITEM_MASTER_CLEAN!B250</f>
        <v>28524</v>
      </c>
      <c r="C250" s="5" t="str">
        <f aca="false">ITEM_MASTER_CLEAN!C250</f>
        <v>9 MTY SANI-STUFF NO RINSE 6X946ML</v>
      </c>
      <c r="D250" s="12" t="n">
        <f aca="false">ITEM_MASTER_CLEAN!F250</f>
        <v>53.83</v>
      </c>
      <c r="E250" s="5" t="n">
        <f aca="false">ITEM_MASTER_CLEAN!G250</f>
        <v>6</v>
      </c>
      <c r="F250" s="5" t="n">
        <f aca="false">DEMAND_MODEL!K250*SafetyDays</f>
        <v>1.28571428571429</v>
      </c>
      <c r="G250" s="5" t="n">
        <f aca="false">DEMAND_MODEL!L250*SafetyDays</f>
        <v>0.428571428571429</v>
      </c>
      <c r="H250" s="5" t="n">
        <f aca="false">ITEM_MASTER_CLEAN!H250</f>
        <v>0</v>
      </c>
      <c r="I250" s="5" t="n">
        <f aca="false">ITEM_MASTER_CLEAN!I250</f>
        <v>0</v>
      </c>
      <c r="J250" s="5" t="str">
        <f aca="false">IF(H250&lt;F250,"YES","")</f>
        <v>YES</v>
      </c>
      <c r="K250" s="5" t="str">
        <f aca="false">IF(I250&lt;G250,"YES","")</f>
        <v>YES</v>
      </c>
      <c r="L250" s="5" t="n">
        <f aca="false">IF(J250="YES",MAX(CEILING(F250-H250,E250),0),0)</f>
        <v>6</v>
      </c>
      <c r="M250" s="5" t="n">
        <f aca="false">IF(K250="YES",MAX(CEILING(G250-I250,E250),0),0)</f>
        <v>6</v>
      </c>
      <c r="N250" s="12" t="n">
        <f aca="false">L250*D250</f>
        <v>322.98</v>
      </c>
      <c r="O250" s="12" t="n">
        <f aca="false">M250*D250</f>
        <v>322.98</v>
      </c>
      <c r="P250" s="12" t="n">
        <f aca="false">P249+N250+O250</f>
        <v>49745.47</v>
      </c>
      <c r="Q250" s="5" t="str">
        <f aca="false">IF(P250&lt;=CashCap,"YES","OVER CAP")</f>
        <v>OVER CAP</v>
      </c>
      <c r="R250" s="5" t="str">
        <f aca="false">IF(LowCashMode="OFF","Normal Mode",IF(AND(OR(J250="YES",K250="YES"),Q250="YES"),"BUY NOW",IF(OR(J250="YES",K250="YES"),"DEFERRED","—")))</f>
        <v>Normal Mode</v>
      </c>
    </row>
    <row r="251" customFormat="false" ht="15" hidden="false" customHeight="false" outlineLevel="0" collapsed="false">
      <c r="A251" s="5" t="n">
        <f aca="false">ITEM_MASTER_CLEAN!A251</f>
        <v>250</v>
      </c>
      <c r="B251" s="5" t="n">
        <f aca="false">ITEM_MASTER_CLEAN!B251</f>
        <v>28531</v>
      </c>
      <c r="C251" s="5" t="str">
        <f aca="false">ITEM_MASTER_CLEAN!C251</f>
        <v>9 MTY QUAT TEST PAP SANIT QT-10 X1</v>
      </c>
      <c r="D251" s="12" t="n">
        <f aca="false">ITEM_MASTER_CLEAN!F251</f>
        <v>16.15</v>
      </c>
      <c r="E251" s="5" t="n">
        <f aca="false">ITEM_MASTER_CLEAN!G251</f>
        <v>1</v>
      </c>
      <c r="F251" s="5" t="n">
        <f aca="false">DEMAND_MODEL!K251*SafetyDays</f>
        <v>0.428571428571429</v>
      </c>
      <c r="G251" s="5" t="n">
        <f aca="false">DEMAND_MODEL!L251*SafetyDays</f>
        <v>0.428571428571429</v>
      </c>
      <c r="H251" s="5" t="n">
        <f aca="false">ITEM_MASTER_CLEAN!H251</f>
        <v>1</v>
      </c>
      <c r="I251" s="5" t="n">
        <f aca="false">ITEM_MASTER_CLEAN!I251</f>
        <v>1</v>
      </c>
      <c r="J251" s="5" t="str">
        <f aca="false">IF(H251&lt;F251,"YES","")</f>
        <v/>
      </c>
      <c r="K251" s="5" t="str">
        <f aca="false">IF(I251&lt;G251,"YES","")</f>
        <v/>
      </c>
      <c r="L251" s="5" t="n">
        <f aca="false">IF(J251="YES",MAX(CEILING(F251-H251,E251),0),0)</f>
        <v>0</v>
      </c>
      <c r="M251" s="5" t="n">
        <f aca="false">IF(K251="YES",MAX(CEILING(G251-I251,E251),0),0)</f>
        <v>0</v>
      </c>
      <c r="N251" s="12" t="n">
        <f aca="false">L251*D251</f>
        <v>0</v>
      </c>
      <c r="O251" s="12" t="n">
        <f aca="false">M251*D251</f>
        <v>0</v>
      </c>
      <c r="P251" s="12" t="n">
        <f aca="false">P250+N251+O251</f>
        <v>49745.47</v>
      </c>
      <c r="Q251" s="5" t="str">
        <f aca="false">IF(P251&lt;=CashCap,"YES","OVER CAP")</f>
        <v>OVER CAP</v>
      </c>
      <c r="R251" s="5" t="str">
        <f aca="false">IF(LowCashMode="OFF","Normal Mode",IF(AND(OR(J251="YES",K251="YES"),Q251="YES"),"BUY NOW",IF(OR(J251="YES",K251="YES"),"DEFERRED","—")))</f>
        <v>Normal Mode</v>
      </c>
    </row>
    <row r="252" customFormat="false" ht="15" hidden="false" customHeight="false" outlineLevel="0" collapsed="false">
      <c r="A252" s="5" t="n">
        <f aca="false">ITEM_MASTER_CLEAN!A252</f>
        <v>251</v>
      </c>
      <c r="B252" s="5" t="n">
        <f aca="false">ITEM_MASTER_CLEAN!B252</f>
        <v>27495</v>
      </c>
      <c r="C252" s="5" t="str">
        <f aca="false">ITEM_MASTER_CLEAN!C252</f>
        <v>MTY RED SANITIZER STAT PAIL 6QT X1</v>
      </c>
      <c r="D252" s="12" t="n">
        <f aca="false">ITEM_MASTER_CLEAN!F252</f>
        <v>16.28</v>
      </c>
      <c r="E252" s="5" t="n">
        <f aca="false">ITEM_MASTER_CLEAN!G252</f>
        <v>1</v>
      </c>
      <c r="F252" s="5" t="n">
        <f aca="false">DEMAND_MODEL!K252*SafetyDays</f>
        <v>1.28571428571429</v>
      </c>
      <c r="G252" s="5" t="n">
        <f aca="false">DEMAND_MODEL!L252*SafetyDays</f>
        <v>1.28571428571429</v>
      </c>
      <c r="H252" s="5" t="n">
        <f aca="false">ITEM_MASTER_CLEAN!H252</f>
        <v>0</v>
      </c>
      <c r="I252" s="5" t="n">
        <f aca="false">ITEM_MASTER_CLEAN!I252</f>
        <v>0</v>
      </c>
      <c r="J252" s="5" t="str">
        <f aca="false">IF(H252&lt;F252,"YES","")</f>
        <v>YES</v>
      </c>
      <c r="K252" s="5" t="str">
        <f aca="false">IF(I252&lt;G252,"YES","")</f>
        <v>YES</v>
      </c>
      <c r="L252" s="5" t="n">
        <f aca="false">IF(J252="YES",MAX(CEILING(F252-H252,E252),0),0)</f>
        <v>2</v>
      </c>
      <c r="M252" s="5" t="n">
        <f aca="false">IF(K252="YES",MAX(CEILING(G252-I252,E252),0),0)</f>
        <v>2</v>
      </c>
      <c r="N252" s="12" t="n">
        <f aca="false">L252*D252</f>
        <v>32.56</v>
      </c>
      <c r="O252" s="12" t="n">
        <f aca="false">M252*D252</f>
        <v>32.56</v>
      </c>
      <c r="P252" s="12" t="n">
        <f aca="false">P251+N252+O252</f>
        <v>49810.59</v>
      </c>
      <c r="Q252" s="5" t="str">
        <f aca="false">IF(P252&lt;=CashCap,"YES","OVER CAP")</f>
        <v>OVER CAP</v>
      </c>
      <c r="R252" s="5" t="str">
        <f aca="false">IF(LowCashMode="OFF","Normal Mode",IF(AND(OR(J252="YES",K252="YES"),Q252="YES"),"BUY NOW",IF(OR(J252="YES",K252="YES"),"DEFERRED","—")))</f>
        <v>Normal Mode</v>
      </c>
    </row>
    <row r="253" customFormat="false" ht="15" hidden="false" customHeight="false" outlineLevel="0" collapsed="false">
      <c r="A253" s="5" t="n">
        <f aca="false">ITEM_MASTER_CLEAN!A253</f>
        <v>252</v>
      </c>
      <c r="B253" s="5" t="n">
        <f aca="false">ITEM_MASTER_CLEAN!B253</f>
        <v>27002</v>
      </c>
      <c r="C253" s="5" t="str">
        <f aca="false">ITEM_MASTER_CLEAN!C253</f>
        <v>MTY BTL SPRAYER D6044848 1UN</v>
      </c>
      <c r="D253" s="12" t="n">
        <f aca="false">ITEM_MASTER_CLEAN!F253</f>
        <v>5.17</v>
      </c>
      <c r="E253" s="5" t="n">
        <f aca="false">ITEM_MASTER_CLEAN!G253</f>
        <v>1</v>
      </c>
      <c r="F253" s="5" t="n">
        <f aca="false">DEMAND_MODEL!K253*SafetyDays</f>
        <v>0.428571428571429</v>
      </c>
      <c r="G253" s="5" t="n">
        <f aca="false">DEMAND_MODEL!L253*SafetyDays</f>
        <v>1.28571428571429</v>
      </c>
      <c r="H253" s="5" t="n">
        <f aca="false">ITEM_MASTER_CLEAN!H253</f>
        <v>1</v>
      </c>
      <c r="I253" s="5" t="n">
        <f aca="false">ITEM_MASTER_CLEAN!I253</f>
        <v>1</v>
      </c>
      <c r="J253" s="5" t="str">
        <f aca="false">IF(H253&lt;F253,"YES","")</f>
        <v/>
      </c>
      <c r="K253" s="5" t="str">
        <f aca="false">IF(I253&lt;G253,"YES","")</f>
        <v>YES</v>
      </c>
      <c r="L253" s="5" t="n">
        <f aca="false">IF(J253="YES",MAX(CEILING(F253-H253,E253),0),0)</f>
        <v>0</v>
      </c>
      <c r="M253" s="5" t="n">
        <f aca="false">IF(K253="YES",MAX(CEILING(G253-I253,E253),0),0)</f>
        <v>1</v>
      </c>
      <c r="N253" s="12" t="n">
        <f aca="false">L253*D253</f>
        <v>0</v>
      </c>
      <c r="O253" s="12" t="n">
        <f aca="false">M253*D253</f>
        <v>5.17</v>
      </c>
      <c r="P253" s="12" t="n">
        <f aca="false">P252+N253+O253</f>
        <v>49815.76</v>
      </c>
      <c r="Q253" s="5" t="str">
        <f aca="false">IF(P253&lt;=CashCap,"YES","OVER CAP")</f>
        <v>OVER CAP</v>
      </c>
      <c r="R253" s="5" t="str">
        <f aca="false">IF(LowCashMode="OFF","Normal Mode",IF(AND(OR(J253="YES",K253="YES"),Q253="YES"),"BUY NOW",IF(OR(J253="YES",K253="YES"),"DEFERRED","—")))</f>
        <v>Normal Mode</v>
      </c>
    </row>
    <row r="254" customFormat="false" ht="15" hidden="false" customHeight="false" outlineLevel="0" collapsed="false">
      <c r="A254" s="5" t="n">
        <f aca="false">ITEM_MASTER_CLEAN!A254</f>
        <v>253</v>
      </c>
      <c r="B254" s="5" t="n">
        <f aca="false">ITEM_MASTER_CLEAN!B254</f>
        <v>27003</v>
      </c>
      <c r="C254" s="5" t="str">
        <f aca="false">ITEM_MASTER_CLEAN!C254</f>
        <v>MTY TRIGGER SPRAYER HEAD 1UN</v>
      </c>
      <c r="D254" s="12" t="n">
        <f aca="false">ITEM_MASTER_CLEAN!F254</f>
        <v>4.36</v>
      </c>
      <c r="E254" s="5" t="n">
        <f aca="false">ITEM_MASTER_CLEAN!G254</f>
        <v>1</v>
      </c>
      <c r="F254" s="5" t="n">
        <f aca="false">DEMAND_MODEL!K254*SafetyDays</f>
        <v>1.28571428571429</v>
      </c>
      <c r="G254" s="5" t="n">
        <f aca="false">DEMAND_MODEL!L254*SafetyDays</f>
        <v>0.428571428571429</v>
      </c>
      <c r="H254" s="5" t="n">
        <f aca="false">ITEM_MASTER_CLEAN!H254</f>
        <v>1</v>
      </c>
      <c r="I254" s="5" t="n">
        <f aca="false">ITEM_MASTER_CLEAN!I254</f>
        <v>1</v>
      </c>
      <c r="J254" s="5" t="str">
        <f aca="false">IF(H254&lt;F254,"YES","")</f>
        <v>YES</v>
      </c>
      <c r="K254" s="5" t="str">
        <f aca="false">IF(I254&lt;G254,"YES","")</f>
        <v/>
      </c>
      <c r="L254" s="5" t="n">
        <f aca="false">IF(J254="YES",MAX(CEILING(F254-H254,E254),0),0)</f>
        <v>1</v>
      </c>
      <c r="M254" s="5" t="n">
        <f aca="false">IF(K254="YES",MAX(CEILING(G254-I254,E254),0),0)</f>
        <v>0</v>
      </c>
      <c r="N254" s="12" t="n">
        <f aca="false">L254*D254</f>
        <v>4.36</v>
      </c>
      <c r="O254" s="12" t="n">
        <f aca="false">M254*D254</f>
        <v>0</v>
      </c>
      <c r="P254" s="12" t="n">
        <f aca="false">P253+N254+O254</f>
        <v>49820.12</v>
      </c>
      <c r="Q254" s="5" t="str">
        <f aca="false">IF(P254&lt;=CashCap,"YES","OVER CAP")</f>
        <v>OVER CAP</v>
      </c>
      <c r="R254" s="5" t="str">
        <f aca="false">IF(LowCashMode="OFF","Normal Mode",IF(AND(OR(J254="YES",K254="YES"),Q254="YES"),"BUY NOW",IF(OR(J254="YES",K254="YES"),"DEFERRED","—")))</f>
        <v>Normal Mode</v>
      </c>
    </row>
    <row r="255" customFormat="false" ht="23.85" hidden="false" customHeight="false" outlineLevel="0" collapsed="false">
      <c r="A255" s="5" t="n">
        <f aca="false">ITEM_MASTER_CLEAN!A255</f>
        <v>254</v>
      </c>
      <c r="B255" s="5" t="n">
        <f aca="false">ITEM_MASTER_CLEAN!B255</f>
        <v>28530</v>
      </c>
      <c r="C255" s="5" t="str">
        <f aca="false">ITEM_MASTER_CLEAN!C255</f>
        <v>9 MTY DOSAGE PUMP HAND 4LJUG 1OZ X1</v>
      </c>
      <c r="D255" s="12" t="n">
        <f aca="false">ITEM_MASTER_CLEAN!F255</f>
        <v>5.94</v>
      </c>
      <c r="E255" s="5" t="n">
        <f aca="false">ITEM_MASTER_CLEAN!G255</f>
        <v>1</v>
      </c>
      <c r="F255" s="5" t="n">
        <f aca="false">DEMAND_MODEL!K255*SafetyDays</f>
        <v>0.857142857142857</v>
      </c>
      <c r="G255" s="5" t="n">
        <f aca="false">DEMAND_MODEL!L255*SafetyDays</f>
        <v>0.428571428571429</v>
      </c>
      <c r="H255" s="5" t="n">
        <f aca="false">ITEM_MASTER_CLEAN!H255</f>
        <v>2</v>
      </c>
      <c r="I255" s="5" t="n">
        <f aca="false">ITEM_MASTER_CLEAN!I255</f>
        <v>1</v>
      </c>
      <c r="J255" s="5" t="str">
        <f aca="false">IF(H255&lt;F255,"YES","")</f>
        <v/>
      </c>
      <c r="K255" s="5" t="str">
        <f aca="false">IF(I255&lt;G255,"YES","")</f>
        <v/>
      </c>
      <c r="L255" s="5" t="n">
        <f aca="false">IF(J255="YES",MAX(CEILING(F255-H255,E255),0),0)</f>
        <v>0</v>
      </c>
      <c r="M255" s="5" t="n">
        <f aca="false">IF(K255="YES",MAX(CEILING(G255-I255,E255),0),0)</f>
        <v>0</v>
      </c>
      <c r="N255" s="12" t="n">
        <f aca="false">L255*D255</f>
        <v>0</v>
      </c>
      <c r="O255" s="12" t="n">
        <f aca="false">M255*D255</f>
        <v>0</v>
      </c>
      <c r="P255" s="12" t="n">
        <f aca="false">P254+N255+O255</f>
        <v>49820.12</v>
      </c>
      <c r="Q255" s="5" t="str">
        <f aca="false">IF(P255&lt;=CashCap,"YES","OVER CAP")</f>
        <v>OVER CAP</v>
      </c>
      <c r="R255" s="5" t="str">
        <f aca="false">IF(LowCashMode="OFF","Normal Mode",IF(AND(OR(J255="YES",K255="YES"),Q255="YES"),"BUY NOW",IF(OR(J255="YES",K255="YES"),"DEFERRED","—")))</f>
        <v>Normal Mode</v>
      </c>
    </row>
    <row r="256" customFormat="false" ht="15" hidden="false" customHeight="false" outlineLevel="0" collapsed="false">
      <c r="A256" s="5" t="n">
        <f aca="false">ITEM_MASTER_CLEAN!A256</f>
        <v>255</v>
      </c>
      <c r="B256" s="5" t="n">
        <f aca="false">ITEM_MASTER_CLEAN!B256</f>
        <v>28529</v>
      </c>
      <c r="C256" s="5" t="str">
        <f aca="false">ITEM_MASTER_CLEAN!C256</f>
        <v>9 MTY DOSAGE PUMP 1/8 OZ GAL X1</v>
      </c>
      <c r="D256" s="12" t="n">
        <f aca="false">ITEM_MASTER_CLEAN!F256</f>
        <v>5.7</v>
      </c>
      <c r="E256" s="5" t="n">
        <f aca="false">ITEM_MASTER_CLEAN!G256</f>
        <v>1</v>
      </c>
      <c r="F256" s="5" t="n">
        <f aca="false">DEMAND_MODEL!K256*SafetyDays</f>
        <v>0.428571428571429</v>
      </c>
      <c r="G256" s="5" t="n">
        <f aca="false">DEMAND_MODEL!L256*SafetyDays</f>
        <v>1.28571428571429</v>
      </c>
      <c r="H256" s="5" t="n">
        <f aca="false">ITEM_MASTER_CLEAN!H256</f>
        <v>3</v>
      </c>
      <c r="I256" s="5" t="n">
        <f aca="false">ITEM_MASTER_CLEAN!I256</f>
        <v>0</v>
      </c>
      <c r="J256" s="5" t="str">
        <f aca="false">IF(H256&lt;F256,"YES","")</f>
        <v/>
      </c>
      <c r="K256" s="5" t="str">
        <f aca="false">IF(I256&lt;G256,"YES","")</f>
        <v>YES</v>
      </c>
      <c r="L256" s="5" t="n">
        <f aca="false">IF(J256="YES",MAX(CEILING(F256-H256,E256),0),0)</f>
        <v>0</v>
      </c>
      <c r="M256" s="5" t="n">
        <f aca="false">IF(K256="YES",MAX(CEILING(G256-I256,E256),0),0)</f>
        <v>2</v>
      </c>
      <c r="N256" s="12" t="n">
        <f aca="false">L256*D256</f>
        <v>0</v>
      </c>
      <c r="O256" s="12" t="n">
        <f aca="false">M256*D256</f>
        <v>11.4</v>
      </c>
      <c r="P256" s="12" t="n">
        <f aca="false">P255+N256+O256</f>
        <v>49831.52</v>
      </c>
      <c r="Q256" s="5" t="str">
        <f aca="false">IF(P256&lt;=CashCap,"YES","OVER CAP")</f>
        <v>OVER CAP</v>
      </c>
      <c r="R256" s="5" t="str">
        <f aca="false">IF(LowCashMode="OFF","Normal Mode",IF(AND(OR(J256="YES",K256="YES"),Q256="YES"),"BUY NOW",IF(OR(J256="YES",K256="YES"),"DEFERRED","—")))</f>
        <v>Normal Mode</v>
      </c>
    </row>
    <row r="257" customFormat="false" ht="15" hidden="false" customHeight="false" outlineLevel="0" collapsed="false">
      <c r="A257" s="5" t="n">
        <f aca="false">ITEM_MASTER_CLEAN!A257</f>
        <v>256</v>
      </c>
      <c r="B257" s="5" t="n">
        <f aca="false">ITEM_MASTER_CLEAN!B257</f>
        <v>29153</v>
      </c>
      <c r="C257" s="5" t="str">
        <f aca="false">ITEM_MASTER_CLEAN!C257</f>
        <v>BEV P.LEAF GRN TEA/HONEY 12X547ML</v>
      </c>
      <c r="D257" s="12" t="n">
        <f aca="false">ITEM_MASTER_CLEAN!F257</f>
        <v>24.81</v>
      </c>
      <c r="E257" s="5" t="n">
        <f aca="false">ITEM_MASTER_CLEAN!G257</f>
        <v>12</v>
      </c>
      <c r="F257" s="5" t="n">
        <f aca="false">DEMAND_MODEL!K257*SafetyDays</f>
        <v>2.14285714285714</v>
      </c>
      <c r="G257" s="5" t="n">
        <f aca="false">DEMAND_MODEL!L257*SafetyDays</f>
        <v>0.857142857142857</v>
      </c>
      <c r="H257" s="5" t="n">
        <f aca="false">ITEM_MASTER_CLEAN!H257</f>
        <v>7</v>
      </c>
      <c r="I257" s="5" t="n">
        <f aca="false">ITEM_MASTER_CLEAN!I257</f>
        <v>3</v>
      </c>
      <c r="J257" s="5" t="str">
        <f aca="false">IF(H257&lt;F257,"YES","")</f>
        <v/>
      </c>
      <c r="K257" s="5" t="str">
        <f aca="false">IF(I257&lt;G257,"YES","")</f>
        <v/>
      </c>
      <c r="L257" s="5" t="n">
        <f aca="false">IF(J257="YES",MAX(CEILING(F257-H257,E257),0),0)</f>
        <v>0</v>
      </c>
      <c r="M257" s="5" t="n">
        <f aca="false">IF(K257="YES",MAX(CEILING(G257-I257,E257),0),0)</f>
        <v>0</v>
      </c>
      <c r="N257" s="12" t="n">
        <f aca="false">L257*D257</f>
        <v>0</v>
      </c>
      <c r="O257" s="12" t="n">
        <f aca="false">M257*D257</f>
        <v>0</v>
      </c>
      <c r="P257" s="12" t="n">
        <f aca="false">P256+N257+O257</f>
        <v>49831.52</v>
      </c>
      <c r="Q257" s="5" t="str">
        <f aca="false">IF(P257&lt;=CashCap,"YES","OVER CAP")</f>
        <v>OVER CAP</v>
      </c>
      <c r="R257" s="5" t="str">
        <f aca="false">IF(LowCashMode="OFF","Normal Mode",IF(AND(OR(J257="YES",K257="YES"),Q257="YES"),"BUY NOW",IF(OR(J257="YES",K257="YES"),"DEFERRED","—")))</f>
        <v>Normal Mode</v>
      </c>
    </row>
    <row r="258" customFormat="false" ht="15" hidden="false" customHeight="false" outlineLevel="0" collapsed="false">
      <c r="A258" s="5" t="n">
        <f aca="false">ITEM_MASTER_CLEAN!A258</f>
        <v>257</v>
      </c>
      <c r="B258" s="5" t="n">
        <f aca="false">ITEM_MASTER_CLEAN!B258</f>
        <v>29154</v>
      </c>
      <c r="C258" s="5" t="str">
        <f aca="false">ITEM_MASTER_CLEAN!C258</f>
        <v>BEV P.LEAF LEMON TEA  12X547ML</v>
      </c>
      <c r="D258" s="12" t="n">
        <f aca="false">ITEM_MASTER_CLEAN!F258</f>
        <v>36.82</v>
      </c>
      <c r="E258" s="5" t="n">
        <f aca="false">ITEM_MASTER_CLEAN!G258</f>
        <v>12</v>
      </c>
      <c r="F258" s="5" t="n">
        <f aca="false">DEMAND_MODEL!K258*SafetyDays</f>
        <v>2.14285714285714</v>
      </c>
      <c r="G258" s="5" t="n">
        <f aca="false">DEMAND_MODEL!L258*SafetyDays</f>
        <v>0.428571428571429</v>
      </c>
      <c r="H258" s="5" t="n">
        <f aca="false">ITEM_MASTER_CLEAN!H258</f>
        <v>21</v>
      </c>
      <c r="I258" s="5" t="n">
        <f aca="false">ITEM_MASTER_CLEAN!I258</f>
        <v>3</v>
      </c>
      <c r="J258" s="5" t="str">
        <f aca="false">IF(H258&lt;F258,"YES","")</f>
        <v/>
      </c>
      <c r="K258" s="5" t="str">
        <f aca="false">IF(I258&lt;G258,"YES","")</f>
        <v/>
      </c>
      <c r="L258" s="5" t="n">
        <f aca="false">IF(J258="YES",MAX(CEILING(F258-H258,E258),0),0)</f>
        <v>0</v>
      </c>
      <c r="M258" s="5" t="n">
        <f aca="false">IF(K258="YES",MAX(CEILING(G258-I258,E258),0),0)</f>
        <v>0</v>
      </c>
      <c r="N258" s="12" t="n">
        <f aca="false">L258*D258</f>
        <v>0</v>
      </c>
      <c r="O258" s="12" t="n">
        <f aca="false">M258*D258</f>
        <v>0</v>
      </c>
      <c r="P258" s="12" t="n">
        <f aca="false">P257+N258+O258</f>
        <v>49831.52</v>
      </c>
      <c r="Q258" s="5" t="str">
        <f aca="false">IF(P258&lt;=CashCap,"YES","OVER CAP")</f>
        <v>OVER CAP</v>
      </c>
      <c r="R258" s="5" t="str">
        <f aca="false">IF(LowCashMode="OFF","Normal Mode",IF(AND(OR(J258="YES",K258="YES"),Q258="YES"),"BUY NOW",IF(OR(J258="YES",K258="YES"),"DEFERRED","—")))</f>
        <v>Normal Mode</v>
      </c>
    </row>
    <row r="259" customFormat="false" ht="23.85" hidden="false" customHeight="false" outlineLevel="0" collapsed="false">
      <c r="A259" s="5" t="n">
        <f aca="false">ITEM_MASTER_CLEAN!A259</f>
        <v>258</v>
      </c>
      <c r="B259" s="5" t="n">
        <f aca="false">ITEM_MASTER_CLEAN!B259</f>
        <v>14130</v>
      </c>
      <c r="C259" s="5" t="str">
        <f aca="false">ITEM_MASTER_CLEAN!C259</f>
        <v>9 BEV STARBKS TRP SHOT MOCHA 12X444</v>
      </c>
      <c r="D259" s="12" t="n">
        <f aca="false">ITEM_MASTER_CLEAN!F259</f>
        <v>32.26</v>
      </c>
      <c r="E259" s="5" t="n">
        <f aca="false">ITEM_MASTER_CLEAN!G259</f>
        <v>12</v>
      </c>
      <c r="F259" s="5" t="n">
        <f aca="false">DEMAND_MODEL!K259*SafetyDays</f>
        <v>0.857142857142857</v>
      </c>
      <c r="G259" s="5" t="n">
        <f aca="false">DEMAND_MODEL!L259*SafetyDays</f>
        <v>0.857142857142857</v>
      </c>
      <c r="H259" s="5" t="n">
        <f aca="false">ITEM_MASTER_CLEAN!H259</f>
        <v>3</v>
      </c>
      <c r="I259" s="5" t="n">
        <f aca="false">ITEM_MASTER_CLEAN!I259</f>
        <v>3</v>
      </c>
      <c r="J259" s="5" t="str">
        <f aca="false">IF(H259&lt;F259,"YES","")</f>
        <v/>
      </c>
      <c r="K259" s="5" t="str">
        <f aca="false">IF(I259&lt;G259,"YES","")</f>
        <v/>
      </c>
      <c r="L259" s="5" t="n">
        <f aca="false">IF(J259="YES",MAX(CEILING(F259-H259,E259),0),0)</f>
        <v>0</v>
      </c>
      <c r="M259" s="5" t="n">
        <f aca="false">IF(K259="YES",MAX(CEILING(G259-I259,E259),0),0)</f>
        <v>0</v>
      </c>
      <c r="N259" s="12" t="n">
        <f aca="false">L259*D259</f>
        <v>0</v>
      </c>
      <c r="O259" s="12" t="n">
        <f aca="false">M259*D259</f>
        <v>0</v>
      </c>
      <c r="P259" s="12" t="n">
        <f aca="false">P258+N259+O259</f>
        <v>49831.52</v>
      </c>
      <c r="Q259" s="5" t="str">
        <f aca="false">IF(P259&lt;=CashCap,"YES","OVER CAP")</f>
        <v>OVER CAP</v>
      </c>
      <c r="R259" s="5" t="str">
        <f aca="false">IF(LowCashMode="OFF","Normal Mode",IF(AND(OR(J259="YES",K259="YES"),Q259="YES"),"BUY NOW",IF(OR(J259="YES",K259="YES"),"DEFERRED","—")))</f>
        <v>Normal Mode</v>
      </c>
    </row>
    <row r="260" customFormat="false" ht="15" hidden="false" customHeight="false" outlineLevel="0" collapsed="false">
      <c r="A260" s="5" t="n">
        <f aca="false">ITEM_MASTER_CLEAN!A260</f>
        <v>259</v>
      </c>
      <c r="B260" s="5" t="n">
        <f aca="false">ITEM_MASTER_CLEAN!B260</f>
        <v>14131</v>
      </c>
      <c r="C260" s="5" t="str">
        <f aca="false">ITEM_MASTER_CLEAN!C260</f>
        <v>9 BEV STARBUCKS DBL SHOT VAN 12X444</v>
      </c>
      <c r="D260" s="12" t="n">
        <f aca="false">ITEM_MASTER_CLEAN!F260</f>
        <v>20.13</v>
      </c>
      <c r="E260" s="5" t="n">
        <f aca="false">ITEM_MASTER_CLEAN!G260</f>
        <v>12</v>
      </c>
      <c r="F260" s="5" t="n">
        <f aca="false">DEMAND_MODEL!K260*SafetyDays</f>
        <v>0.857142857142857</v>
      </c>
      <c r="G260" s="5" t="n">
        <f aca="false">DEMAND_MODEL!L260*SafetyDays</f>
        <v>0.857142857142857</v>
      </c>
      <c r="H260" s="5" t="n">
        <f aca="false">ITEM_MASTER_CLEAN!H260</f>
        <v>6</v>
      </c>
      <c r="I260" s="5" t="n">
        <f aca="false">ITEM_MASTER_CLEAN!I260</f>
        <v>0</v>
      </c>
      <c r="J260" s="5" t="str">
        <f aca="false">IF(H260&lt;F260,"YES","")</f>
        <v/>
      </c>
      <c r="K260" s="5" t="str">
        <f aca="false">IF(I260&lt;G260,"YES","")</f>
        <v>YES</v>
      </c>
      <c r="L260" s="5" t="n">
        <f aca="false">IF(J260="YES",MAX(CEILING(F260-H260,E260),0),0)</f>
        <v>0</v>
      </c>
      <c r="M260" s="5" t="n">
        <f aca="false">IF(K260="YES",MAX(CEILING(G260-I260,E260),0),0)</f>
        <v>12</v>
      </c>
      <c r="N260" s="12" t="n">
        <f aca="false">L260*D260</f>
        <v>0</v>
      </c>
      <c r="O260" s="12" t="n">
        <f aca="false">M260*D260</f>
        <v>241.56</v>
      </c>
      <c r="P260" s="12" t="n">
        <f aca="false">P259+N260+O260</f>
        <v>50073.08</v>
      </c>
      <c r="Q260" s="5" t="str">
        <f aca="false">IF(P260&lt;=CashCap,"YES","OVER CAP")</f>
        <v>OVER CAP</v>
      </c>
      <c r="R260" s="5" t="str">
        <f aca="false">IF(LowCashMode="OFF","Normal Mode",IF(AND(OR(J260="YES",K260="YES"),Q260="YES"),"BUY NOW",IF(OR(J260="YES",K260="YES"),"DEFERRED","—")))</f>
        <v>Normal Mode</v>
      </c>
    </row>
    <row r="261" customFormat="false" ht="15" hidden="false" customHeight="false" outlineLevel="0" collapsed="false">
      <c r="A261" s="5" t="n">
        <f aca="false">ITEM_MASTER_CLEAN!A261</f>
        <v>260</v>
      </c>
      <c r="B261" s="5" t="n">
        <f aca="false">ITEM_MASTER_CLEAN!B261</f>
        <v>52342</v>
      </c>
      <c r="C261" s="5" t="str">
        <f aca="false">ITEM_MASTER_CLEAN!C261</f>
        <v>BEV ROOT BEER MUG CAN 12X355ML</v>
      </c>
      <c r="D261" s="12" t="n">
        <f aca="false">ITEM_MASTER_CLEAN!F261</f>
        <v>28.25</v>
      </c>
      <c r="E261" s="5" t="n">
        <f aca="false">ITEM_MASTER_CLEAN!G261</f>
        <v>12</v>
      </c>
      <c r="F261" s="5" t="n">
        <f aca="false">DEMAND_MODEL!K261*SafetyDays</f>
        <v>0.857142857142857</v>
      </c>
      <c r="G261" s="5" t="n">
        <f aca="false">DEMAND_MODEL!L261*SafetyDays</f>
        <v>0.428571428571429</v>
      </c>
      <c r="H261" s="5" t="n">
        <f aca="false">ITEM_MASTER_CLEAN!H261</f>
        <v>3</v>
      </c>
      <c r="I261" s="5" t="n">
        <f aca="false">ITEM_MASTER_CLEAN!I261</f>
        <v>1</v>
      </c>
      <c r="J261" s="5" t="str">
        <f aca="false">IF(H261&lt;F261,"YES","")</f>
        <v/>
      </c>
      <c r="K261" s="5" t="str">
        <f aca="false">IF(I261&lt;G261,"YES","")</f>
        <v/>
      </c>
      <c r="L261" s="5" t="n">
        <f aca="false">IF(J261="YES",MAX(CEILING(F261-H261,E261),0),0)</f>
        <v>0</v>
      </c>
      <c r="M261" s="5" t="n">
        <f aca="false">IF(K261="YES",MAX(CEILING(G261-I261,E261),0),0)</f>
        <v>0</v>
      </c>
      <c r="N261" s="12" t="n">
        <f aca="false">L261*D261</f>
        <v>0</v>
      </c>
      <c r="O261" s="12" t="n">
        <f aca="false">M261*D261</f>
        <v>0</v>
      </c>
      <c r="P261" s="12" t="n">
        <f aca="false">P260+N261+O261</f>
        <v>50073.08</v>
      </c>
      <c r="Q261" s="5" t="str">
        <f aca="false">IF(P261&lt;=CashCap,"YES","OVER CAP")</f>
        <v>OVER CAP</v>
      </c>
      <c r="R261" s="5" t="str">
        <f aca="false">IF(LowCashMode="OFF","Normal Mode",IF(AND(OR(J261="YES",K261="YES"),Q261="YES"),"BUY NOW",IF(OR(J261="YES",K261="YES"),"DEFERRED","—")))</f>
        <v>Normal Mode</v>
      </c>
    </row>
    <row r="262" customFormat="false" ht="15" hidden="false" customHeight="false" outlineLevel="0" collapsed="false">
      <c r="A262" s="5" t="n">
        <f aca="false">ITEM_MASTER_CLEAN!A262</f>
        <v>261</v>
      </c>
      <c r="B262" s="5" t="n">
        <f aca="false">ITEM_MASTER_CLEAN!B262</f>
        <v>52349</v>
      </c>
      <c r="C262" s="5" t="str">
        <f aca="false">ITEM_MASTER_CLEAN!C262</f>
        <v>BEV ORANGE CRUSH CAN 12X355ML</v>
      </c>
      <c r="D262" s="12" t="n">
        <f aca="false">ITEM_MASTER_CLEAN!F262</f>
        <v>18.25</v>
      </c>
      <c r="E262" s="5" t="n">
        <f aca="false">ITEM_MASTER_CLEAN!G262</f>
        <v>12</v>
      </c>
      <c r="F262" s="5" t="n">
        <f aca="false">DEMAND_MODEL!K262*SafetyDays</f>
        <v>2.14285714285714</v>
      </c>
      <c r="G262" s="5" t="n">
        <f aca="false">DEMAND_MODEL!L262*SafetyDays</f>
        <v>0.857142857142857</v>
      </c>
      <c r="H262" s="5" t="n">
        <f aca="false">ITEM_MASTER_CLEAN!H262</f>
        <v>1</v>
      </c>
      <c r="I262" s="5" t="n">
        <f aca="false">ITEM_MASTER_CLEAN!I262</f>
        <v>5</v>
      </c>
      <c r="J262" s="5" t="str">
        <f aca="false">IF(H262&lt;F262,"YES","")</f>
        <v>YES</v>
      </c>
      <c r="K262" s="5" t="str">
        <f aca="false">IF(I262&lt;G262,"YES","")</f>
        <v/>
      </c>
      <c r="L262" s="5" t="n">
        <f aca="false">IF(J262="YES",MAX(CEILING(F262-H262,E262),0),0)</f>
        <v>12</v>
      </c>
      <c r="M262" s="5" t="n">
        <f aca="false">IF(K262="YES",MAX(CEILING(G262-I262,E262),0),0)</f>
        <v>0</v>
      </c>
      <c r="N262" s="12" t="n">
        <f aca="false">L262*D262</f>
        <v>219</v>
      </c>
      <c r="O262" s="12" t="n">
        <f aca="false">M262*D262</f>
        <v>0</v>
      </c>
      <c r="P262" s="12" t="n">
        <f aca="false">P261+N262+O262</f>
        <v>50292.08</v>
      </c>
      <c r="Q262" s="5" t="str">
        <f aca="false">IF(P262&lt;=CashCap,"YES","OVER CAP")</f>
        <v>OVER CAP</v>
      </c>
      <c r="R262" s="5" t="str">
        <f aca="false">IF(LowCashMode="OFF","Normal Mode",IF(AND(OR(J262="YES",K262="YES"),Q262="YES"),"BUY NOW",IF(OR(J262="YES",K262="YES"),"DEFERRED","—")))</f>
        <v>Normal Mode</v>
      </c>
    </row>
    <row r="263" customFormat="false" ht="15" hidden="false" customHeight="false" outlineLevel="0" collapsed="false">
      <c r="A263" s="5" t="n">
        <f aca="false">ITEM_MASTER_CLEAN!A263</f>
        <v>262</v>
      </c>
      <c r="B263" s="5" t="n">
        <f aca="false">ITEM_MASTER_CLEAN!B263</f>
        <v>61804</v>
      </c>
      <c r="C263" s="5" t="str">
        <f aca="false">ITEM_MASTER_CLEAN!C263</f>
        <v>LADIP BOX POPCORN 6X2.75X8.5  100</v>
      </c>
      <c r="D263" s="12" t="n">
        <f aca="false">ITEM_MASTER_CLEAN!F263</f>
        <v>16.46</v>
      </c>
      <c r="E263" s="5" t="n">
        <f aca="false">ITEM_MASTER_CLEAN!G263</f>
        <v>1</v>
      </c>
      <c r="F263" s="5" t="n">
        <f aca="false">DEMAND_MODEL!K263*SafetyDays</f>
        <v>1.28571428571429</v>
      </c>
      <c r="G263" s="5" t="n">
        <f aca="false">DEMAND_MODEL!L263*SafetyDays</f>
        <v>0.428571428571429</v>
      </c>
      <c r="H263" s="5" t="n">
        <f aca="false">ITEM_MASTER_CLEAN!H263</f>
        <v>1</v>
      </c>
      <c r="I263" s="5" t="n">
        <f aca="false">ITEM_MASTER_CLEAN!I263</f>
        <v>1</v>
      </c>
      <c r="J263" s="5" t="str">
        <f aca="false">IF(H263&lt;F263,"YES","")</f>
        <v>YES</v>
      </c>
      <c r="K263" s="5" t="str">
        <f aca="false">IF(I263&lt;G263,"YES","")</f>
        <v/>
      </c>
      <c r="L263" s="5" t="n">
        <f aca="false">IF(J263="YES",MAX(CEILING(F263-H263,E263),0),0)</f>
        <v>1</v>
      </c>
      <c r="M263" s="5" t="n">
        <f aca="false">IF(K263="YES",MAX(CEILING(G263-I263,E263),0),0)</f>
        <v>0</v>
      </c>
      <c r="N263" s="12" t="n">
        <f aca="false">L263*D263</f>
        <v>16.46</v>
      </c>
      <c r="O263" s="12" t="n">
        <f aca="false">M263*D263</f>
        <v>0</v>
      </c>
      <c r="P263" s="12" t="n">
        <f aca="false">P262+N263+O263</f>
        <v>50308.54</v>
      </c>
      <c r="Q263" s="5" t="str">
        <f aca="false">IF(P263&lt;=CashCap,"YES","OVER CAP")</f>
        <v>OVER CAP</v>
      </c>
      <c r="R263" s="5" t="str">
        <f aca="false">IF(LowCashMode="OFF","Normal Mode",IF(AND(OR(J263="YES",K263="YES"),Q263="YES"),"BUY NOW",IF(OR(J263="YES",K263="YES"),"DEFERRED","—")))</f>
        <v>Normal Mode</v>
      </c>
    </row>
  </sheetData>
  <conditionalFormatting sqref="R2:R263">
    <cfRule type="cellIs" priority="2" operator="equal" aboveAverage="0" equalAverage="0" bottom="0" percent="0" rank="0" text="" dxfId="0">
      <formula>"BUY NOW"</formula>
    </cfRule>
    <cfRule type="cellIs" priority="3" operator="equal" aboveAverage="0" equalAverage="0" bottom="0" percent="0" rank="0" text="" dxfId="4">
      <formula>"DEFERRED"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38"/>
    <col collapsed="false" customWidth="true" hidden="false" outlineLevel="0" max="20" min="5" style="0" width="14"/>
  </cols>
  <sheetData>
    <row r="1" customFormat="false" ht="39.55" hidden="false" customHeight="false" outlineLevel="0" collapsed="false">
      <c r="A1" s="4" t="s">
        <v>599</v>
      </c>
      <c r="B1" s="4" t="s">
        <v>600</v>
      </c>
      <c r="C1" s="4" t="s">
        <v>601</v>
      </c>
      <c r="D1" s="4" t="s">
        <v>602</v>
      </c>
      <c r="E1" s="4" t="s">
        <v>603</v>
      </c>
      <c r="F1" s="4" t="s">
        <v>495</v>
      </c>
      <c r="G1" s="4" t="s">
        <v>604</v>
      </c>
      <c r="H1" s="4" t="s">
        <v>605</v>
      </c>
      <c r="I1" s="4" t="s">
        <v>606</v>
      </c>
      <c r="J1" s="4" t="s">
        <v>607</v>
      </c>
      <c r="K1" s="4" t="s">
        <v>608</v>
      </c>
      <c r="L1" s="4" t="s">
        <v>609</v>
      </c>
      <c r="M1" s="4" t="s">
        <v>610</v>
      </c>
      <c r="N1" s="4" t="s">
        <v>611</v>
      </c>
      <c r="O1" s="4" t="s">
        <v>612</v>
      </c>
      <c r="P1" s="4" t="s">
        <v>613</v>
      </c>
      <c r="Q1" s="4" t="s">
        <v>614</v>
      </c>
      <c r="R1" s="4" t="s">
        <v>615</v>
      </c>
      <c r="S1" s="4" t="s">
        <v>616</v>
      </c>
      <c r="T1" s="4" t="s">
        <v>617</v>
      </c>
    </row>
    <row r="2" customFormat="false" ht="15" hidden="false" customHeight="false" outlineLevel="0" collapsed="false">
      <c r="A2" s="8" t="n">
        <v>1</v>
      </c>
      <c r="B2" s="13" t="s">
        <v>618</v>
      </c>
      <c r="C2" s="14" t="s">
        <v>619</v>
      </c>
      <c r="D2" s="14" t="s">
        <v>33</v>
      </c>
      <c r="E2" s="14" t="n">
        <v>24</v>
      </c>
      <c r="F2" s="15" t="n">
        <v>72.5</v>
      </c>
      <c r="G2" s="16" t="n">
        <f aca="false">E2*F2</f>
        <v>1740</v>
      </c>
      <c r="H2" s="14" t="s">
        <v>620</v>
      </c>
      <c r="I2" s="14" t="s">
        <v>621</v>
      </c>
      <c r="J2" s="17" t="n">
        <v>0.6</v>
      </c>
      <c r="K2" s="18" t="n">
        <f aca="false">1-J2</f>
        <v>0.4</v>
      </c>
      <c r="L2" s="19" t="n">
        <f aca="false">ROUND(E2*J2,0)</f>
        <v>14</v>
      </c>
      <c r="M2" s="19" t="n">
        <f aca="false">E2-L2</f>
        <v>10</v>
      </c>
      <c r="N2" s="16" t="n">
        <f aca="false">G2*J2</f>
        <v>1044</v>
      </c>
      <c r="O2" s="16" t="n">
        <f aca="false">G2*K2</f>
        <v>696</v>
      </c>
      <c r="P2" s="14" t="n">
        <v>0</v>
      </c>
      <c r="Q2" s="14" t="n">
        <v>0</v>
      </c>
      <c r="R2" s="15" t="n">
        <v>0</v>
      </c>
      <c r="S2" s="15" t="n">
        <v>0</v>
      </c>
      <c r="T2" s="16" t="n">
        <f aca="false">IF(H2="High Park",N2,0)-IF(H2="Oakville",O2,0)-R2+S2</f>
        <v>-696</v>
      </c>
    </row>
    <row r="3" customFormat="false" ht="15" hidden="false" customHeight="false" outlineLevel="0" collapsed="false">
      <c r="A3" s="8" t="n">
        <v>2</v>
      </c>
      <c r="B3" s="13" t="s">
        <v>622</v>
      </c>
      <c r="C3" s="14" t="s">
        <v>623</v>
      </c>
      <c r="D3" s="14" t="s">
        <v>37</v>
      </c>
      <c r="E3" s="14" t="n">
        <v>4</v>
      </c>
      <c r="F3" s="15" t="n">
        <v>45.8</v>
      </c>
      <c r="G3" s="16" t="n">
        <f aca="false">E3*F3</f>
        <v>183.2</v>
      </c>
      <c r="H3" s="14" t="s">
        <v>620</v>
      </c>
      <c r="I3" s="14" t="s">
        <v>624</v>
      </c>
      <c r="J3" s="17" t="n">
        <v>0.55</v>
      </c>
      <c r="K3" s="18" t="n">
        <f aca="false">1-J3</f>
        <v>0.45</v>
      </c>
      <c r="L3" s="19" t="n">
        <f aca="false">ROUND(E3*J3,0)</f>
        <v>2</v>
      </c>
      <c r="M3" s="19" t="n">
        <f aca="false">E3-L3</f>
        <v>2</v>
      </c>
      <c r="N3" s="16" t="n">
        <f aca="false">G3*J3</f>
        <v>100.76</v>
      </c>
      <c r="O3" s="16" t="n">
        <f aca="false">G3*K3</f>
        <v>82.44</v>
      </c>
      <c r="P3" s="14" t="n">
        <v>0</v>
      </c>
      <c r="Q3" s="14" t="n">
        <v>0</v>
      </c>
      <c r="R3" s="15" t="n">
        <v>0</v>
      </c>
      <c r="S3" s="15" t="n">
        <v>0</v>
      </c>
      <c r="T3" s="16" t="n">
        <f aca="false">IF(H3="High Park",N3,0)-IF(H3="Oakville",O3,0)-R3+S3</f>
        <v>-82.44</v>
      </c>
    </row>
    <row r="4" customFormat="false" ht="15" hidden="false" customHeight="false" outlineLevel="0" collapsed="false">
      <c r="A4" s="8" t="n">
        <v>3</v>
      </c>
      <c r="B4" s="13" t="s">
        <v>625</v>
      </c>
      <c r="C4" s="14"/>
      <c r="D4" s="14" t="s">
        <v>220</v>
      </c>
      <c r="E4" s="14" t="n">
        <v>12</v>
      </c>
      <c r="F4" s="15" t="n">
        <v>42.5</v>
      </c>
      <c r="G4" s="16" t="n">
        <f aca="false">E4*F4</f>
        <v>510</v>
      </c>
      <c r="H4" s="14" t="s">
        <v>626</v>
      </c>
      <c r="I4" s="14" t="s">
        <v>621</v>
      </c>
      <c r="J4" s="17" t="n">
        <v>0.5</v>
      </c>
      <c r="K4" s="18" t="n">
        <f aca="false">1-J4</f>
        <v>0.5</v>
      </c>
      <c r="L4" s="19" t="n">
        <f aca="false">ROUND(E4*J4,0)</f>
        <v>6</v>
      </c>
      <c r="M4" s="19" t="n">
        <f aca="false">E4-L4</f>
        <v>6</v>
      </c>
      <c r="N4" s="16" t="n">
        <f aca="false">G4*J4</f>
        <v>255</v>
      </c>
      <c r="O4" s="16" t="n">
        <f aca="false">G4*K4</f>
        <v>255</v>
      </c>
      <c r="P4" s="14" t="n">
        <v>0</v>
      </c>
      <c r="Q4" s="14" t="n">
        <v>0</v>
      </c>
      <c r="R4" s="15" t="n">
        <v>0</v>
      </c>
      <c r="S4" s="15" t="n">
        <v>0</v>
      </c>
      <c r="T4" s="16" t="n">
        <f aca="false">IF(H4="High Park",N4,0)-IF(H4="Oakville",O4,0)-R4+S4</f>
        <v>255</v>
      </c>
    </row>
    <row r="5" customFormat="false" ht="15" hidden="false" customHeight="false" outlineLevel="0" collapsed="false">
      <c r="A5" s="8" t="n">
        <v>4</v>
      </c>
      <c r="B5" s="13" t="s">
        <v>627</v>
      </c>
      <c r="C5" s="14"/>
      <c r="D5" s="14" t="s">
        <v>199</v>
      </c>
      <c r="E5" s="14" t="n">
        <v>8</v>
      </c>
      <c r="F5" s="15" t="n">
        <v>36.75</v>
      </c>
      <c r="G5" s="16" t="n">
        <f aca="false">E5*F5</f>
        <v>294</v>
      </c>
      <c r="H5" s="14" t="s">
        <v>620</v>
      </c>
      <c r="I5" s="14" t="s">
        <v>624</v>
      </c>
      <c r="J5" s="17" t="n">
        <v>0.6</v>
      </c>
      <c r="K5" s="18" t="n">
        <f aca="false">1-J5</f>
        <v>0.4</v>
      </c>
      <c r="L5" s="19" t="n">
        <f aca="false">ROUND(E5*J5,0)</f>
        <v>5</v>
      </c>
      <c r="M5" s="19" t="n">
        <f aca="false">E5-L5</f>
        <v>3</v>
      </c>
      <c r="N5" s="16" t="n">
        <f aca="false">G5*J5</f>
        <v>176.4</v>
      </c>
      <c r="O5" s="16" t="n">
        <f aca="false">G5*K5</f>
        <v>117.6</v>
      </c>
      <c r="P5" s="14" t="n">
        <v>0</v>
      </c>
      <c r="Q5" s="14" t="n">
        <v>0</v>
      </c>
      <c r="R5" s="15" t="n">
        <v>0</v>
      </c>
      <c r="S5" s="15" t="n">
        <v>200</v>
      </c>
      <c r="T5" s="16" t="n">
        <f aca="false">IF(H5="High Park",N5,0)-IF(H5="Oakville",O5,0)-R5+S5</f>
        <v>82.4</v>
      </c>
    </row>
    <row r="6" customFormat="false" ht="15" hidden="false" customHeight="false" outlineLevel="0" collapsed="false">
      <c r="A6" s="8" t="n">
        <v>5</v>
      </c>
      <c r="B6" s="13" t="s">
        <v>628</v>
      </c>
      <c r="C6" s="14"/>
      <c r="D6" s="14" t="s">
        <v>362</v>
      </c>
      <c r="E6" s="14" t="n">
        <v>2</v>
      </c>
      <c r="F6" s="15" t="n">
        <v>38.9</v>
      </c>
      <c r="G6" s="16" t="n">
        <f aca="false">E6*F6</f>
        <v>77.8</v>
      </c>
      <c r="H6" s="14" t="s">
        <v>626</v>
      </c>
      <c r="I6" s="14" t="s">
        <v>621</v>
      </c>
      <c r="J6" s="17" t="n">
        <v>0.55</v>
      </c>
      <c r="K6" s="18" t="n">
        <f aca="false">1-J6</f>
        <v>0.45</v>
      </c>
      <c r="L6" s="19" t="n">
        <f aca="false">ROUND(E6*J6,0)</f>
        <v>1</v>
      </c>
      <c r="M6" s="19" t="n">
        <f aca="false">E6-L6</f>
        <v>1</v>
      </c>
      <c r="N6" s="16" t="n">
        <f aca="false">G6*J6</f>
        <v>42.79</v>
      </c>
      <c r="O6" s="16" t="n">
        <f aca="false">G6*K6</f>
        <v>35.01</v>
      </c>
      <c r="P6" s="14" t="n">
        <v>0</v>
      </c>
      <c r="Q6" s="14" t="n">
        <v>0</v>
      </c>
      <c r="R6" s="15" t="n">
        <v>0</v>
      </c>
      <c r="S6" s="15" t="n">
        <v>0</v>
      </c>
      <c r="T6" s="16" t="n">
        <f aca="false">IF(H6="High Park",N6,0)-IF(H6="Oakville",O6,0)-R6+S6</f>
        <v>42.79</v>
      </c>
    </row>
    <row r="7" customFormat="false" ht="15" hidden="false" customHeight="false" outlineLevel="0" collapsed="false">
      <c r="A7" s="8" t="n">
        <v>6</v>
      </c>
      <c r="B7" s="13" t="s">
        <v>629</v>
      </c>
      <c r="C7" s="14"/>
      <c r="D7" s="14" t="s">
        <v>255</v>
      </c>
      <c r="E7" s="14" t="n">
        <v>20</v>
      </c>
      <c r="F7" s="15" t="n">
        <v>28.5</v>
      </c>
      <c r="G7" s="16" t="n">
        <f aca="false">E7*F7</f>
        <v>570</v>
      </c>
      <c r="H7" s="14" t="s">
        <v>620</v>
      </c>
      <c r="I7" s="14" t="s">
        <v>621</v>
      </c>
      <c r="J7" s="17" t="n">
        <v>0.55</v>
      </c>
      <c r="K7" s="18" t="n">
        <f aca="false">1-J7</f>
        <v>0.45</v>
      </c>
      <c r="L7" s="19" t="n">
        <f aca="false">ROUND(E7*J7,0)</f>
        <v>11</v>
      </c>
      <c r="M7" s="19" t="n">
        <f aca="false">E7-L7</f>
        <v>9</v>
      </c>
      <c r="N7" s="16" t="n">
        <f aca="false">G7*J7</f>
        <v>313.5</v>
      </c>
      <c r="O7" s="16" t="n">
        <f aca="false">G7*K7</f>
        <v>256.5</v>
      </c>
      <c r="P7" s="14" t="n">
        <v>0</v>
      </c>
      <c r="Q7" s="14" t="n">
        <v>0</v>
      </c>
      <c r="R7" s="15" t="n">
        <v>0</v>
      </c>
      <c r="S7" s="15" t="n">
        <v>0</v>
      </c>
      <c r="T7" s="16" t="n">
        <f aca="false">IF(H7="High Park",N7,0)-IF(H7="Oakville",O7,0)-R7+S7</f>
        <v>-256.5</v>
      </c>
    </row>
    <row r="8" customFormat="false" ht="15" hidden="false" customHeight="false" outlineLevel="0" collapsed="false">
      <c r="A8" s="8" t="n">
        <v>7</v>
      </c>
      <c r="B8" s="13" t="s">
        <v>630</v>
      </c>
      <c r="C8" s="14"/>
      <c r="D8" s="14" t="s">
        <v>262</v>
      </c>
      <c r="E8" s="14" t="n">
        <v>24</v>
      </c>
      <c r="F8" s="15" t="n">
        <v>55.25</v>
      </c>
      <c r="G8" s="16" t="n">
        <f aca="false">E8*F8</f>
        <v>1326</v>
      </c>
      <c r="H8" s="14" t="s">
        <v>626</v>
      </c>
      <c r="I8" s="14" t="s">
        <v>624</v>
      </c>
      <c r="J8" s="17" t="n">
        <v>0.6</v>
      </c>
      <c r="K8" s="18" t="n">
        <f aca="false">1-J8</f>
        <v>0.4</v>
      </c>
      <c r="L8" s="19" t="n">
        <f aca="false">ROUND(E8*J8,0)</f>
        <v>14</v>
      </c>
      <c r="M8" s="19" t="n">
        <f aca="false">E8-L8</f>
        <v>10</v>
      </c>
      <c r="N8" s="16" t="n">
        <f aca="false">G8*J8</f>
        <v>795.6</v>
      </c>
      <c r="O8" s="16" t="n">
        <f aca="false">G8*K8</f>
        <v>530.4</v>
      </c>
      <c r="P8" s="14" t="n">
        <v>0</v>
      </c>
      <c r="Q8" s="14" t="n">
        <v>0</v>
      </c>
      <c r="R8" s="15" t="n">
        <v>200</v>
      </c>
      <c r="S8" s="15" t="n">
        <v>0</v>
      </c>
      <c r="T8" s="16" t="n">
        <f aca="false">IF(H8="High Park",N8,0)-IF(H8="Oakville",O8,0)-R8+S8</f>
        <v>595.6</v>
      </c>
    </row>
    <row r="9" customFormat="false" ht="15" hidden="false" customHeight="false" outlineLevel="0" collapsed="false">
      <c r="A9" s="8" t="n">
        <v>8</v>
      </c>
      <c r="B9" s="13" t="s">
        <v>631</v>
      </c>
      <c r="C9" s="14"/>
      <c r="D9" s="14" t="s">
        <v>250</v>
      </c>
      <c r="E9" s="14" t="n">
        <v>12</v>
      </c>
      <c r="F9" s="15" t="n">
        <v>46.8</v>
      </c>
      <c r="G9" s="16" t="n">
        <f aca="false">E9*F9</f>
        <v>561.6</v>
      </c>
      <c r="H9" s="14" t="s">
        <v>620</v>
      </c>
      <c r="I9" s="14" t="s">
        <v>621</v>
      </c>
      <c r="J9" s="17" t="n">
        <v>0.5</v>
      </c>
      <c r="K9" s="18" t="n">
        <f aca="false">1-J9</f>
        <v>0.5</v>
      </c>
      <c r="L9" s="19" t="n">
        <f aca="false">ROUND(E9*J9,0)</f>
        <v>6</v>
      </c>
      <c r="M9" s="19" t="n">
        <f aca="false">E9-L9</f>
        <v>6</v>
      </c>
      <c r="N9" s="16" t="n">
        <f aca="false">G9*J9</f>
        <v>280.8</v>
      </c>
      <c r="O9" s="16" t="n">
        <f aca="false">G9*K9</f>
        <v>280.8</v>
      </c>
      <c r="P9" s="14" t="n">
        <v>0</v>
      </c>
      <c r="Q9" s="14" t="n">
        <v>0</v>
      </c>
      <c r="R9" s="15" t="n">
        <v>0</v>
      </c>
      <c r="S9" s="15" t="n">
        <v>0</v>
      </c>
      <c r="T9" s="16" t="n">
        <f aca="false">IF(H9="High Park",N9,0)-IF(H9="Oakville",O9,0)-R9+S9</f>
        <v>-280.8</v>
      </c>
    </row>
    <row r="10" customFormat="false" ht="15" hidden="false" customHeight="false" outlineLevel="0" collapsed="false">
      <c r="A10" s="8" t="n">
        <v>9</v>
      </c>
      <c r="B10" s="20"/>
      <c r="C10" s="9"/>
      <c r="D10" s="9"/>
      <c r="E10" s="9"/>
      <c r="F10" s="21"/>
      <c r="G10" s="16" t="n">
        <f aca="false">E10*F10</f>
        <v>0</v>
      </c>
      <c r="H10" s="9"/>
      <c r="I10" s="9"/>
      <c r="J10" s="17" t="n">
        <v>0.5</v>
      </c>
      <c r="K10" s="18" t="n">
        <f aca="false">1-J10</f>
        <v>0.5</v>
      </c>
      <c r="L10" s="19" t="n">
        <f aca="false">ROUND(E10*J10,0)</f>
        <v>0</v>
      </c>
      <c r="M10" s="19" t="n">
        <f aca="false">E10-L10</f>
        <v>0</v>
      </c>
      <c r="N10" s="16" t="n">
        <f aca="false">G10*J10</f>
        <v>0</v>
      </c>
      <c r="O10" s="16" t="n">
        <f aca="false">G10*K10</f>
        <v>0</v>
      </c>
      <c r="P10" s="9"/>
      <c r="Q10" s="9"/>
      <c r="R10" s="21"/>
      <c r="S10" s="21"/>
      <c r="T10" s="16" t="n">
        <f aca="false">IF(H10="High Park",N10,0)-IF(H10="Oakville",O10,0)-R10+S10</f>
        <v>0</v>
      </c>
    </row>
    <row r="11" customFormat="false" ht="15" hidden="false" customHeight="false" outlineLevel="0" collapsed="false">
      <c r="A11" s="8" t="n">
        <v>10</v>
      </c>
      <c r="B11" s="20"/>
      <c r="C11" s="9"/>
      <c r="D11" s="9"/>
      <c r="E11" s="9"/>
      <c r="F11" s="21"/>
      <c r="G11" s="16" t="n">
        <f aca="false">E11*F11</f>
        <v>0</v>
      </c>
      <c r="H11" s="9"/>
      <c r="I11" s="9"/>
      <c r="J11" s="17" t="n">
        <v>0.5</v>
      </c>
      <c r="K11" s="18" t="n">
        <f aca="false">1-J11</f>
        <v>0.5</v>
      </c>
      <c r="L11" s="19" t="n">
        <f aca="false">ROUND(E11*J11,0)</f>
        <v>0</v>
      </c>
      <c r="M11" s="19" t="n">
        <f aca="false">E11-L11</f>
        <v>0</v>
      </c>
      <c r="N11" s="16" t="n">
        <f aca="false">G11*J11</f>
        <v>0</v>
      </c>
      <c r="O11" s="16" t="n">
        <f aca="false">G11*K11</f>
        <v>0</v>
      </c>
      <c r="P11" s="9"/>
      <c r="Q11" s="9"/>
      <c r="R11" s="21"/>
      <c r="S11" s="21"/>
      <c r="T11" s="16" t="n">
        <f aca="false">IF(H11="High Park",N11,0)-IF(H11="Oakville",O11,0)-R11+S11</f>
        <v>0</v>
      </c>
    </row>
    <row r="12" customFormat="false" ht="15" hidden="false" customHeight="false" outlineLevel="0" collapsed="false">
      <c r="A12" s="8" t="n">
        <v>11</v>
      </c>
      <c r="B12" s="20"/>
      <c r="C12" s="9"/>
      <c r="D12" s="9"/>
      <c r="E12" s="9"/>
      <c r="F12" s="21"/>
      <c r="G12" s="16" t="n">
        <f aca="false">E12*F12</f>
        <v>0</v>
      </c>
      <c r="H12" s="9"/>
      <c r="I12" s="9"/>
      <c r="J12" s="17" t="n">
        <v>0.5</v>
      </c>
      <c r="K12" s="18" t="n">
        <f aca="false">1-J12</f>
        <v>0.5</v>
      </c>
      <c r="L12" s="19" t="n">
        <f aca="false">ROUND(E12*J12,0)</f>
        <v>0</v>
      </c>
      <c r="M12" s="19" t="n">
        <f aca="false">E12-L12</f>
        <v>0</v>
      </c>
      <c r="N12" s="16" t="n">
        <f aca="false">G12*J12</f>
        <v>0</v>
      </c>
      <c r="O12" s="16" t="n">
        <f aca="false">G12*K12</f>
        <v>0</v>
      </c>
      <c r="P12" s="9"/>
      <c r="Q12" s="9"/>
      <c r="R12" s="21"/>
      <c r="S12" s="21"/>
      <c r="T12" s="16" t="n">
        <f aca="false">IF(H12="High Park",N12,0)-IF(H12="Oakville",O12,0)-R12+S12</f>
        <v>0</v>
      </c>
    </row>
    <row r="13" customFormat="false" ht="15" hidden="false" customHeight="false" outlineLevel="0" collapsed="false">
      <c r="A13" s="8" t="n">
        <v>12</v>
      </c>
      <c r="B13" s="20"/>
      <c r="C13" s="9"/>
      <c r="D13" s="9"/>
      <c r="E13" s="9"/>
      <c r="F13" s="21"/>
      <c r="G13" s="16" t="n">
        <f aca="false">E13*F13</f>
        <v>0</v>
      </c>
      <c r="H13" s="9"/>
      <c r="I13" s="9"/>
      <c r="J13" s="17" t="n">
        <v>0.5</v>
      </c>
      <c r="K13" s="18" t="n">
        <f aca="false">1-J13</f>
        <v>0.5</v>
      </c>
      <c r="L13" s="19" t="n">
        <f aca="false">ROUND(E13*J13,0)</f>
        <v>0</v>
      </c>
      <c r="M13" s="19" t="n">
        <f aca="false">E13-L13</f>
        <v>0</v>
      </c>
      <c r="N13" s="16" t="n">
        <f aca="false">G13*J13</f>
        <v>0</v>
      </c>
      <c r="O13" s="16" t="n">
        <f aca="false">G13*K13</f>
        <v>0</v>
      </c>
      <c r="P13" s="9"/>
      <c r="Q13" s="9"/>
      <c r="R13" s="21"/>
      <c r="S13" s="21"/>
      <c r="T13" s="16" t="n">
        <f aca="false">IF(H13="High Park",N13,0)-IF(H13="Oakville",O13,0)-R13+S13</f>
        <v>0</v>
      </c>
    </row>
    <row r="14" customFormat="false" ht="15" hidden="false" customHeight="false" outlineLevel="0" collapsed="false">
      <c r="A14" s="8" t="n">
        <v>13</v>
      </c>
      <c r="B14" s="20"/>
      <c r="C14" s="9"/>
      <c r="D14" s="9"/>
      <c r="E14" s="9"/>
      <c r="F14" s="21"/>
      <c r="G14" s="16" t="n">
        <f aca="false">E14*F14</f>
        <v>0</v>
      </c>
      <c r="H14" s="9"/>
      <c r="I14" s="9"/>
      <c r="J14" s="17" t="n">
        <v>0.5</v>
      </c>
      <c r="K14" s="18" t="n">
        <f aca="false">1-J14</f>
        <v>0.5</v>
      </c>
      <c r="L14" s="19" t="n">
        <f aca="false">ROUND(E14*J14,0)</f>
        <v>0</v>
      </c>
      <c r="M14" s="19" t="n">
        <f aca="false">E14-L14</f>
        <v>0</v>
      </c>
      <c r="N14" s="16" t="n">
        <f aca="false">G14*J14</f>
        <v>0</v>
      </c>
      <c r="O14" s="16" t="n">
        <f aca="false">G14*K14</f>
        <v>0</v>
      </c>
      <c r="P14" s="9"/>
      <c r="Q14" s="9"/>
      <c r="R14" s="21"/>
      <c r="S14" s="21"/>
      <c r="T14" s="16" t="n">
        <f aca="false">IF(H14="High Park",N14,0)-IF(H14="Oakville",O14,0)-R14+S14</f>
        <v>0</v>
      </c>
    </row>
    <row r="15" customFormat="false" ht="15" hidden="false" customHeight="false" outlineLevel="0" collapsed="false">
      <c r="A15" s="8" t="n">
        <v>14</v>
      </c>
      <c r="B15" s="20"/>
      <c r="C15" s="9"/>
      <c r="D15" s="9"/>
      <c r="E15" s="9"/>
      <c r="F15" s="21"/>
      <c r="G15" s="16" t="n">
        <f aca="false">E15*F15</f>
        <v>0</v>
      </c>
      <c r="H15" s="9"/>
      <c r="I15" s="9"/>
      <c r="J15" s="17" t="n">
        <v>0.5</v>
      </c>
      <c r="K15" s="18" t="n">
        <f aca="false">1-J15</f>
        <v>0.5</v>
      </c>
      <c r="L15" s="19" t="n">
        <f aca="false">ROUND(E15*J15,0)</f>
        <v>0</v>
      </c>
      <c r="M15" s="19" t="n">
        <f aca="false">E15-L15</f>
        <v>0</v>
      </c>
      <c r="N15" s="16" t="n">
        <f aca="false">G15*J15</f>
        <v>0</v>
      </c>
      <c r="O15" s="16" t="n">
        <f aca="false">G15*K15</f>
        <v>0</v>
      </c>
      <c r="P15" s="9"/>
      <c r="Q15" s="9"/>
      <c r="R15" s="21"/>
      <c r="S15" s="21"/>
      <c r="T15" s="16" t="n">
        <f aca="false">IF(H15="High Park",N15,0)-IF(H15="Oakville",O15,0)-R15+S15</f>
        <v>0</v>
      </c>
    </row>
    <row r="16" customFormat="false" ht="15" hidden="false" customHeight="false" outlineLevel="0" collapsed="false">
      <c r="A16" s="8" t="n">
        <v>15</v>
      </c>
      <c r="B16" s="20"/>
      <c r="C16" s="9"/>
      <c r="D16" s="9"/>
      <c r="E16" s="9"/>
      <c r="F16" s="21"/>
      <c r="G16" s="16" t="n">
        <f aca="false">E16*F16</f>
        <v>0</v>
      </c>
      <c r="H16" s="9"/>
      <c r="I16" s="9"/>
      <c r="J16" s="17" t="n">
        <v>0.5</v>
      </c>
      <c r="K16" s="18" t="n">
        <f aca="false">1-J16</f>
        <v>0.5</v>
      </c>
      <c r="L16" s="19" t="n">
        <f aca="false">ROUND(E16*J16,0)</f>
        <v>0</v>
      </c>
      <c r="M16" s="19" t="n">
        <f aca="false">E16-L16</f>
        <v>0</v>
      </c>
      <c r="N16" s="16" t="n">
        <f aca="false">G16*J16</f>
        <v>0</v>
      </c>
      <c r="O16" s="16" t="n">
        <f aca="false">G16*K16</f>
        <v>0</v>
      </c>
      <c r="P16" s="9"/>
      <c r="Q16" s="9"/>
      <c r="R16" s="21"/>
      <c r="S16" s="21"/>
      <c r="T16" s="16" t="n">
        <f aca="false">IF(H16="High Park",N16,0)-IF(H16="Oakville",O16,0)-R16+S16</f>
        <v>0</v>
      </c>
    </row>
    <row r="17" customFormat="false" ht="15" hidden="false" customHeight="false" outlineLevel="0" collapsed="false">
      <c r="A17" s="8" t="n">
        <v>16</v>
      </c>
      <c r="B17" s="20"/>
      <c r="C17" s="9"/>
      <c r="D17" s="9"/>
      <c r="E17" s="9"/>
      <c r="F17" s="21"/>
      <c r="G17" s="16" t="n">
        <f aca="false">E17*F17</f>
        <v>0</v>
      </c>
      <c r="H17" s="9"/>
      <c r="I17" s="9"/>
      <c r="J17" s="17" t="n">
        <v>0.5</v>
      </c>
      <c r="K17" s="18" t="n">
        <f aca="false">1-J17</f>
        <v>0.5</v>
      </c>
      <c r="L17" s="19" t="n">
        <f aca="false">ROUND(E17*J17,0)</f>
        <v>0</v>
      </c>
      <c r="M17" s="19" t="n">
        <f aca="false">E17-L17</f>
        <v>0</v>
      </c>
      <c r="N17" s="16" t="n">
        <f aca="false">G17*J17</f>
        <v>0</v>
      </c>
      <c r="O17" s="16" t="n">
        <f aca="false">G17*K17</f>
        <v>0</v>
      </c>
      <c r="P17" s="9"/>
      <c r="Q17" s="9"/>
      <c r="R17" s="21"/>
      <c r="S17" s="21"/>
      <c r="T17" s="16" t="n">
        <f aca="false">IF(H17="High Park",N17,0)-IF(H17="Oakville",O17,0)-R17+S17</f>
        <v>0</v>
      </c>
    </row>
    <row r="18" customFormat="false" ht="15" hidden="false" customHeight="false" outlineLevel="0" collapsed="false">
      <c r="A18" s="8" t="n">
        <v>17</v>
      </c>
      <c r="B18" s="20"/>
      <c r="C18" s="9"/>
      <c r="D18" s="9"/>
      <c r="E18" s="9"/>
      <c r="F18" s="21"/>
      <c r="G18" s="16" t="n">
        <f aca="false">E18*F18</f>
        <v>0</v>
      </c>
      <c r="H18" s="9"/>
      <c r="I18" s="9"/>
      <c r="J18" s="17" t="n">
        <v>0.5</v>
      </c>
      <c r="K18" s="18" t="n">
        <f aca="false">1-J18</f>
        <v>0.5</v>
      </c>
      <c r="L18" s="19" t="n">
        <f aca="false">ROUND(E18*J18,0)</f>
        <v>0</v>
      </c>
      <c r="M18" s="19" t="n">
        <f aca="false">E18-L18</f>
        <v>0</v>
      </c>
      <c r="N18" s="16" t="n">
        <f aca="false">G18*J18</f>
        <v>0</v>
      </c>
      <c r="O18" s="16" t="n">
        <f aca="false">G18*K18</f>
        <v>0</v>
      </c>
      <c r="P18" s="9"/>
      <c r="Q18" s="9"/>
      <c r="R18" s="21"/>
      <c r="S18" s="21"/>
      <c r="T18" s="16" t="n">
        <f aca="false">IF(H18="High Park",N18,0)-IF(H18="Oakville",O18,0)-R18+S18</f>
        <v>0</v>
      </c>
    </row>
    <row r="19" customFormat="false" ht="15" hidden="false" customHeight="false" outlineLevel="0" collapsed="false">
      <c r="A19" s="8" t="n">
        <v>18</v>
      </c>
      <c r="B19" s="20"/>
      <c r="C19" s="9"/>
      <c r="D19" s="9"/>
      <c r="E19" s="9"/>
      <c r="F19" s="21"/>
      <c r="G19" s="16" t="n">
        <f aca="false">E19*F19</f>
        <v>0</v>
      </c>
      <c r="H19" s="9"/>
      <c r="I19" s="9"/>
      <c r="J19" s="17" t="n">
        <v>0.5</v>
      </c>
      <c r="K19" s="18" t="n">
        <f aca="false">1-J19</f>
        <v>0.5</v>
      </c>
      <c r="L19" s="19" t="n">
        <f aca="false">ROUND(E19*J19,0)</f>
        <v>0</v>
      </c>
      <c r="M19" s="19" t="n">
        <f aca="false">E19-L19</f>
        <v>0</v>
      </c>
      <c r="N19" s="16" t="n">
        <f aca="false">G19*J19</f>
        <v>0</v>
      </c>
      <c r="O19" s="16" t="n">
        <f aca="false">G19*K19</f>
        <v>0</v>
      </c>
      <c r="P19" s="9"/>
      <c r="Q19" s="9"/>
      <c r="R19" s="21"/>
      <c r="S19" s="21"/>
      <c r="T19" s="16" t="n">
        <f aca="false">IF(H19="High Park",N19,0)-IF(H19="Oakville",O19,0)-R19+S19</f>
        <v>0</v>
      </c>
    </row>
    <row r="20" customFormat="false" ht="15" hidden="false" customHeight="false" outlineLevel="0" collapsed="false">
      <c r="A20" s="8" t="n">
        <v>19</v>
      </c>
      <c r="B20" s="20"/>
      <c r="C20" s="9"/>
      <c r="D20" s="9"/>
      <c r="E20" s="9"/>
      <c r="F20" s="21"/>
      <c r="G20" s="16" t="n">
        <f aca="false">E20*F20</f>
        <v>0</v>
      </c>
      <c r="H20" s="9"/>
      <c r="I20" s="9"/>
      <c r="J20" s="17" t="n">
        <v>0.5</v>
      </c>
      <c r="K20" s="18" t="n">
        <f aca="false">1-J20</f>
        <v>0.5</v>
      </c>
      <c r="L20" s="19" t="n">
        <f aca="false">ROUND(E20*J20,0)</f>
        <v>0</v>
      </c>
      <c r="M20" s="19" t="n">
        <f aca="false">E20-L20</f>
        <v>0</v>
      </c>
      <c r="N20" s="16" t="n">
        <f aca="false">G20*J20</f>
        <v>0</v>
      </c>
      <c r="O20" s="16" t="n">
        <f aca="false">G20*K20</f>
        <v>0</v>
      </c>
      <c r="P20" s="9"/>
      <c r="Q20" s="9"/>
      <c r="R20" s="21"/>
      <c r="S20" s="21"/>
      <c r="T20" s="16" t="n">
        <f aca="false">IF(H20="High Park",N20,0)-IF(H20="Oakville",O20,0)-R20+S20</f>
        <v>0</v>
      </c>
    </row>
    <row r="21" customFormat="false" ht="15" hidden="false" customHeight="false" outlineLevel="0" collapsed="false">
      <c r="A21" s="8" t="n">
        <v>20</v>
      </c>
      <c r="B21" s="20"/>
      <c r="C21" s="9"/>
      <c r="D21" s="9"/>
      <c r="E21" s="9"/>
      <c r="F21" s="21"/>
      <c r="G21" s="16" t="n">
        <f aca="false">E21*F21</f>
        <v>0</v>
      </c>
      <c r="H21" s="9"/>
      <c r="I21" s="9"/>
      <c r="J21" s="17" t="n">
        <v>0.5</v>
      </c>
      <c r="K21" s="18" t="n">
        <f aca="false">1-J21</f>
        <v>0.5</v>
      </c>
      <c r="L21" s="19" t="n">
        <f aca="false">ROUND(E21*J21,0)</f>
        <v>0</v>
      </c>
      <c r="M21" s="19" t="n">
        <f aca="false">E21-L21</f>
        <v>0</v>
      </c>
      <c r="N21" s="16" t="n">
        <f aca="false">G21*J21</f>
        <v>0</v>
      </c>
      <c r="O21" s="16" t="n">
        <f aca="false">G21*K21</f>
        <v>0</v>
      </c>
      <c r="P21" s="9"/>
      <c r="Q21" s="9"/>
      <c r="R21" s="21"/>
      <c r="S21" s="21"/>
      <c r="T21" s="16" t="n">
        <f aca="false">IF(H21="High Park",N21,0)-IF(H21="Oakville",O21,0)-R21+S21</f>
        <v>0</v>
      </c>
    </row>
    <row r="22" customFormat="false" ht="15" hidden="false" customHeight="false" outlineLevel="0" collapsed="false">
      <c r="A22" s="8" t="n">
        <v>21</v>
      </c>
      <c r="B22" s="20"/>
      <c r="C22" s="9"/>
      <c r="D22" s="9"/>
      <c r="E22" s="9"/>
      <c r="F22" s="21"/>
      <c r="G22" s="16" t="n">
        <f aca="false">E22*F22</f>
        <v>0</v>
      </c>
      <c r="H22" s="9"/>
      <c r="I22" s="9"/>
      <c r="J22" s="17" t="n">
        <v>0.5</v>
      </c>
      <c r="K22" s="18" t="n">
        <f aca="false">1-J22</f>
        <v>0.5</v>
      </c>
      <c r="L22" s="19" t="n">
        <f aca="false">ROUND(E22*J22,0)</f>
        <v>0</v>
      </c>
      <c r="M22" s="19" t="n">
        <f aca="false">E22-L22</f>
        <v>0</v>
      </c>
      <c r="N22" s="16" t="n">
        <f aca="false">G22*J22</f>
        <v>0</v>
      </c>
      <c r="O22" s="16" t="n">
        <f aca="false">G22*K22</f>
        <v>0</v>
      </c>
      <c r="P22" s="9"/>
      <c r="Q22" s="9"/>
      <c r="R22" s="21"/>
      <c r="S22" s="21"/>
      <c r="T22" s="16" t="n">
        <f aca="false">IF(H22="High Park",N22,0)-IF(H22="Oakville",O22,0)-R22+S22</f>
        <v>0</v>
      </c>
    </row>
    <row r="23" customFormat="false" ht="15" hidden="false" customHeight="false" outlineLevel="0" collapsed="false">
      <c r="A23" s="8" t="n">
        <v>22</v>
      </c>
      <c r="B23" s="20"/>
      <c r="C23" s="9"/>
      <c r="D23" s="9"/>
      <c r="E23" s="9"/>
      <c r="F23" s="21"/>
      <c r="G23" s="16" t="n">
        <f aca="false">E23*F23</f>
        <v>0</v>
      </c>
      <c r="H23" s="9"/>
      <c r="I23" s="9"/>
      <c r="J23" s="17" t="n">
        <v>0.5</v>
      </c>
      <c r="K23" s="18" t="n">
        <f aca="false">1-J23</f>
        <v>0.5</v>
      </c>
      <c r="L23" s="19" t="n">
        <f aca="false">ROUND(E23*J23,0)</f>
        <v>0</v>
      </c>
      <c r="M23" s="19" t="n">
        <f aca="false">E23-L23</f>
        <v>0</v>
      </c>
      <c r="N23" s="16" t="n">
        <f aca="false">G23*J23</f>
        <v>0</v>
      </c>
      <c r="O23" s="16" t="n">
        <f aca="false">G23*K23</f>
        <v>0</v>
      </c>
      <c r="P23" s="9"/>
      <c r="Q23" s="9"/>
      <c r="R23" s="21"/>
      <c r="S23" s="21"/>
      <c r="T23" s="16" t="n">
        <f aca="false">IF(H23="High Park",N23,0)-IF(H23="Oakville",O23,0)-R23+S23</f>
        <v>0</v>
      </c>
    </row>
    <row r="24" customFormat="false" ht="15" hidden="false" customHeight="false" outlineLevel="0" collapsed="false">
      <c r="A24" s="8" t="n">
        <v>23</v>
      </c>
      <c r="B24" s="20"/>
      <c r="C24" s="9"/>
      <c r="D24" s="9"/>
      <c r="E24" s="9"/>
      <c r="F24" s="21"/>
      <c r="G24" s="16" t="n">
        <f aca="false">E24*F24</f>
        <v>0</v>
      </c>
      <c r="H24" s="9"/>
      <c r="I24" s="9"/>
      <c r="J24" s="17" t="n">
        <v>0.5</v>
      </c>
      <c r="K24" s="18" t="n">
        <f aca="false">1-J24</f>
        <v>0.5</v>
      </c>
      <c r="L24" s="19" t="n">
        <f aca="false">ROUND(E24*J24,0)</f>
        <v>0</v>
      </c>
      <c r="M24" s="19" t="n">
        <f aca="false">E24-L24</f>
        <v>0</v>
      </c>
      <c r="N24" s="16" t="n">
        <f aca="false">G24*J24</f>
        <v>0</v>
      </c>
      <c r="O24" s="16" t="n">
        <f aca="false">G24*K24</f>
        <v>0</v>
      </c>
      <c r="P24" s="9"/>
      <c r="Q24" s="9"/>
      <c r="R24" s="21"/>
      <c r="S24" s="21"/>
      <c r="T24" s="16" t="n">
        <f aca="false">IF(H24="High Park",N24,0)-IF(H24="Oakville",O24,0)-R24+S24</f>
        <v>0</v>
      </c>
    </row>
    <row r="25" customFormat="false" ht="15" hidden="false" customHeight="false" outlineLevel="0" collapsed="false">
      <c r="A25" s="8" t="n">
        <v>24</v>
      </c>
      <c r="B25" s="20"/>
      <c r="C25" s="9"/>
      <c r="D25" s="9"/>
      <c r="E25" s="9"/>
      <c r="F25" s="21"/>
      <c r="G25" s="16" t="n">
        <f aca="false">E25*F25</f>
        <v>0</v>
      </c>
      <c r="H25" s="9"/>
      <c r="I25" s="9"/>
      <c r="J25" s="17" t="n">
        <v>0.5</v>
      </c>
      <c r="K25" s="18" t="n">
        <f aca="false">1-J25</f>
        <v>0.5</v>
      </c>
      <c r="L25" s="19" t="n">
        <f aca="false">ROUND(E25*J25,0)</f>
        <v>0</v>
      </c>
      <c r="M25" s="19" t="n">
        <f aca="false">E25-L25</f>
        <v>0</v>
      </c>
      <c r="N25" s="16" t="n">
        <f aca="false">G25*J25</f>
        <v>0</v>
      </c>
      <c r="O25" s="16" t="n">
        <f aca="false">G25*K25</f>
        <v>0</v>
      </c>
      <c r="P25" s="9"/>
      <c r="Q25" s="9"/>
      <c r="R25" s="21"/>
      <c r="S25" s="21"/>
      <c r="T25" s="16" t="n">
        <f aca="false">IF(H25="High Park",N25,0)-IF(H25="Oakville",O25,0)-R25+S25</f>
        <v>0</v>
      </c>
    </row>
    <row r="26" customFormat="false" ht="15" hidden="false" customHeight="false" outlineLevel="0" collapsed="false">
      <c r="A26" s="8" t="n">
        <v>25</v>
      </c>
      <c r="B26" s="20"/>
      <c r="C26" s="9"/>
      <c r="D26" s="9"/>
      <c r="E26" s="9"/>
      <c r="F26" s="21"/>
      <c r="G26" s="16" t="n">
        <f aca="false">E26*F26</f>
        <v>0</v>
      </c>
      <c r="H26" s="9"/>
      <c r="I26" s="9"/>
      <c r="J26" s="17" t="n">
        <v>0.5</v>
      </c>
      <c r="K26" s="18" t="n">
        <f aca="false">1-J26</f>
        <v>0.5</v>
      </c>
      <c r="L26" s="19" t="n">
        <f aca="false">ROUND(E26*J26,0)</f>
        <v>0</v>
      </c>
      <c r="M26" s="19" t="n">
        <f aca="false">E26-L26</f>
        <v>0</v>
      </c>
      <c r="N26" s="16" t="n">
        <f aca="false">G26*J26</f>
        <v>0</v>
      </c>
      <c r="O26" s="16" t="n">
        <f aca="false">G26*K26</f>
        <v>0</v>
      </c>
      <c r="P26" s="9"/>
      <c r="Q26" s="9"/>
      <c r="R26" s="21"/>
      <c r="S26" s="21"/>
      <c r="T26" s="16" t="n">
        <f aca="false">IF(H26="High Park",N26,0)-IF(H26="Oakville",O26,0)-R26+S26</f>
        <v>0</v>
      </c>
    </row>
    <row r="27" customFormat="false" ht="15" hidden="false" customHeight="false" outlineLevel="0" collapsed="false">
      <c r="A27" s="8" t="n">
        <v>26</v>
      </c>
      <c r="B27" s="20"/>
      <c r="C27" s="9"/>
      <c r="D27" s="9"/>
      <c r="E27" s="9"/>
      <c r="F27" s="21"/>
      <c r="G27" s="16" t="n">
        <f aca="false">E27*F27</f>
        <v>0</v>
      </c>
      <c r="H27" s="9"/>
      <c r="I27" s="9"/>
      <c r="J27" s="17" t="n">
        <v>0.5</v>
      </c>
      <c r="K27" s="18" t="n">
        <f aca="false">1-J27</f>
        <v>0.5</v>
      </c>
      <c r="L27" s="19" t="n">
        <f aca="false">ROUND(E27*J27,0)</f>
        <v>0</v>
      </c>
      <c r="M27" s="19" t="n">
        <f aca="false">E27-L27</f>
        <v>0</v>
      </c>
      <c r="N27" s="16" t="n">
        <f aca="false">G27*J27</f>
        <v>0</v>
      </c>
      <c r="O27" s="16" t="n">
        <f aca="false">G27*K27</f>
        <v>0</v>
      </c>
      <c r="P27" s="9"/>
      <c r="Q27" s="9"/>
      <c r="R27" s="21"/>
      <c r="S27" s="21"/>
      <c r="T27" s="16" t="n">
        <f aca="false">IF(H27="High Park",N27,0)-IF(H27="Oakville",O27,0)-R27+S27</f>
        <v>0</v>
      </c>
    </row>
    <row r="28" customFormat="false" ht="15" hidden="false" customHeight="false" outlineLevel="0" collapsed="false">
      <c r="A28" s="8" t="n">
        <v>27</v>
      </c>
      <c r="B28" s="20"/>
      <c r="C28" s="9"/>
      <c r="D28" s="9"/>
      <c r="E28" s="9"/>
      <c r="F28" s="21"/>
      <c r="G28" s="16" t="n">
        <f aca="false">E28*F28</f>
        <v>0</v>
      </c>
      <c r="H28" s="9"/>
      <c r="I28" s="9"/>
      <c r="J28" s="17" t="n">
        <v>0.5</v>
      </c>
      <c r="K28" s="18" t="n">
        <f aca="false">1-J28</f>
        <v>0.5</v>
      </c>
      <c r="L28" s="19" t="n">
        <f aca="false">ROUND(E28*J28,0)</f>
        <v>0</v>
      </c>
      <c r="M28" s="19" t="n">
        <f aca="false">E28-L28</f>
        <v>0</v>
      </c>
      <c r="N28" s="16" t="n">
        <f aca="false">G28*J28</f>
        <v>0</v>
      </c>
      <c r="O28" s="16" t="n">
        <f aca="false">G28*K28</f>
        <v>0</v>
      </c>
      <c r="P28" s="9"/>
      <c r="Q28" s="9"/>
      <c r="R28" s="21"/>
      <c r="S28" s="21"/>
      <c r="T28" s="16" t="n">
        <f aca="false">IF(H28="High Park",N28,0)-IF(H28="Oakville",O28,0)-R28+S28</f>
        <v>0</v>
      </c>
    </row>
    <row r="29" customFormat="false" ht="15" hidden="false" customHeight="false" outlineLevel="0" collapsed="false">
      <c r="A29" s="8" t="n">
        <v>28</v>
      </c>
      <c r="B29" s="20"/>
      <c r="C29" s="9"/>
      <c r="D29" s="9"/>
      <c r="E29" s="9"/>
      <c r="F29" s="21"/>
      <c r="G29" s="16" t="n">
        <f aca="false">E29*F29</f>
        <v>0</v>
      </c>
      <c r="H29" s="9"/>
      <c r="I29" s="9"/>
      <c r="J29" s="17" t="n">
        <v>0.5</v>
      </c>
      <c r="K29" s="18" t="n">
        <f aca="false">1-J29</f>
        <v>0.5</v>
      </c>
      <c r="L29" s="19" t="n">
        <f aca="false">ROUND(E29*J29,0)</f>
        <v>0</v>
      </c>
      <c r="M29" s="19" t="n">
        <f aca="false">E29-L29</f>
        <v>0</v>
      </c>
      <c r="N29" s="16" t="n">
        <f aca="false">G29*J29</f>
        <v>0</v>
      </c>
      <c r="O29" s="16" t="n">
        <f aca="false">G29*K29</f>
        <v>0</v>
      </c>
      <c r="P29" s="9"/>
      <c r="Q29" s="9"/>
      <c r="R29" s="21"/>
      <c r="S29" s="21"/>
      <c r="T29" s="16" t="n">
        <f aca="false">IF(H29="High Park",N29,0)-IF(H29="Oakville",O29,0)-R29+S29</f>
        <v>0</v>
      </c>
    </row>
    <row r="30" customFormat="false" ht="15" hidden="false" customHeight="false" outlineLevel="0" collapsed="false">
      <c r="A30" s="8" t="n">
        <v>29</v>
      </c>
      <c r="B30" s="20"/>
      <c r="C30" s="9"/>
      <c r="D30" s="9"/>
      <c r="E30" s="9"/>
      <c r="F30" s="21"/>
      <c r="G30" s="16" t="n">
        <f aca="false">E30*F30</f>
        <v>0</v>
      </c>
      <c r="H30" s="9"/>
      <c r="I30" s="9"/>
      <c r="J30" s="17" t="n">
        <v>0.5</v>
      </c>
      <c r="K30" s="18" t="n">
        <f aca="false">1-J30</f>
        <v>0.5</v>
      </c>
      <c r="L30" s="19" t="n">
        <f aca="false">ROUND(E30*J30,0)</f>
        <v>0</v>
      </c>
      <c r="M30" s="19" t="n">
        <f aca="false">E30-L30</f>
        <v>0</v>
      </c>
      <c r="N30" s="16" t="n">
        <f aca="false">G30*J30</f>
        <v>0</v>
      </c>
      <c r="O30" s="16" t="n">
        <f aca="false">G30*K30</f>
        <v>0</v>
      </c>
      <c r="P30" s="9"/>
      <c r="Q30" s="9"/>
      <c r="R30" s="21"/>
      <c r="S30" s="21"/>
      <c r="T30" s="16" t="n">
        <f aca="false">IF(H30="High Park",N30,0)-IF(H30="Oakville",O30,0)-R30+S30</f>
        <v>0</v>
      </c>
    </row>
    <row r="31" customFormat="false" ht="15" hidden="false" customHeight="false" outlineLevel="0" collapsed="false">
      <c r="A31" s="8" t="n">
        <v>30</v>
      </c>
      <c r="B31" s="20"/>
      <c r="C31" s="9"/>
      <c r="D31" s="9"/>
      <c r="E31" s="9"/>
      <c r="F31" s="21"/>
      <c r="G31" s="16" t="n">
        <f aca="false">E31*F31</f>
        <v>0</v>
      </c>
      <c r="H31" s="9"/>
      <c r="I31" s="9"/>
      <c r="J31" s="17" t="n">
        <v>0.5</v>
      </c>
      <c r="K31" s="18" t="n">
        <f aca="false">1-J31</f>
        <v>0.5</v>
      </c>
      <c r="L31" s="19" t="n">
        <f aca="false">ROUND(E31*J31,0)</f>
        <v>0</v>
      </c>
      <c r="M31" s="19" t="n">
        <f aca="false">E31-L31</f>
        <v>0</v>
      </c>
      <c r="N31" s="16" t="n">
        <f aca="false">G31*J31</f>
        <v>0</v>
      </c>
      <c r="O31" s="16" t="n">
        <f aca="false">G31*K31</f>
        <v>0</v>
      </c>
      <c r="P31" s="9"/>
      <c r="Q31" s="9"/>
      <c r="R31" s="21"/>
      <c r="S31" s="21"/>
      <c r="T31" s="16" t="n">
        <f aca="false">IF(H31="High Park",N31,0)-IF(H31="Oakville",O31,0)-R31+S31</f>
        <v>0</v>
      </c>
    </row>
    <row r="32" customFormat="false" ht="15" hidden="false" customHeight="false" outlineLevel="0" collapsed="false">
      <c r="A32" s="8" t="n">
        <v>31</v>
      </c>
      <c r="B32" s="20"/>
      <c r="C32" s="9"/>
      <c r="D32" s="9"/>
      <c r="E32" s="9"/>
      <c r="F32" s="21"/>
      <c r="G32" s="16" t="n">
        <f aca="false">E32*F32</f>
        <v>0</v>
      </c>
      <c r="H32" s="9"/>
      <c r="I32" s="9"/>
      <c r="J32" s="17" t="n">
        <v>0.5</v>
      </c>
      <c r="K32" s="18" t="n">
        <f aca="false">1-J32</f>
        <v>0.5</v>
      </c>
      <c r="L32" s="19" t="n">
        <f aca="false">ROUND(E32*J32,0)</f>
        <v>0</v>
      </c>
      <c r="M32" s="19" t="n">
        <f aca="false">E32-L32</f>
        <v>0</v>
      </c>
      <c r="N32" s="16" t="n">
        <f aca="false">G32*J32</f>
        <v>0</v>
      </c>
      <c r="O32" s="16" t="n">
        <f aca="false">G32*K32</f>
        <v>0</v>
      </c>
      <c r="P32" s="9"/>
      <c r="Q32" s="9"/>
      <c r="R32" s="21"/>
      <c r="S32" s="21"/>
      <c r="T32" s="16" t="n">
        <f aca="false">IF(H32="High Park",N32,0)-IF(H32="Oakville",O32,0)-R32+S32</f>
        <v>0</v>
      </c>
    </row>
    <row r="33" customFormat="false" ht="15" hidden="false" customHeight="false" outlineLevel="0" collapsed="false">
      <c r="A33" s="8" t="n">
        <v>32</v>
      </c>
      <c r="B33" s="20"/>
      <c r="C33" s="9"/>
      <c r="D33" s="9"/>
      <c r="E33" s="9"/>
      <c r="F33" s="21"/>
      <c r="G33" s="16" t="n">
        <f aca="false">E33*F33</f>
        <v>0</v>
      </c>
      <c r="H33" s="9"/>
      <c r="I33" s="9"/>
      <c r="J33" s="17" t="n">
        <v>0.5</v>
      </c>
      <c r="K33" s="18" t="n">
        <f aca="false">1-J33</f>
        <v>0.5</v>
      </c>
      <c r="L33" s="19" t="n">
        <f aca="false">ROUND(E33*J33,0)</f>
        <v>0</v>
      </c>
      <c r="M33" s="19" t="n">
        <f aca="false">E33-L33</f>
        <v>0</v>
      </c>
      <c r="N33" s="16" t="n">
        <f aca="false">G33*J33</f>
        <v>0</v>
      </c>
      <c r="O33" s="16" t="n">
        <f aca="false">G33*K33</f>
        <v>0</v>
      </c>
      <c r="P33" s="9"/>
      <c r="Q33" s="9"/>
      <c r="R33" s="21"/>
      <c r="S33" s="21"/>
      <c r="T33" s="16" t="n">
        <f aca="false">IF(H33="High Park",N33,0)-IF(H33="Oakville",O33,0)-R33+S33</f>
        <v>0</v>
      </c>
    </row>
    <row r="34" customFormat="false" ht="15" hidden="false" customHeight="false" outlineLevel="0" collapsed="false">
      <c r="A34" s="8" t="n">
        <v>33</v>
      </c>
      <c r="B34" s="20"/>
      <c r="C34" s="9"/>
      <c r="D34" s="9"/>
      <c r="E34" s="9"/>
      <c r="F34" s="21"/>
      <c r="G34" s="16" t="n">
        <f aca="false">E34*F34</f>
        <v>0</v>
      </c>
      <c r="H34" s="9"/>
      <c r="I34" s="9"/>
      <c r="J34" s="17" t="n">
        <v>0.5</v>
      </c>
      <c r="K34" s="18" t="n">
        <f aca="false">1-J34</f>
        <v>0.5</v>
      </c>
      <c r="L34" s="19" t="n">
        <f aca="false">ROUND(E34*J34,0)</f>
        <v>0</v>
      </c>
      <c r="M34" s="19" t="n">
        <f aca="false">E34-L34</f>
        <v>0</v>
      </c>
      <c r="N34" s="16" t="n">
        <f aca="false">G34*J34</f>
        <v>0</v>
      </c>
      <c r="O34" s="16" t="n">
        <f aca="false">G34*K34</f>
        <v>0</v>
      </c>
      <c r="P34" s="9"/>
      <c r="Q34" s="9"/>
      <c r="R34" s="21"/>
      <c r="S34" s="21"/>
      <c r="T34" s="16" t="n">
        <f aca="false">IF(H34="High Park",N34,0)-IF(H34="Oakville",O34,0)-R34+S34</f>
        <v>0</v>
      </c>
    </row>
    <row r="35" customFormat="false" ht="15" hidden="false" customHeight="false" outlineLevel="0" collapsed="false">
      <c r="A35" s="8" t="n">
        <v>34</v>
      </c>
      <c r="B35" s="20"/>
      <c r="C35" s="9"/>
      <c r="D35" s="9"/>
      <c r="E35" s="9"/>
      <c r="F35" s="21"/>
      <c r="G35" s="16" t="n">
        <f aca="false">E35*F35</f>
        <v>0</v>
      </c>
      <c r="H35" s="9"/>
      <c r="I35" s="9"/>
      <c r="J35" s="17" t="n">
        <v>0.5</v>
      </c>
      <c r="K35" s="18" t="n">
        <f aca="false">1-J35</f>
        <v>0.5</v>
      </c>
      <c r="L35" s="19" t="n">
        <f aca="false">ROUND(E35*J35,0)</f>
        <v>0</v>
      </c>
      <c r="M35" s="19" t="n">
        <f aca="false">E35-L35</f>
        <v>0</v>
      </c>
      <c r="N35" s="16" t="n">
        <f aca="false">G35*J35</f>
        <v>0</v>
      </c>
      <c r="O35" s="16" t="n">
        <f aca="false">G35*K35</f>
        <v>0</v>
      </c>
      <c r="P35" s="9"/>
      <c r="Q35" s="9"/>
      <c r="R35" s="21"/>
      <c r="S35" s="21"/>
      <c r="T35" s="16" t="n">
        <f aca="false">IF(H35="High Park",N35,0)-IF(H35="Oakville",O35,0)-R35+S35</f>
        <v>0</v>
      </c>
    </row>
    <row r="36" customFormat="false" ht="15" hidden="false" customHeight="false" outlineLevel="0" collapsed="false">
      <c r="A36" s="8" t="n">
        <v>35</v>
      </c>
      <c r="B36" s="20"/>
      <c r="C36" s="9"/>
      <c r="D36" s="9"/>
      <c r="E36" s="9"/>
      <c r="F36" s="21"/>
      <c r="G36" s="16" t="n">
        <f aca="false">E36*F36</f>
        <v>0</v>
      </c>
      <c r="H36" s="9"/>
      <c r="I36" s="9"/>
      <c r="J36" s="17" t="n">
        <v>0.5</v>
      </c>
      <c r="K36" s="18" t="n">
        <f aca="false">1-J36</f>
        <v>0.5</v>
      </c>
      <c r="L36" s="19" t="n">
        <f aca="false">ROUND(E36*J36,0)</f>
        <v>0</v>
      </c>
      <c r="M36" s="19" t="n">
        <f aca="false">E36-L36</f>
        <v>0</v>
      </c>
      <c r="N36" s="16" t="n">
        <f aca="false">G36*J36</f>
        <v>0</v>
      </c>
      <c r="O36" s="16" t="n">
        <f aca="false">G36*K36</f>
        <v>0</v>
      </c>
      <c r="P36" s="9"/>
      <c r="Q36" s="9"/>
      <c r="R36" s="21"/>
      <c r="S36" s="21"/>
      <c r="T36" s="16" t="n">
        <f aca="false">IF(H36="High Park",N36,0)-IF(H36="Oakville",O36,0)-R36+S36</f>
        <v>0</v>
      </c>
    </row>
    <row r="37" customFormat="false" ht="15" hidden="false" customHeight="false" outlineLevel="0" collapsed="false">
      <c r="A37" s="8" t="n">
        <v>36</v>
      </c>
      <c r="B37" s="20"/>
      <c r="C37" s="9"/>
      <c r="D37" s="9"/>
      <c r="E37" s="9"/>
      <c r="F37" s="21"/>
      <c r="G37" s="16" t="n">
        <f aca="false">E37*F37</f>
        <v>0</v>
      </c>
      <c r="H37" s="9"/>
      <c r="I37" s="9"/>
      <c r="J37" s="17" t="n">
        <v>0.5</v>
      </c>
      <c r="K37" s="18" t="n">
        <f aca="false">1-J37</f>
        <v>0.5</v>
      </c>
      <c r="L37" s="19" t="n">
        <f aca="false">ROUND(E37*J37,0)</f>
        <v>0</v>
      </c>
      <c r="M37" s="19" t="n">
        <f aca="false">E37-L37</f>
        <v>0</v>
      </c>
      <c r="N37" s="16" t="n">
        <f aca="false">G37*J37</f>
        <v>0</v>
      </c>
      <c r="O37" s="16" t="n">
        <f aca="false">G37*K37</f>
        <v>0</v>
      </c>
      <c r="P37" s="9"/>
      <c r="Q37" s="9"/>
      <c r="R37" s="21"/>
      <c r="S37" s="21"/>
      <c r="T37" s="16" t="n">
        <f aca="false">IF(H37="High Park",N37,0)-IF(H37="Oakville",O37,0)-R37+S37</f>
        <v>0</v>
      </c>
    </row>
    <row r="38" customFormat="false" ht="15" hidden="false" customHeight="false" outlineLevel="0" collapsed="false">
      <c r="A38" s="8" t="n">
        <v>37</v>
      </c>
      <c r="B38" s="20"/>
      <c r="C38" s="9"/>
      <c r="D38" s="9"/>
      <c r="E38" s="9"/>
      <c r="F38" s="21"/>
      <c r="G38" s="16" t="n">
        <f aca="false">E38*F38</f>
        <v>0</v>
      </c>
      <c r="H38" s="9"/>
      <c r="I38" s="9"/>
      <c r="J38" s="17" t="n">
        <v>0.5</v>
      </c>
      <c r="K38" s="18" t="n">
        <f aca="false">1-J38</f>
        <v>0.5</v>
      </c>
      <c r="L38" s="19" t="n">
        <f aca="false">ROUND(E38*J38,0)</f>
        <v>0</v>
      </c>
      <c r="M38" s="19" t="n">
        <f aca="false">E38-L38</f>
        <v>0</v>
      </c>
      <c r="N38" s="16" t="n">
        <f aca="false">G38*J38</f>
        <v>0</v>
      </c>
      <c r="O38" s="16" t="n">
        <f aca="false">G38*K38</f>
        <v>0</v>
      </c>
      <c r="P38" s="9"/>
      <c r="Q38" s="9"/>
      <c r="R38" s="21"/>
      <c r="S38" s="21"/>
      <c r="T38" s="16" t="n">
        <f aca="false">IF(H38="High Park",N38,0)-IF(H38="Oakville",O38,0)-R38+S38</f>
        <v>0</v>
      </c>
    </row>
    <row r="39" customFormat="false" ht="15" hidden="false" customHeight="false" outlineLevel="0" collapsed="false">
      <c r="A39" s="8" t="n">
        <v>38</v>
      </c>
      <c r="B39" s="20"/>
      <c r="C39" s="9"/>
      <c r="D39" s="9"/>
      <c r="E39" s="9"/>
      <c r="F39" s="21"/>
      <c r="G39" s="16" t="n">
        <f aca="false">E39*F39</f>
        <v>0</v>
      </c>
      <c r="H39" s="9"/>
      <c r="I39" s="9"/>
      <c r="J39" s="17" t="n">
        <v>0.5</v>
      </c>
      <c r="K39" s="18" t="n">
        <f aca="false">1-J39</f>
        <v>0.5</v>
      </c>
      <c r="L39" s="19" t="n">
        <f aca="false">ROUND(E39*J39,0)</f>
        <v>0</v>
      </c>
      <c r="M39" s="19" t="n">
        <f aca="false">E39-L39</f>
        <v>0</v>
      </c>
      <c r="N39" s="16" t="n">
        <f aca="false">G39*J39</f>
        <v>0</v>
      </c>
      <c r="O39" s="16" t="n">
        <f aca="false">G39*K39</f>
        <v>0</v>
      </c>
      <c r="P39" s="9"/>
      <c r="Q39" s="9"/>
      <c r="R39" s="21"/>
      <c r="S39" s="21"/>
      <c r="T39" s="16" t="n">
        <f aca="false">IF(H39="High Park",N39,0)-IF(H39="Oakville",O39,0)-R39+S39</f>
        <v>0</v>
      </c>
    </row>
    <row r="40" customFormat="false" ht="15" hidden="false" customHeight="false" outlineLevel="0" collapsed="false">
      <c r="A40" s="8" t="n">
        <v>39</v>
      </c>
      <c r="B40" s="20"/>
      <c r="C40" s="9"/>
      <c r="D40" s="9"/>
      <c r="E40" s="9"/>
      <c r="F40" s="21"/>
      <c r="G40" s="16" t="n">
        <f aca="false">E40*F40</f>
        <v>0</v>
      </c>
      <c r="H40" s="9"/>
      <c r="I40" s="9"/>
      <c r="J40" s="17" t="n">
        <v>0.5</v>
      </c>
      <c r="K40" s="18" t="n">
        <f aca="false">1-J40</f>
        <v>0.5</v>
      </c>
      <c r="L40" s="19" t="n">
        <f aca="false">ROUND(E40*J40,0)</f>
        <v>0</v>
      </c>
      <c r="M40" s="19" t="n">
        <f aca="false">E40-L40</f>
        <v>0</v>
      </c>
      <c r="N40" s="16" t="n">
        <f aca="false">G40*J40</f>
        <v>0</v>
      </c>
      <c r="O40" s="16" t="n">
        <f aca="false">G40*K40</f>
        <v>0</v>
      </c>
      <c r="P40" s="9"/>
      <c r="Q40" s="9"/>
      <c r="R40" s="21"/>
      <c r="S40" s="21"/>
      <c r="T40" s="16" t="n">
        <f aca="false">IF(H40="High Park",N40,0)-IF(H40="Oakville",O40,0)-R40+S40</f>
        <v>0</v>
      </c>
    </row>
    <row r="41" customFormat="false" ht="15" hidden="false" customHeight="false" outlineLevel="0" collapsed="false">
      <c r="A41" s="8" t="n">
        <v>40</v>
      </c>
      <c r="B41" s="20"/>
      <c r="C41" s="9"/>
      <c r="D41" s="9"/>
      <c r="E41" s="9"/>
      <c r="F41" s="21"/>
      <c r="G41" s="16" t="n">
        <f aca="false">E41*F41</f>
        <v>0</v>
      </c>
      <c r="H41" s="9"/>
      <c r="I41" s="9"/>
      <c r="J41" s="17" t="n">
        <v>0.5</v>
      </c>
      <c r="K41" s="18" t="n">
        <f aca="false">1-J41</f>
        <v>0.5</v>
      </c>
      <c r="L41" s="19" t="n">
        <f aca="false">ROUND(E41*J41,0)</f>
        <v>0</v>
      </c>
      <c r="M41" s="19" t="n">
        <f aca="false">E41-L41</f>
        <v>0</v>
      </c>
      <c r="N41" s="16" t="n">
        <f aca="false">G41*J41</f>
        <v>0</v>
      </c>
      <c r="O41" s="16" t="n">
        <f aca="false">G41*K41</f>
        <v>0</v>
      </c>
      <c r="P41" s="9"/>
      <c r="Q41" s="9"/>
      <c r="R41" s="21"/>
      <c r="S41" s="21"/>
      <c r="T41" s="16" t="n">
        <f aca="false">IF(H41="High Park",N41,0)-IF(H41="Oakville",O41,0)-R41+S41</f>
        <v>0</v>
      </c>
    </row>
    <row r="42" customFormat="false" ht="15" hidden="false" customHeight="false" outlineLevel="0" collapsed="false">
      <c r="A42" s="8" t="n">
        <v>41</v>
      </c>
      <c r="B42" s="20"/>
      <c r="C42" s="9"/>
      <c r="D42" s="9"/>
      <c r="E42" s="9"/>
      <c r="F42" s="21"/>
      <c r="G42" s="16" t="n">
        <f aca="false">E42*F42</f>
        <v>0</v>
      </c>
      <c r="H42" s="9"/>
      <c r="I42" s="9"/>
      <c r="J42" s="17" t="n">
        <v>0.5</v>
      </c>
      <c r="K42" s="18" t="n">
        <f aca="false">1-J42</f>
        <v>0.5</v>
      </c>
      <c r="L42" s="19" t="n">
        <f aca="false">ROUND(E42*J42,0)</f>
        <v>0</v>
      </c>
      <c r="M42" s="19" t="n">
        <f aca="false">E42-L42</f>
        <v>0</v>
      </c>
      <c r="N42" s="16" t="n">
        <f aca="false">G42*J42</f>
        <v>0</v>
      </c>
      <c r="O42" s="16" t="n">
        <f aca="false">G42*K42</f>
        <v>0</v>
      </c>
      <c r="P42" s="9"/>
      <c r="Q42" s="9"/>
      <c r="R42" s="21"/>
      <c r="S42" s="21"/>
      <c r="T42" s="16" t="n">
        <f aca="false">IF(H42="High Park",N42,0)-IF(H42="Oakville",O42,0)-R42+S42</f>
        <v>0</v>
      </c>
    </row>
    <row r="43" customFormat="false" ht="15" hidden="false" customHeight="false" outlineLevel="0" collapsed="false">
      <c r="A43" s="8" t="n">
        <v>42</v>
      </c>
      <c r="B43" s="20"/>
      <c r="C43" s="9"/>
      <c r="D43" s="9"/>
      <c r="E43" s="9"/>
      <c r="F43" s="21"/>
      <c r="G43" s="16" t="n">
        <f aca="false">E43*F43</f>
        <v>0</v>
      </c>
      <c r="H43" s="9"/>
      <c r="I43" s="9"/>
      <c r="J43" s="17" t="n">
        <v>0.5</v>
      </c>
      <c r="K43" s="18" t="n">
        <f aca="false">1-J43</f>
        <v>0.5</v>
      </c>
      <c r="L43" s="19" t="n">
        <f aca="false">ROUND(E43*J43,0)</f>
        <v>0</v>
      </c>
      <c r="M43" s="19" t="n">
        <f aca="false">E43-L43</f>
        <v>0</v>
      </c>
      <c r="N43" s="16" t="n">
        <f aca="false">G43*J43</f>
        <v>0</v>
      </c>
      <c r="O43" s="16" t="n">
        <f aca="false">G43*K43</f>
        <v>0</v>
      </c>
      <c r="P43" s="9"/>
      <c r="Q43" s="9"/>
      <c r="R43" s="21"/>
      <c r="S43" s="21"/>
      <c r="T43" s="16" t="n">
        <f aca="false">IF(H43="High Park",N43,0)-IF(H43="Oakville",O43,0)-R43+S43</f>
        <v>0</v>
      </c>
    </row>
    <row r="44" customFormat="false" ht="15" hidden="false" customHeight="false" outlineLevel="0" collapsed="false">
      <c r="A44" s="8" t="n">
        <v>43</v>
      </c>
      <c r="B44" s="20"/>
      <c r="C44" s="9"/>
      <c r="D44" s="9"/>
      <c r="E44" s="9"/>
      <c r="F44" s="21"/>
      <c r="G44" s="16" t="n">
        <f aca="false">E44*F44</f>
        <v>0</v>
      </c>
      <c r="H44" s="9"/>
      <c r="I44" s="9"/>
      <c r="J44" s="17" t="n">
        <v>0.5</v>
      </c>
      <c r="K44" s="18" t="n">
        <f aca="false">1-J44</f>
        <v>0.5</v>
      </c>
      <c r="L44" s="19" t="n">
        <f aca="false">ROUND(E44*J44,0)</f>
        <v>0</v>
      </c>
      <c r="M44" s="19" t="n">
        <f aca="false">E44-L44</f>
        <v>0</v>
      </c>
      <c r="N44" s="16" t="n">
        <f aca="false">G44*J44</f>
        <v>0</v>
      </c>
      <c r="O44" s="16" t="n">
        <f aca="false">G44*K44</f>
        <v>0</v>
      </c>
      <c r="P44" s="9"/>
      <c r="Q44" s="9"/>
      <c r="R44" s="21"/>
      <c r="S44" s="21"/>
      <c r="T44" s="16" t="n">
        <f aca="false">IF(H44="High Park",N44,0)-IF(H44="Oakville",O44,0)-R44+S44</f>
        <v>0</v>
      </c>
    </row>
    <row r="45" customFormat="false" ht="15" hidden="false" customHeight="false" outlineLevel="0" collapsed="false">
      <c r="A45" s="8" t="n">
        <v>44</v>
      </c>
      <c r="B45" s="20"/>
      <c r="C45" s="9"/>
      <c r="D45" s="9"/>
      <c r="E45" s="9"/>
      <c r="F45" s="21"/>
      <c r="G45" s="16" t="n">
        <f aca="false">E45*F45</f>
        <v>0</v>
      </c>
      <c r="H45" s="9"/>
      <c r="I45" s="9"/>
      <c r="J45" s="17" t="n">
        <v>0.5</v>
      </c>
      <c r="K45" s="18" t="n">
        <f aca="false">1-J45</f>
        <v>0.5</v>
      </c>
      <c r="L45" s="19" t="n">
        <f aca="false">ROUND(E45*J45,0)</f>
        <v>0</v>
      </c>
      <c r="M45" s="19" t="n">
        <f aca="false">E45-L45</f>
        <v>0</v>
      </c>
      <c r="N45" s="16" t="n">
        <f aca="false">G45*J45</f>
        <v>0</v>
      </c>
      <c r="O45" s="16" t="n">
        <f aca="false">G45*K45</f>
        <v>0</v>
      </c>
      <c r="P45" s="9"/>
      <c r="Q45" s="9"/>
      <c r="R45" s="21"/>
      <c r="S45" s="21"/>
      <c r="T45" s="16" t="n">
        <f aca="false">IF(H45="High Park",N45,0)-IF(H45="Oakville",O45,0)-R45+S45</f>
        <v>0</v>
      </c>
    </row>
    <row r="46" customFormat="false" ht="15" hidden="false" customHeight="false" outlineLevel="0" collapsed="false">
      <c r="A46" s="8" t="n">
        <v>45</v>
      </c>
      <c r="B46" s="20"/>
      <c r="C46" s="9"/>
      <c r="D46" s="9"/>
      <c r="E46" s="9"/>
      <c r="F46" s="21"/>
      <c r="G46" s="16" t="n">
        <f aca="false">E46*F46</f>
        <v>0</v>
      </c>
      <c r="H46" s="9"/>
      <c r="I46" s="9"/>
      <c r="J46" s="17" t="n">
        <v>0.5</v>
      </c>
      <c r="K46" s="18" t="n">
        <f aca="false">1-J46</f>
        <v>0.5</v>
      </c>
      <c r="L46" s="19" t="n">
        <f aca="false">ROUND(E46*J46,0)</f>
        <v>0</v>
      </c>
      <c r="M46" s="19" t="n">
        <f aca="false">E46-L46</f>
        <v>0</v>
      </c>
      <c r="N46" s="16" t="n">
        <f aca="false">G46*J46</f>
        <v>0</v>
      </c>
      <c r="O46" s="16" t="n">
        <f aca="false">G46*K46</f>
        <v>0</v>
      </c>
      <c r="P46" s="9"/>
      <c r="Q46" s="9"/>
      <c r="R46" s="21"/>
      <c r="S46" s="21"/>
      <c r="T46" s="16" t="n">
        <f aca="false">IF(H46="High Park",N46,0)-IF(H46="Oakville",O46,0)-R46+S46</f>
        <v>0</v>
      </c>
    </row>
    <row r="47" customFormat="false" ht="15" hidden="false" customHeight="false" outlineLevel="0" collapsed="false">
      <c r="A47" s="8" t="n">
        <v>46</v>
      </c>
      <c r="B47" s="20"/>
      <c r="C47" s="9"/>
      <c r="D47" s="9"/>
      <c r="E47" s="9"/>
      <c r="F47" s="21"/>
      <c r="G47" s="16" t="n">
        <f aca="false">E47*F47</f>
        <v>0</v>
      </c>
      <c r="H47" s="9"/>
      <c r="I47" s="9"/>
      <c r="J47" s="17" t="n">
        <v>0.5</v>
      </c>
      <c r="K47" s="18" t="n">
        <f aca="false">1-J47</f>
        <v>0.5</v>
      </c>
      <c r="L47" s="19" t="n">
        <f aca="false">ROUND(E47*J47,0)</f>
        <v>0</v>
      </c>
      <c r="M47" s="19" t="n">
        <f aca="false">E47-L47</f>
        <v>0</v>
      </c>
      <c r="N47" s="16" t="n">
        <f aca="false">G47*J47</f>
        <v>0</v>
      </c>
      <c r="O47" s="16" t="n">
        <f aca="false">G47*K47</f>
        <v>0</v>
      </c>
      <c r="P47" s="9"/>
      <c r="Q47" s="9"/>
      <c r="R47" s="21"/>
      <c r="S47" s="21"/>
      <c r="T47" s="16" t="n">
        <f aca="false">IF(H47="High Park",N47,0)-IF(H47="Oakville",O47,0)-R47+S47</f>
        <v>0</v>
      </c>
    </row>
    <row r="48" customFormat="false" ht="15" hidden="false" customHeight="false" outlineLevel="0" collapsed="false">
      <c r="A48" s="8" t="n">
        <v>47</v>
      </c>
      <c r="B48" s="20"/>
      <c r="C48" s="9"/>
      <c r="D48" s="9"/>
      <c r="E48" s="9"/>
      <c r="F48" s="21"/>
      <c r="G48" s="16" t="n">
        <f aca="false">E48*F48</f>
        <v>0</v>
      </c>
      <c r="H48" s="9"/>
      <c r="I48" s="9"/>
      <c r="J48" s="17" t="n">
        <v>0.5</v>
      </c>
      <c r="K48" s="18" t="n">
        <f aca="false">1-J48</f>
        <v>0.5</v>
      </c>
      <c r="L48" s="19" t="n">
        <f aca="false">ROUND(E48*J48,0)</f>
        <v>0</v>
      </c>
      <c r="M48" s="19" t="n">
        <f aca="false">E48-L48</f>
        <v>0</v>
      </c>
      <c r="N48" s="16" t="n">
        <f aca="false">G48*J48</f>
        <v>0</v>
      </c>
      <c r="O48" s="16" t="n">
        <f aca="false">G48*K48</f>
        <v>0</v>
      </c>
      <c r="P48" s="9"/>
      <c r="Q48" s="9"/>
      <c r="R48" s="21"/>
      <c r="S48" s="21"/>
      <c r="T48" s="16" t="n">
        <f aca="false">IF(H48="High Park",N48,0)-IF(H48="Oakville",O48,0)-R48+S48</f>
        <v>0</v>
      </c>
    </row>
    <row r="49" customFormat="false" ht="15" hidden="false" customHeight="false" outlineLevel="0" collapsed="false">
      <c r="A49" s="8" t="n">
        <v>48</v>
      </c>
      <c r="B49" s="20"/>
      <c r="C49" s="9"/>
      <c r="D49" s="9"/>
      <c r="E49" s="9"/>
      <c r="F49" s="21"/>
      <c r="G49" s="16" t="n">
        <f aca="false">E49*F49</f>
        <v>0</v>
      </c>
      <c r="H49" s="9"/>
      <c r="I49" s="9"/>
      <c r="J49" s="17" t="n">
        <v>0.5</v>
      </c>
      <c r="K49" s="18" t="n">
        <f aca="false">1-J49</f>
        <v>0.5</v>
      </c>
      <c r="L49" s="19" t="n">
        <f aca="false">ROUND(E49*J49,0)</f>
        <v>0</v>
      </c>
      <c r="M49" s="19" t="n">
        <f aca="false">E49-L49</f>
        <v>0</v>
      </c>
      <c r="N49" s="16" t="n">
        <f aca="false">G49*J49</f>
        <v>0</v>
      </c>
      <c r="O49" s="16" t="n">
        <f aca="false">G49*K49</f>
        <v>0</v>
      </c>
      <c r="P49" s="9"/>
      <c r="Q49" s="9"/>
      <c r="R49" s="21"/>
      <c r="S49" s="21"/>
      <c r="T49" s="16" t="n">
        <f aca="false">IF(H49="High Park",N49,0)-IF(H49="Oakville",O49,0)-R49+S49</f>
        <v>0</v>
      </c>
    </row>
    <row r="50" customFormat="false" ht="15" hidden="false" customHeight="false" outlineLevel="0" collapsed="false">
      <c r="A50" s="8" t="n">
        <v>49</v>
      </c>
      <c r="B50" s="20"/>
      <c r="C50" s="9"/>
      <c r="D50" s="9"/>
      <c r="E50" s="9"/>
      <c r="F50" s="21"/>
      <c r="G50" s="16" t="n">
        <f aca="false">E50*F50</f>
        <v>0</v>
      </c>
      <c r="H50" s="9"/>
      <c r="I50" s="9"/>
      <c r="J50" s="17" t="n">
        <v>0.5</v>
      </c>
      <c r="K50" s="18" t="n">
        <f aca="false">1-J50</f>
        <v>0.5</v>
      </c>
      <c r="L50" s="19" t="n">
        <f aca="false">ROUND(E50*J50,0)</f>
        <v>0</v>
      </c>
      <c r="M50" s="19" t="n">
        <f aca="false">E50-L50</f>
        <v>0</v>
      </c>
      <c r="N50" s="16" t="n">
        <f aca="false">G50*J50</f>
        <v>0</v>
      </c>
      <c r="O50" s="16" t="n">
        <f aca="false">G50*K50</f>
        <v>0</v>
      </c>
      <c r="P50" s="9"/>
      <c r="Q50" s="9"/>
      <c r="R50" s="21"/>
      <c r="S50" s="21"/>
      <c r="T50" s="16" t="n">
        <f aca="false">IF(H50="High Park",N50,0)-IF(H50="Oakville",O50,0)-R50+S50</f>
        <v>0</v>
      </c>
    </row>
    <row r="51" customFormat="false" ht="15" hidden="false" customHeight="false" outlineLevel="0" collapsed="false">
      <c r="A51" s="8" t="n">
        <v>50</v>
      </c>
      <c r="B51" s="20"/>
      <c r="C51" s="9"/>
      <c r="D51" s="9"/>
      <c r="E51" s="9"/>
      <c r="F51" s="21"/>
      <c r="G51" s="16" t="n">
        <f aca="false">E51*F51</f>
        <v>0</v>
      </c>
      <c r="H51" s="9"/>
      <c r="I51" s="9"/>
      <c r="J51" s="17" t="n">
        <v>0.5</v>
      </c>
      <c r="K51" s="18" t="n">
        <f aca="false">1-J51</f>
        <v>0.5</v>
      </c>
      <c r="L51" s="19" t="n">
        <f aca="false">ROUND(E51*J51,0)</f>
        <v>0</v>
      </c>
      <c r="M51" s="19" t="n">
        <f aca="false">E51-L51</f>
        <v>0</v>
      </c>
      <c r="N51" s="16" t="n">
        <f aca="false">G51*J51</f>
        <v>0</v>
      </c>
      <c r="O51" s="16" t="n">
        <f aca="false">G51*K51</f>
        <v>0</v>
      </c>
      <c r="P51" s="9"/>
      <c r="Q51" s="9"/>
      <c r="R51" s="21"/>
      <c r="S51" s="21"/>
      <c r="T51" s="16" t="n">
        <f aca="false">IF(H51="High Park",N51,0)-IF(H51="Oakville",O51,0)-R51+S51</f>
        <v>0</v>
      </c>
    </row>
  </sheetData>
  <dataValidations count="2">
    <dataValidation allowBlank="false" errorStyle="stop" operator="between" showDropDown="false" showErrorMessage="false" showInputMessage="false" sqref="I2:I51" type="list">
      <formula1>"Fixed %,Fixed Units,Usage Ratio"</formula1>
      <formula2>0</formula2>
    </dataValidation>
    <dataValidation allowBlank="false" errorStyle="stop" operator="between" showDropDown="false" showErrorMessage="false" showInputMessage="false" sqref="H2:H51" type="list">
      <formula1>"Oakville,High Park"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632</v>
      </c>
    </row>
    <row r="3" customFormat="false" ht="15" hidden="false" customHeight="false" outlineLevel="0" collapsed="false">
      <c r="A3" s="22" t="s">
        <v>633</v>
      </c>
    </row>
    <row r="4" customFormat="false" ht="15" hidden="false" customHeight="false" outlineLevel="0" collapsed="false">
      <c r="A4" s="3" t="s">
        <v>634</v>
      </c>
      <c r="B4" s="23"/>
    </row>
    <row r="5" customFormat="false" ht="15" hidden="false" customHeight="false" outlineLevel="0" collapsed="false">
      <c r="A5" s="3" t="s">
        <v>635</v>
      </c>
      <c r="B5" s="23"/>
    </row>
    <row r="7" customFormat="false" ht="15" hidden="false" customHeight="false" outlineLevel="0" collapsed="false">
      <c r="A7" s="4" t="s">
        <v>636</v>
      </c>
      <c r="B7" s="4" t="s">
        <v>637</v>
      </c>
    </row>
    <row r="8" customFormat="false" ht="15" hidden="false" customHeight="false" outlineLevel="0" collapsed="false">
      <c r="A8" s="8" t="s">
        <v>638</v>
      </c>
      <c r="B8" s="16" t="n">
        <f aca="false">SUM(SHARED_BULK_LEDGER!G2:G51)</f>
        <v>5262.6</v>
      </c>
    </row>
    <row r="9" customFormat="false" ht="15" hidden="false" customHeight="false" outlineLevel="0" collapsed="false">
      <c r="A9" s="8" t="s">
        <v>639</v>
      </c>
      <c r="B9" s="16" t="n">
        <f aca="false">SUMIF(SHARED_BULK_LEDGER!H2:H51,"Oakville",SHARED_BULK_LEDGER!G2:G51)</f>
        <v>3348.8</v>
      </c>
    </row>
    <row r="10" customFormat="false" ht="15" hidden="false" customHeight="false" outlineLevel="0" collapsed="false">
      <c r="A10" s="8" t="s">
        <v>640</v>
      </c>
      <c r="B10" s="16" t="n">
        <f aca="false">SUMIF(SHARED_BULK_LEDGER!H2:H51,"High Park",SHARED_BULK_LEDGER!G2:G51)</f>
        <v>1913.8</v>
      </c>
    </row>
    <row r="11" customFormat="false" ht="15" hidden="false" customHeight="false" outlineLevel="0" collapsed="false">
      <c r="A11" s="8" t="s">
        <v>641</v>
      </c>
      <c r="B11" s="16" t="n">
        <f aca="false">SUM(SHARED_BULK_LEDGER!N2:N51)</f>
        <v>3008.85</v>
      </c>
    </row>
    <row r="12" customFormat="false" ht="15" hidden="false" customHeight="false" outlineLevel="0" collapsed="false">
      <c r="A12" s="8" t="s">
        <v>642</v>
      </c>
      <c r="B12" s="16" t="n">
        <f aca="false">SUM(SHARED_BULK_LEDGER!O2:O51)</f>
        <v>2253.75</v>
      </c>
    </row>
    <row r="13" customFormat="false" ht="15" hidden="false" customHeight="false" outlineLevel="0" collapsed="false">
      <c r="A13" s="8" t="s">
        <v>643</v>
      </c>
      <c r="B13" s="16" t="n">
        <f aca="false">SUM(SHARED_BULK_LEDGER!R2:R51)</f>
        <v>200</v>
      </c>
    </row>
    <row r="14" customFormat="false" ht="15" hidden="false" customHeight="false" outlineLevel="0" collapsed="false">
      <c r="A14" s="8" t="s">
        <v>644</v>
      </c>
      <c r="B14" s="16" t="n">
        <f aca="false">SUM(SHARED_BULK_LEDGER!S2:S51)</f>
        <v>200</v>
      </c>
    </row>
    <row r="15" customFormat="false" ht="15" hidden="false" customHeight="false" outlineLevel="0" collapsed="false">
      <c r="A15" s="8"/>
      <c r="B15" s="16"/>
    </row>
    <row r="16" customFormat="false" ht="15" hidden="false" customHeight="false" outlineLevel="0" collapsed="false">
      <c r="A16" s="8" t="s">
        <v>645</v>
      </c>
      <c r="B16" s="16" t="n">
        <f aca="false">SUM(SHARED_BULK_LEDGER!T2:T51)</f>
        <v>-339.95</v>
      </c>
    </row>
    <row r="18" customFormat="false" ht="15" hidden="false" customHeight="false" outlineLevel="0" collapsed="false">
      <c r="A18" s="2" t="s">
        <v>646</v>
      </c>
    </row>
    <row r="19" customFormat="false" ht="15" hidden="false" customHeight="false" outlineLevel="0" collapsed="false">
      <c r="A19" s="4" t="s">
        <v>647</v>
      </c>
      <c r="B19" s="4" t="s">
        <v>637</v>
      </c>
    </row>
    <row r="20" customFormat="false" ht="15" hidden="false" customHeight="false" outlineLevel="0" collapsed="false">
      <c r="A20" s="24" t="str">
        <f aca="false">IF(B16&gt;0,"Oakville pays High Park","High Park pays Oakville")</f>
        <v>High Park pays Oakville</v>
      </c>
      <c r="B20" s="25" t="n">
        <f aca="false">ABS(B16)</f>
        <v>339.95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10" min="4" style="0" width="14"/>
  </cols>
  <sheetData>
    <row r="1" customFormat="false" ht="26.8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554</v>
      </c>
      <c r="E1" s="4" t="s">
        <v>495</v>
      </c>
      <c r="F1" s="4" t="s">
        <v>648</v>
      </c>
      <c r="G1" s="4" t="s">
        <v>649</v>
      </c>
      <c r="H1" s="4" t="s">
        <v>650</v>
      </c>
      <c r="I1" s="4" t="s">
        <v>651</v>
      </c>
      <c r="J1" s="4" t="s">
        <v>652</v>
      </c>
    </row>
    <row r="2" customFormat="false" ht="15" hidden="false" customHeight="false" outlineLevel="0" collapsed="false">
      <c r="A2" s="5" t="n">
        <f aca="false">ITEM_MASTER_CLEAN!A2</f>
        <v>1</v>
      </c>
      <c r="B2" s="5" t="n">
        <f aca="false">ITEM_MASTER_CLEAN!B2</f>
        <v>62966</v>
      </c>
      <c r="C2" s="5" t="str">
        <f aca="false">ITEM_MASTER_CLEAN!C2</f>
        <v>9 CAKE WHITE LAYER 8" 24X354G</v>
      </c>
      <c r="D2" s="5" t="str">
        <f aca="false">ITEM_MASTER_CLEAN!E2</f>
        <v>RICH</v>
      </c>
      <c r="E2" s="12" t="n">
        <f aca="false">ITEM_MASTER_CLEAN!F2</f>
        <v>60.84</v>
      </c>
      <c r="F2" s="5" t="n">
        <f aca="false">IF(LowCashMode="ON",LOW_CASH_MODE!L2,REBALANCE_PLAN!Q2)</f>
        <v>24</v>
      </c>
      <c r="G2" s="5" t="n">
        <f aca="false">IF(LowCashMode="ON",LOW_CASH_MODE!M2,REBALANCE_PLAN!R2)</f>
        <v>24</v>
      </c>
      <c r="H2" s="5" t="n">
        <f aca="false">F2+G2</f>
        <v>48</v>
      </c>
      <c r="I2" s="12" t="n">
        <f aca="false">H2*E2</f>
        <v>2920.32</v>
      </c>
      <c r="J2" s="5" t="str">
        <f aca="false">IF(H2=0,"—",IF(LowCashMode="ON",IF(LOW_CASH_MODE!R2="BUY NOW","BUY NOW","DEFER"),IF(REBALANCE_PLAN!M2&lt;&gt;"None","TRANSFER FIRST","BUY")))</f>
        <v>BUY</v>
      </c>
    </row>
    <row r="3" customFormat="false" ht="15" hidden="false" customHeight="false" outlineLevel="0" collapsed="false">
      <c r="A3" s="5" t="n">
        <f aca="false">ITEM_MASTER_CLEAN!A3</f>
        <v>2</v>
      </c>
      <c r="B3" s="5" t="n">
        <f aca="false">ITEM_MASTER_CLEAN!B3</f>
        <v>62967</v>
      </c>
      <c r="C3" s="5" t="str">
        <f aca="false">ITEM_MASTER_CLEAN!C3</f>
        <v>9 CAKE CHOC LAYER 8" 24X354G</v>
      </c>
      <c r="D3" s="5" t="str">
        <f aca="false">ITEM_MASTER_CLEAN!E3</f>
        <v>RICH</v>
      </c>
      <c r="E3" s="12" t="n">
        <f aca="false">ITEM_MASTER_CLEAN!F3</f>
        <v>23.82</v>
      </c>
      <c r="F3" s="5" t="n">
        <f aca="false">IF(LowCashMode="ON",LOW_CASH_MODE!L3,REBALANCE_PLAN!Q3)</f>
        <v>0</v>
      </c>
      <c r="G3" s="5" t="n">
        <f aca="false">IF(LowCashMode="ON",LOW_CASH_MODE!M3,REBALANCE_PLAN!R3)</f>
        <v>24</v>
      </c>
      <c r="H3" s="5" t="n">
        <f aca="false">F3+G3</f>
        <v>24</v>
      </c>
      <c r="I3" s="12" t="n">
        <f aca="false">H3*E3</f>
        <v>571.68</v>
      </c>
      <c r="J3" s="5" t="str">
        <f aca="false">IF(H3=0,"—",IF(LowCashMode="ON",IF(LOW_CASH_MODE!R3="BUY NOW","BUY NOW","DEFER"),IF(REBALANCE_PLAN!M3&lt;&gt;"None","TRANSFER FIRST","BUY")))</f>
        <v>BUY</v>
      </c>
    </row>
    <row r="4" customFormat="false" ht="15" hidden="false" customHeight="false" outlineLevel="0" collapsed="false">
      <c r="A4" s="5" t="n">
        <f aca="false">ITEM_MASTER_CLEAN!A4</f>
        <v>3</v>
      </c>
      <c r="B4" s="5" t="n">
        <f aca="false">ITEM_MASTER_CLEAN!B4</f>
        <v>62963</v>
      </c>
      <c r="C4" s="5" t="str">
        <f aca="false">ITEM_MASTER_CLEAN!C4</f>
        <v>ICING PRE-WHIPPED VANILLA 6.8K</v>
      </c>
      <c r="D4" s="5" t="str">
        <f aca="false">ITEM_MASTER_CLEAN!E4</f>
        <v>RICH</v>
      </c>
      <c r="E4" s="12" t="n">
        <f aca="false">ITEM_MASTER_CLEAN!F4</f>
        <v>54.51</v>
      </c>
      <c r="F4" s="5" t="n">
        <f aca="false">IF(LowCashMode="ON",LOW_CASH_MODE!L4,REBALANCE_PLAN!Q4)</f>
        <v>0</v>
      </c>
      <c r="G4" s="5" t="n">
        <f aca="false">IF(LowCashMode="ON",LOW_CASH_MODE!M4,REBALANCE_PLAN!R4)</f>
        <v>0</v>
      </c>
      <c r="H4" s="5" t="n">
        <f aca="false">F4+G4</f>
        <v>0</v>
      </c>
      <c r="I4" s="12" t="n">
        <f aca="false">H4*E4</f>
        <v>0</v>
      </c>
      <c r="J4" s="5" t="str">
        <f aca="false">IF(H4=0,"—",IF(LowCashMode="ON",IF(LOW_CASH_MODE!R4="BUY NOW","BUY NOW","DEFER"),IF(REBALANCE_PLAN!M4&lt;&gt;"None","TRANSFER FIRST","BUY")))</f>
        <v>—</v>
      </c>
    </row>
    <row r="5" customFormat="false" ht="23.85" hidden="false" customHeight="false" outlineLevel="0" collapsed="false">
      <c r="A5" s="5" t="n">
        <f aca="false">ITEM_MASTER_CLEAN!A5</f>
        <v>4</v>
      </c>
      <c r="B5" s="5" t="n">
        <f aca="false">ITEM_MASTER_CLEAN!B5</f>
        <v>22400</v>
      </c>
      <c r="C5" s="5" t="str">
        <f aca="false">ITEM_MASTER_CLEAN!C5</f>
        <v>LADIP LABEL CHOCOLATE CAKE 1RLX50UN</v>
      </c>
      <c r="D5" s="5" t="str">
        <f aca="false">ITEM_MASTER_CLEAN!E5</f>
        <v>LA DIPERIE</v>
      </c>
      <c r="E5" s="12" t="n">
        <f aca="false">ITEM_MASTER_CLEAN!F5</f>
        <v>19.55</v>
      </c>
      <c r="F5" s="5" t="n">
        <f aca="false">IF(LowCashMode="ON",LOW_CASH_MODE!L5,REBALANCE_PLAN!Q5)</f>
        <v>2</v>
      </c>
      <c r="G5" s="5" t="n">
        <f aca="false">IF(LowCashMode="ON",LOW_CASH_MODE!M5,REBALANCE_PLAN!R5)</f>
        <v>1</v>
      </c>
      <c r="H5" s="5" t="n">
        <f aca="false">F5+G5</f>
        <v>3</v>
      </c>
      <c r="I5" s="12" t="n">
        <f aca="false">H5*E5</f>
        <v>58.65</v>
      </c>
      <c r="J5" s="5" t="str">
        <f aca="false">IF(H5=0,"—",IF(LowCashMode="ON",IF(LOW_CASH_MODE!R5="BUY NOW","BUY NOW","DEFER"),IF(REBALANCE_PLAN!M5&lt;&gt;"None","TRANSFER FIRST","BUY")))</f>
        <v>BUY</v>
      </c>
    </row>
    <row r="6" customFormat="false" ht="15" hidden="false" customHeight="false" outlineLevel="0" collapsed="false">
      <c r="A6" s="5" t="n">
        <f aca="false">ITEM_MASTER_CLEAN!A6</f>
        <v>5</v>
      </c>
      <c r="B6" s="5" t="n">
        <f aca="false">ITEM_MASTER_CLEAN!B6</f>
        <v>22401</v>
      </c>
      <c r="C6" s="5" t="str">
        <f aca="false">ITEM_MASTER_CLEAN!C6</f>
        <v>LADIP LABEL BIRTHDAY CAKE 1RLX50UN</v>
      </c>
      <c r="D6" s="5" t="str">
        <f aca="false">ITEM_MASTER_CLEAN!E6</f>
        <v>LA DIPERIE</v>
      </c>
      <c r="E6" s="12" t="n">
        <f aca="false">ITEM_MASTER_CLEAN!F6</f>
        <v>23.36</v>
      </c>
      <c r="F6" s="5" t="n">
        <f aca="false">IF(LowCashMode="ON",LOW_CASH_MODE!L6,REBALANCE_PLAN!Q6)</f>
        <v>0</v>
      </c>
      <c r="G6" s="5" t="n">
        <f aca="false">IF(LowCashMode="ON",LOW_CASH_MODE!M6,REBALANCE_PLAN!R6)</f>
        <v>0</v>
      </c>
      <c r="H6" s="5" t="n">
        <f aca="false">F6+G6</f>
        <v>0</v>
      </c>
      <c r="I6" s="12" t="n">
        <f aca="false">H6*E6</f>
        <v>0</v>
      </c>
      <c r="J6" s="5" t="str">
        <f aca="false">IF(H6=0,"—",IF(LowCashMode="ON",IF(LOW_CASH_MODE!R6="BUY NOW","BUY NOW","DEFER"),IF(REBALANCE_PLAN!M6&lt;&gt;"None","TRANSFER FIRST","BUY")))</f>
        <v>—</v>
      </c>
    </row>
    <row r="7" customFormat="false" ht="15" hidden="false" customHeight="false" outlineLevel="0" collapsed="false">
      <c r="A7" s="5" t="n">
        <f aca="false">ITEM_MASTER_CLEAN!A7</f>
        <v>6</v>
      </c>
      <c r="B7" s="5" t="n">
        <f aca="false">ITEM_MASTER_CLEAN!B7</f>
        <v>22402</v>
      </c>
      <c r="C7" s="5" t="str">
        <f aca="false">ITEM_MASTER_CLEAN!C7</f>
        <v>LADIP LABEL COOKIE &amp; CREAM CAKE 1RL</v>
      </c>
      <c r="D7" s="5" t="str">
        <f aca="false">ITEM_MASTER_CLEAN!E7</f>
        <v>LA DIPERIE</v>
      </c>
      <c r="E7" s="12" t="n">
        <f aca="false">ITEM_MASTER_CLEAN!F7</f>
        <v>18.46</v>
      </c>
      <c r="F7" s="5" t="n">
        <f aca="false">IF(LowCashMode="ON",LOW_CASH_MODE!L7,REBALANCE_PLAN!Q7)</f>
        <v>1</v>
      </c>
      <c r="G7" s="5" t="n">
        <f aca="false">IF(LowCashMode="ON",LOW_CASH_MODE!M7,REBALANCE_PLAN!R7)</f>
        <v>1</v>
      </c>
      <c r="H7" s="5" t="n">
        <f aca="false">F7+G7</f>
        <v>2</v>
      </c>
      <c r="I7" s="12" t="n">
        <f aca="false">H7*E7</f>
        <v>36.92</v>
      </c>
      <c r="J7" s="5" t="str">
        <f aca="false">IF(H7=0,"—",IF(LowCashMode="ON",IF(LOW_CASH_MODE!R7="BUY NOW","BUY NOW","DEFER"),IF(REBALANCE_PLAN!M7&lt;&gt;"None","TRANSFER FIRST","BUY")))</f>
        <v>BUY</v>
      </c>
    </row>
    <row r="8" customFormat="false" ht="15" hidden="false" customHeight="false" outlineLevel="0" collapsed="false">
      <c r="A8" s="5" t="n">
        <f aca="false">ITEM_MASTER_CLEAN!A8</f>
        <v>7</v>
      </c>
      <c r="B8" s="5" t="n">
        <f aca="false">ITEM_MASTER_CLEAN!B8</f>
        <v>22406</v>
      </c>
      <c r="C8" s="5" t="str">
        <f aca="false">ITEM_MASTER_CLEAN!C8</f>
        <v>LADIP LABEL SALTD CARAMEL CAKE 1RL</v>
      </c>
      <c r="D8" s="5" t="str">
        <f aca="false">ITEM_MASTER_CLEAN!E8</f>
        <v>LA DIPERIE</v>
      </c>
      <c r="E8" s="12" t="n">
        <f aca="false">ITEM_MASTER_CLEAN!F8</f>
        <v>19.63</v>
      </c>
      <c r="F8" s="5" t="n">
        <f aca="false">IF(LowCashMode="ON",LOW_CASH_MODE!L8,REBALANCE_PLAN!Q8)</f>
        <v>0</v>
      </c>
      <c r="G8" s="5" t="n">
        <f aca="false">IF(LowCashMode="ON",LOW_CASH_MODE!M8,REBALANCE_PLAN!R8)</f>
        <v>2</v>
      </c>
      <c r="H8" s="5" t="n">
        <f aca="false">F8+G8</f>
        <v>2</v>
      </c>
      <c r="I8" s="12" t="n">
        <f aca="false">H8*E8</f>
        <v>39.26</v>
      </c>
      <c r="J8" s="5" t="str">
        <f aca="false">IF(H8=0,"—",IF(LowCashMode="ON",IF(LOW_CASH_MODE!R8="BUY NOW","BUY NOW","DEFER"),IF(REBALANCE_PLAN!M8&lt;&gt;"None","TRANSFER FIRST","BUY")))</f>
        <v>BUY</v>
      </c>
    </row>
    <row r="9" customFormat="false" ht="23.85" hidden="false" customHeight="false" outlineLevel="0" collapsed="false">
      <c r="A9" s="5" t="n">
        <f aca="false">ITEM_MASTER_CLEAN!A9</f>
        <v>8</v>
      </c>
      <c r="B9" s="5" t="n">
        <f aca="false">ITEM_MASTER_CLEAN!B9</f>
        <v>22407</v>
      </c>
      <c r="C9" s="5" t="str">
        <f aca="false">ITEM_MASTER_CLEAN!C9</f>
        <v>LADIP LABEL STRABERRY CAKE 1RLX50UN</v>
      </c>
      <c r="D9" s="5" t="str">
        <f aca="false">ITEM_MASTER_CLEAN!E9</f>
        <v>LA DIPERIE</v>
      </c>
      <c r="E9" s="12" t="n">
        <f aca="false">ITEM_MASTER_CLEAN!F9</f>
        <v>22.62</v>
      </c>
      <c r="F9" s="5" t="n">
        <f aca="false">IF(LowCashMode="ON",LOW_CASH_MODE!L9,REBALANCE_PLAN!Q9)</f>
        <v>0</v>
      </c>
      <c r="G9" s="5" t="n">
        <f aca="false">IF(LowCashMode="ON",LOW_CASH_MODE!M9,REBALANCE_PLAN!R9)</f>
        <v>0</v>
      </c>
      <c r="H9" s="5" t="n">
        <f aca="false">F9+G9</f>
        <v>0</v>
      </c>
      <c r="I9" s="12" t="n">
        <f aca="false">H9*E9</f>
        <v>0</v>
      </c>
      <c r="J9" s="5" t="str">
        <f aca="false">IF(H9=0,"—",IF(LowCashMode="ON",IF(LOW_CASH_MODE!R9="BUY NOW","BUY NOW","DEFER"),IF(REBALANCE_PLAN!M9&lt;&gt;"None","TRANSFER FIRST","BUY")))</f>
        <v>—</v>
      </c>
    </row>
    <row r="10" customFormat="false" ht="15" hidden="false" customHeight="false" outlineLevel="0" collapsed="false">
      <c r="A10" s="5" t="n">
        <f aca="false">ITEM_MASTER_CLEAN!A10</f>
        <v>9</v>
      </c>
      <c r="B10" s="5" t="n">
        <f aca="false">ITEM_MASTER_CLEAN!B10</f>
        <v>25800</v>
      </c>
      <c r="C10" s="5" t="str">
        <f aca="false">ITEM_MASTER_CLEAN!C10</f>
        <v>CAKE CARDBOARD 8" BLCK GOLD 100</v>
      </c>
      <c r="D10" s="5" t="str">
        <f aca="false">ITEM_MASTER_CLEAN!E10</f>
        <v>CAPITALE</v>
      </c>
      <c r="E10" s="12" t="n">
        <f aca="false">ITEM_MASTER_CLEAN!F10</f>
        <v>15.99</v>
      </c>
      <c r="F10" s="5" t="n">
        <f aca="false">IF(LowCashMode="ON",LOW_CASH_MODE!L10,REBALANCE_PLAN!Q10)</f>
        <v>0</v>
      </c>
      <c r="G10" s="5" t="n">
        <f aca="false">IF(LowCashMode="ON",LOW_CASH_MODE!M10,REBALANCE_PLAN!R10)</f>
        <v>0</v>
      </c>
      <c r="H10" s="5" t="n">
        <f aca="false">F10+G10</f>
        <v>0</v>
      </c>
      <c r="I10" s="12" t="n">
        <f aca="false">H10*E10</f>
        <v>0</v>
      </c>
      <c r="J10" s="5" t="str">
        <f aca="false">IF(H10=0,"—",IF(LowCashMode="ON",IF(LOW_CASH_MODE!R10="BUY NOW","BUY NOW","DEFER"),IF(REBALANCE_PLAN!M10&lt;&gt;"None","TRANSFER FIRST","BUY")))</f>
        <v>—</v>
      </c>
    </row>
    <row r="11" customFormat="false" ht="15" hidden="false" customHeight="false" outlineLevel="0" collapsed="false">
      <c r="A11" s="5" t="n">
        <f aca="false">ITEM_MASTER_CLEAN!A11</f>
        <v>10</v>
      </c>
      <c r="B11" s="5" t="n">
        <f aca="false">ITEM_MASTER_CLEAN!B11</f>
        <v>25802</v>
      </c>
      <c r="C11" s="5" t="str">
        <f aca="false">ITEM_MASTER_CLEAN!C11</f>
        <v>ACETATE ROLL 3.5"X1250" 4MM 1RL</v>
      </c>
      <c r="D11" s="5" t="str">
        <f aca="false">ITEM_MASTER_CLEAN!E11</f>
        <v>CAPITALE</v>
      </c>
      <c r="E11" s="12" t="n">
        <f aca="false">ITEM_MASTER_CLEAN!F11</f>
        <v>23.42</v>
      </c>
      <c r="F11" s="5" t="n">
        <f aca="false">IF(LowCashMode="ON",LOW_CASH_MODE!L11,REBALANCE_PLAN!Q11)</f>
        <v>0</v>
      </c>
      <c r="G11" s="5" t="n">
        <f aca="false">IF(LowCashMode="ON",LOW_CASH_MODE!M11,REBALANCE_PLAN!R11)</f>
        <v>0</v>
      </c>
      <c r="H11" s="5" t="n">
        <f aca="false">F11+G11</f>
        <v>0</v>
      </c>
      <c r="I11" s="12" t="n">
        <f aca="false">H11*E11</f>
        <v>0</v>
      </c>
      <c r="J11" s="5" t="str">
        <f aca="false">IF(H11=0,"—",IF(LowCashMode="ON",IF(LOW_CASH_MODE!R11="BUY NOW","BUY NOW","DEFER"),IF(REBALANCE_PLAN!M11&lt;&gt;"None","TRANSFER FIRST","BUY")))</f>
        <v>—</v>
      </c>
    </row>
    <row r="12" customFormat="false" ht="15" hidden="false" customHeight="false" outlineLevel="0" collapsed="false">
      <c r="A12" s="5" t="n">
        <f aca="false">ITEM_MASTER_CLEAN!A12</f>
        <v>11</v>
      </c>
      <c r="B12" s="5" t="n">
        <f aca="false">ITEM_MASTER_CLEAN!B12</f>
        <v>19689</v>
      </c>
      <c r="C12" s="5" t="str">
        <f aca="false">ITEM_MASTER_CLEAN!C12</f>
        <v>CAKE CUPCAKE BLACKOUT 8X4UN</v>
      </c>
      <c r="D12" s="5" t="str">
        <f aca="false">ITEM_MASTER_CLEAN!E12</f>
        <v>COV CAKES</v>
      </c>
      <c r="E12" s="12" t="n">
        <f aca="false">ITEM_MASTER_CLEAN!F12</f>
        <v>13.82</v>
      </c>
      <c r="F12" s="5" t="n">
        <f aca="false">IF(LowCashMode="ON",LOW_CASH_MODE!L12,REBALANCE_PLAN!Q12)</f>
        <v>8</v>
      </c>
      <c r="G12" s="5" t="n">
        <f aca="false">IF(LowCashMode="ON",LOW_CASH_MODE!M12,REBALANCE_PLAN!R12)</f>
        <v>8</v>
      </c>
      <c r="H12" s="5" t="n">
        <f aca="false">F12+G12</f>
        <v>16</v>
      </c>
      <c r="I12" s="12" t="n">
        <f aca="false">H12*E12</f>
        <v>221.12</v>
      </c>
      <c r="J12" s="5" t="str">
        <f aca="false">IF(H12=0,"—",IF(LowCashMode="ON",IF(LOW_CASH_MODE!R12="BUY NOW","BUY NOW","DEFER"),IF(REBALANCE_PLAN!M12&lt;&gt;"None","TRANSFER FIRST","BUY")))</f>
        <v>BUY</v>
      </c>
    </row>
    <row r="13" customFormat="false" ht="15" hidden="false" customHeight="false" outlineLevel="0" collapsed="false">
      <c r="A13" s="5" t="n">
        <f aca="false">ITEM_MASTER_CLEAN!A13</f>
        <v>12</v>
      </c>
      <c r="B13" s="5" t="n">
        <f aca="false">ITEM_MASTER_CLEAN!B13</f>
        <v>19692</v>
      </c>
      <c r="C13" s="5" t="str">
        <f aca="false">ITEM_MASTER_CLEAN!C13</f>
        <v>CAKE CUPCAKE RED VELVET 8X4UN</v>
      </c>
      <c r="D13" s="5" t="str">
        <f aca="false">ITEM_MASTER_CLEAN!E13</f>
        <v>COV CAKES</v>
      </c>
      <c r="E13" s="12" t="n">
        <f aca="false">ITEM_MASTER_CLEAN!F13</f>
        <v>21.36</v>
      </c>
      <c r="F13" s="5" t="n">
        <f aca="false">IF(LowCashMode="ON",LOW_CASH_MODE!L13,REBALANCE_PLAN!Q13)</f>
        <v>0</v>
      </c>
      <c r="G13" s="5" t="n">
        <f aca="false">IF(LowCashMode="ON",LOW_CASH_MODE!M13,REBALANCE_PLAN!R13)</f>
        <v>0</v>
      </c>
      <c r="H13" s="5" t="n">
        <f aca="false">F13+G13</f>
        <v>0</v>
      </c>
      <c r="I13" s="12" t="n">
        <f aca="false">H13*E13</f>
        <v>0</v>
      </c>
      <c r="J13" s="5" t="str">
        <f aca="false">IF(H13=0,"—",IF(LowCashMode="ON",IF(LOW_CASH_MODE!R13="BUY NOW","BUY NOW","DEFER"),IF(REBALANCE_PLAN!M13&lt;&gt;"None","TRANSFER FIRST","BUY")))</f>
        <v>—</v>
      </c>
    </row>
    <row r="14" customFormat="false" ht="15" hidden="false" customHeight="false" outlineLevel="0" collapsed="false">
      <c r="A14" s="5" t="n">
        <f aca="false">ITEM_MASTER_CLEAN!A14</f>
        <v>13</v>
      </c>
      <c r="B14" s="5" t="n">
        <f aca="false">ITEM_MASTER_CLEAN!B14</f>
        <v>19693</v>
      </c>
      <c r="C14" s="5" t="str">
        <f aca="false">ITEM_MASTER_CLEAN!C14</f>
        <v>CAKE CUPCAKE VANILLA BEAN 8X4UN</v>
      </c>
      <c r="D14" s="5" t="str">
        <f aca="false">ITEM_MASTER_CLEAN!E14</f>
        <v>COV CAKES</v>
      </c>
      <c r="E14" s="12" t="n">
        <f aca="false">ITEM_MASTER_CLEAN!F14</f>
        <v>17.87</v>
      </c>
      <c r="F14" s="5" t="n">
        <f aca="false">IF(LowCashMode="ON",LOW_CASH_MODE!L14,REBALANCE_PLAN!Q14)</f>
        <v>8</v>
      </c>
      <c r="G14" s="5" t="n">
        <f aca="false">IF(LowCashMode="ON",LOW_CASH_MODE!M14,REBALANCE_PLAN!R14)</f>
        <v>8</v>
      </c>
      <c r="H14" s="5" t="n">
        <f aca="false">F14+G14</f>
        <v>16</v>
      </c>
      <c r="I14" s="12" t="n">
        <f aca="false">H14*E14</f>
        <v>285.92</v>
      </c>
      <c r="J14" s="5" t="str">
        <f aca="false">IF(H14=0,"—",IF(LowCashMode="ON",IF(LOW_CASH_MODE!R14="BUY NOW","BUY NOW","DEFER"),IF(REBALANCE_PLAN!M14&lt;&gt;"None","TRANSFER FIRST","BUY")))</f>
        <v>BUY</v>
      </c>
    </row>
    <row r="15" customFormat="false" ht="15" hidden="false" customHeight="false" outlineLevel="0" collapsed="false">
      <c r="A15" s="5" t="n">
        <f aca="false">ITEM_MASTER_CLEAN!A15</f>
        <v>14</v>
      </c>
      <c r="B15" s="5" t="n">
        <f aca="false">ITEM_MASTER_CLEAN!B15</f>
        <v>19688</v>
      </c>
      <c r="C15" s="5" t="str">
        <f aca="false">ITEM_MASTER_CLEAN!C15</f>
        <v>CAKE CHEESE ORIGINAL 6X6"</v>
      </c>
      <c r="D15" s="5" t="str">
        <f aca="false">ITEM_MASTER_CLEAN!E15</f>
        <v>COV CAKES</v>
      </c>
      <c r="E15" s="12" t="n">
        <f aca="false">ITEM_MASTER_CLEAN!F15</f>
        <v>58</v>
      </c>
      <c r="F15" s="5" t="n">
        <f aca="false">IF(LowCashMode="ON",LOW_CASH_MODE!L15,REBALANCE_PLAN!Q15)</f>
        <v>6</v>
      </c>
      <c r="G15" s="5" t="n">
        <f aca="false">IF(LowCashMode="ON",LOW_CASH_MODE!M15,REBALANCE_PLAN!R15)</f>
        <v>0</v>
      </c>
      <c r="H15" s="5" t="n">
        <f aca="false">F15+G15</f>
        <v>6</v>
      </c>
      <c r="I15" s="12" t="n">
        <f aca="false">H15*E15</f>
        <v>348</v>
      </c>
      <c r="J15" s="5" t="str">
        <f aca="false">IF(H15=0,"—",IF(LowCashMode="ON",IF(LOW_CASH_MODE!R15="BUY NOW","BUY NOW","DEFER"),IF(REBALANCE_PLAN!M15&lt;&gt;"None","TRANSFER FIRST","BUY")))</f>
        <v>BUY</v>
      </c>
    </row>
    <row r="16" customFormat="false" ht="15" hidden="false" customHeight="false" outlineLevel="0" collapsed="false">
      <c r="A16" s="5" t="n">
        <f aca="false">ITEM_MASTER_CLEAN!A16</f>
        <v>15</v>
      </c>
      <c r="B16" s="5" t="n">
        <f aca="false">ITEM_MASTER_CLEAN!B16</f>
        <v>19687</v>
      </c>
      <c r="C16" s="5" t="str">
        <f aca="false">ITEM_MASTER_CLEAN!C16</f>
        <v>CAKE CHEESE WHT CHOC/RASP 6X6"</v>
      </c>
      <c r="D16" s="5" t="str">
        <f aca="false">ITEM_MASTER_CLEAN!E16</f>
        <v>COV CAKES</v>
      </c>
      <c r="E16" s="12" t="n">
        <f aca="false">ITEM_MASTER_CLEAN!F16</f>
        <v>84.7</v>
      </c>
      <c r="F16" s="5" t="n">
        <f aca="false">IF(LowCashMode="ON",LOW_CASH_MODE!L16,REBALANCE_PLAN!Q16)</f>
        <v>6</v>
      </c>
      <c r="G16" s="5" t="n">
        <f aca="false">IF(LowCashMode="ON",LOW_CASH_MODE!M16,REBALANCE_PLAN!R16)</f>
        <v>6</v>
      </c>
      <c r="H16" s="5" t="n">
        <f aca="false">F16+G16</f>
        <v>12</v>
      </c>
      <c r="I16" s="12" t="n">
        <f aca="false">H16*E16</f>
        <v>1016.4</v>
      </c>
      <c r="J16" s="5" t="str">
        <f aca="false">IF(H16=0,"—",IF(LowCashMode="ON",IF(LOW_CASH_MODE!R16="BUY NOW","BUY NOW","DEFER"),IF(REBALANCE_PLAN!M16&lt;&gt;"None","TRANSFER FIRST","BUY")))</f>
        <v>BUY</v>
      </c>
    </row>
    <row r="17" customFormat="false" ht="15" hidden="false" customHeight="false" outlineLevel="0" collapsed="false">
      <c r="A17" s="5" t="n">
        <f aca="false">ITEM_MASTER_CLEAN!A17</f>
        <v>16</v>
      </c>
      <c r="B17" s="5" t="n">
        <f aca="false">ITEM_MASTER_CLEAN!B17</f>
        <v>19685</v>
      </c>
      <c r="C17" s="5" t="str">
        <f aca="false">ITEM_MASTER_CLEAN!C17</f>
        <v>CAKE CHEESE CHOC MOUSSE 6X6"</v>
      </c>
      <c r="D17" s="5" t="str">
        <f aca="false">ITEM_MASTER_CLEAN!E17</f>
        <v>COV CAKES</v>
      </c>
      <c r="E17" s="12" t="n">
        <f aca="false">ITEM_MASTER_CLEAN!F17</f>
        <v>40.56</v>
      </c>
      <c r="F17" s="5" t="n">
        <f aca="false">IF(LowCashMode="ON",LOW_CASH_MODE!L17,REBALANCE_PLAN!Q17)</f>
        <v>6</v>
      </c>
      <c r="G17" s="5" t="n">
        <f aca="false">IF(LowCashMode="ON",LOW_CASH_MODE!M17,REBALANCE_PLAN!R17)</f>
        <v>6</v>
      </c>
      <c r="H17" s="5" t="n">
        <f aca="false">F17+G17</f>
        <v>12</v>
      </c>
      <c r="I17" s="12" t="n">
        <f aca="false">H17*E17</f>
        <v>486.72</v>
      </c>
      <c r="J17" s="5" t="str">
        <f aca="false">IF(H17=0,"—",IF(LowCashMode="ON",IF(LOW_CASH_MODE!R17="BUY NOW","BUY NOW","DEFER"),IF(REBALANCE_PLAN!M17&lt;&gt;"None","TRANSFER FIRST","BUY")))</f>
        <v>BUY</v>
      </c>
    </row>
    <row r="18" customFormat="false" ht="15" hidden="false" customHeight="false" outlineLevel="0" collapsed="false">
      <c r="A18" s="5" t="n">
        <f aca="false">ITEM_MASTER_CLEAN!A18</f>
        <v>17</v>
      </c>
      <c r="B18" s="5" t="n">
        <f aca="false">ITEM_MASTER_CLEAN!B18</f>
        <v>19628</v>
      </c>
      <c r="C18" s="5" t="str">
        <f aca="false">ITEM_MASTER_CLEAN!C18</f>
        <v>CAKE CHEESE CAKE FACTORY 2X14UN</v>
      </c>
      <c r="D18" s="5" t="str">
        <f aca="false">ITEM_MASTER_CLEAN!E18</f>
        <v>C.CAKES CO</v>
      </c>
      <c r="E18" s="12" t="n">
        <f aca="false">ITEM_MASTER_CLEAN!F18</f>
        <v>33.35</v>
      </c>
      <c r="F18" s="5" t="n">
        <f aca="false">IF(LowCashMode="ON",LOW_CASH_MODE!L18,REBALANCE_PLAN!Q18)</f>
        <v>2</v>
      </c>
      <c r="G18" s="5" t="n">
        <f aca="false">IF(LowCashMode="ON",LOW_CASH_MODE!M18,REBALANCE_PLAN!R18)</f>
        <v>2</v>
      </c>
      <c r="H18" s="5" t="n">
        <f aca="false">F18+G18</f>
        <v>4</v>
      </c>
      <c r="I18" s="12" t="n">
        <f aca="false">H18*E18</f>
        <v>133.4</v>
      </c>
      <c r="J18" s="5" t="str">
        <f aca="false">IF(H18=0,"—",IF(LowCashMode="ON",IF(LOW_CASH_MODE!R18="BUY NOW","BUY NOW","DEFER"),IF(REBALANCE_PLAN!M18&lt;&gt;"None","TRANSFER FIRST","BUY")))</f>
        <v>BUY</v>
      </c>
    </row>
    <row r="19" customFormat="false" ht="15" hidden="false" customHeight="false" outlineLevel="0" collapsed="false">
      <c r="A19" s="5" t="n">
        <f aca="false">ITEM_MASTER_CLEAN!A19</f>
        <v>18</v>
      </c>
      <c r="B19" s="5" t="n">
        <f aca="false">ITEM_MASTER_CLEAN!B19</f>
        <v>16992</v>
      </c>
      <c r="C19" s="5" t="str">
        <f aca="false">ITEM_MASTER_CLEAN!C19</f>
        <v>CAKE CHEESE MANGO LIME X2</v>
      </c>
      <c r="D19" s="5" t="str">
        <f aca="false">ITEM_MASTER_CLEAN!E19</f>
        <v>COV CAKES</v>
      </c>
      <c r="E19" s="12" t="n">
        <f aca="false">ITEM_MASTER_CLEAN!F19</f>
        <v>72.45</v>
      </c>
      <c r="F19" s="5" t="n">
        <f aca="false">IF(LowCashMode="ON",LOW_CASH_MODE!L19,REBALANCE_PLAN!Q19)</f>
        <v>2</v>
      </c>
      <c r="G19" s="5" t="n">
        <f aca="false">IF(LowCashMode="ON",LOW_CASH_MODE!M19,REBALANCE_PLAN!R19)</f>
        <v>4</v>
      </c>
      <c r="H19" s="5" t="n">
        <f aca="false">F19+G19</f>
        <v>6</v>
      </c>
      <c r="I19" s="12" t="n">
        <f aca="false">H19*E19</f>
        <v>434.7</v>
      </c>
      <c r="J19" s="5" t="str">
        <f aca="false">IF(H19=0,"—",IF(LowCashMode="ON",IF(LOW_CASH_MODE!R19="BUY NOW","BUY NOW","DEFER"),IF(REBALANCE_PLAN!M19&lt;&gt;"None","TRANSFER FIRST","BUY")))</f>
        <v>BUY</v>
      </c>
    </row>
    <row r="20" customFormat="false" ht="15" hidden="false" customHeight="false" outlineLevel="0" collapsed="false">
      <c r="A20" s="5" t="n">
        <f aca="false">ITEM_MASTER_CLEAN!A20</f>
        <v>19</v>
      </c>
      <c r="B20" s="5" t="n">
        <f aca="false">ITEM_MASTER_CLEAN!B20</f>
        <v>16995</v>
      </c>
      <c r="C20" s="5" t="str">
        <f aca="false">ITEM_MASTER_CLEAN!C20</f>
        <v>CAKE CHEESE CINNABON X2</v>
      </c>
      <c r="D20" s="5" t="str">
        <f aca="false">ITEM_MASTER_CLEAN!E20</f>
        <v>COV CAKES</v>
      </c>
      <c r="E20" s="12" t="n">
        <f aca="false">ITEM_MASTER_CLEAN!F20</f>
        <v>41.11</v>
      </c>
      <c r="F20" s="5" t="n">
        <f aca="false">IF(LowCashMode="ON",LOW_CASH_MODE!L20,REBALANCE_PLAN!Q20)</f>
        <v>0</v>
      </c>
      <c r="G20" s="5" t="n">
        <f aca="false">IF(LowCashMode="ON",LOW_CASH_MODE!M20,REBALANCE_PLAN!R20)</f>
        <v>4</v>
      </c>
      <c r="H20" s="5" t="n">
        <f aca="false">F20+G20</f>
        <v>4</v>
      </c>
      <c r="I20" s="12" t="n">
        <f aca="false">H20*E20</f>
        <v>164.44</v>
      </c>
      <c r="J20" s="5" t="str">
        <f aca="false">IF(H20=0,"—",IF(LowCashMode="ON",IF(LOW_CASH_MODE!R20="BUY NOW","BUY NOW","DEFER"),IF(REBALANCE_PLAN!M20&lt;&gt;"None","TRANSFER FIRST","BUY")))</f>
        <v>BUY</v>
      </c>
    </row>
    <row r="21" customFormat="false" ht="15" hidden="false" customHeight="false" outlineLevel="0" collapsed="false">
      <c r="A21" s="5" t="n">
        <f aca="false">ITEM_MASTER_CLEAN!A21</f>
        <v>20</v>
      </c>
      <c r="B21" s="5" t="n">
        <f aca="false">ITEM_MASTER_CLEAN!B21</f>
        <v>19629</v>
      </c>
      <c r="C21" s="5" t="str">
        <f aca="false">ITEM_MASTER_CLEAN!C21</f>
        <v>CAKE GODIVA DBL CHOC CHEESE 2X28PC</v>
      </c>
      <c r="D21" s="5" t="str">
        <f aca="false">ITEM_MASTER_CLEAN!E21</f>
        <v>C.CAKES</v>
      </c>
      <c r="E21" s="12" t="n">
        <f aca="false">ITEM_MASTER_CLEAN!F21</f>
        <v>29.38</v>
      </c>
      <c r="F21" s="5" t="n">
        <f aca="false">IF(LowCashMode="ON",LOW_CASH_MODE!L21,REBALANCE_PLAN!Q21)</f>
        <v>2</v>
      </c>
      <c r="G21" s="5" t="n">
        <f aca="false">IF(LowCashMode="ON",LOW_CASH_MODE!M21,REBALANCE_PLAN!R21)</f>
        <v>0</v>
      </c>
      <c r="H21" s="5" t="n">
        <f aca="false">F21+G21</f>
        <v>2</v>
      </c>
      <c r="I21" s="12" t="n">
        <f aca="false">H21*E21</f>
        <v>58.76</v>
      </c>
      <c r="J21" s="5" t="str">
        <f aca="false">IF(H21=0,"—",IF(LowCashMode="ON",IF(LOW_CASH_MODE!R21="BUY NOW","BUY NOW","DEFER"),IF(REBALANCE_PLAN!M21&lt;&gt;"None","TRANSFER FIRST","BUY")))</f>
        <v>BUY</v>
      </c>
    </row>
    <row r="22" customFormat="false" ht="15" hidden="false" customHeight="false" outlineLevel="0" collapsed="false">
      <c r="A22" s="5" t="n">
        <f aca="false">ITEM_MASTER_CLEAN!A22</f>
        <v>21</v>
      </c>
      <c r="B22" s="5" t="n">
        <f aca="false">ITEM_MASTER_CLEAN!B22</f>
        <v>16993</v>
      </c>
      <c r="C22" s="5" t="str">
        <f aca="false">ITEM_MASTER_CLEAN!C22</f>
        <v>CAKE CHEESE OREO X2</v>
      </c>
      <c r="D22" s="5" t="str">
        <f aca="false">ITEM_MASTER_CLEAN!E22</f>
        <v>COV CAKES</v>
      </c>
      <c r="E22" s="12" t="n">
        <f aca="false">ITEM_MASTER_CLEAN!F22</f>
        <v>55.72</v>
      </c>
      <c r="F22" s="5" t="n">
        <f aca="false">IF(LowCashMode="ON",LOW_CASH_MODE!L22,REBALANCE_PLAN!Q22)</f>
        <v>2</v>
      </c>
      <c r="G22" s="5" t="n">
        <f aca="false">IF(LowCashMode="ON",LOW_CASH_MODE!M22,REBALANCE_PLAN!R22)</f>
        <v>2</v>
      </c>
      <c r="H22" s="5" t="n">
        <f aca="false">F22+G22</f>
        <v>4</v>
      </c>
      <c r="I22" s="12" t="n">
        <f aca="false">H22*E22</f>
        <v>222.88</v>
      </c>
      <c r="J22" s="5" t="str">
        <f aca="false">IF(H22=0,"—",IF(LowCashMode="ON",IF(LOW_CASH_MODE!R22="BUY NOW","BUY NOW","DEFER"),IF(REBALANCE_PLAN!M22&lt;&gt;"None","TRANSFER FIRST","BUY")))</f>
        <v>BUY</v>
      </c>
    </row>
    <row r="23" customFormat="false" ht="15" hidden="false" customHeight="false" outlineLevel="0" collapsed="false">
      <c r="A23" s="5" t="n">
        <f aca="false">ITEM_MASTER_CLEAN!A23</f>
        <v>22</v>
      </c>
      <c r="B23" s="5" t="n">
        <f aca="false">ITEM_MASTER_CLEAN!B23</f>
        <v>16988</v>
      </c>
      <c r="C23" s="5" t="str">
        <f aca="false">ITEM_MASTER_CLEAN!C23</f>
        <v>CAKE CHEESE BANANA FOSTER X2</v>
      </c>
      <c r="D23" s="5" t="str">
        <f aca="false">ITEM_MASTER_CLEAN!E23</f>
        <v>COV CAKES</v>
      </c>
      <c r="E23" s="12" t="n">
        <f aca="false">ITEM_MASTER_CLEAN!F23</f>
        <v>72.39</v>
      </c>
      <c r="F23" s="5" t="n">
        <f aca="false">IF(LowCashMode="ON",LOW_CASH_MODE!L23,REBALANCE_PLAN!Q23)</f>
        <v>0</v>
      </c>
      <c r="G23" s="5" t="n">
        <f aca="false">IF(LowCashMode="ON",LOW_CASH_MODE!M23,REBALANCE_PLAN!R23)</f>
        <v>2</v>
      </c>
      <c r="H23" s="5" t="n">
        <f aca="false">F23+G23</f>
        <v>2</v>
      </c>
      <c r="I23" s="12" t="n">
        <f aca="false">H23*E23</f>
        <v>144.78</v>
      </c>
      <c r="J23" s="5" t="str">
        <f aca="false">IF(H23=0,"—",IF(LowCashMode="ON",IF(LOW_CASH_MODE!R23="BUY NOW","BUY NOW","DEFER"),IF(REBALANCE_PLAN!M23&lt;&gt;"None","TRANSFER FIRST","BUY")))</f>
        <v>BUY</v>
      </c>
    </row>
    <row r="24" customFormat="false" ht="15" hidden="false" customHeight="false" outlineLevel="0" collapsed="false">
      <c r="A24" s="5" t="n">
        <f aca="false">ITEM_MASTER_CLEAN!A24</f>
        <v>23</v>
      </c>
      <c r="B24" s="5" t="n">
        <f aca="false">ITEM_MASTER_CLEAN!B24</f>
        <v>16987</v>
      </c>
      <c r="C24" s="5" t="str">
        <f aca="false">ITEM_MASTER_CLEAN!C24</f>
        <v>CAKE CHEESE WILD STRWBERRY X2</v>
      </c>
      <c r="D24" s="5" t="str">
        <f aca="false">ITEM_MASTER_CLEAN!E24</f>
        <v>COV CAKES</v>
      </c>
      <c r="E24" s="12" t="n">
        <f aca="false">ITEM_MASTER_CLEAN!F24</f>
        <v>34.11</v>
      </c>
      <c r="F24" s="5" t="n">
        <f aca="false">IF(LowCashMode="ON",LOW_CASH_MODE!L24,REBALANCE_PLAN!Q24)</f>
        <v>2</v>
      </c>
      <c r="G24" s="5" t="n">
        <f aca="false">IF(LowCashMode="ON",LOW_CASH_MODE!M24,REBALANCE_PLAN!R24)</f>
        <v>4</v>
      </c>
      <c r="H24" s="5" t="n">
        <f aca="false">F24+G24</f>
        <v>6</v>
      </c>
      <c r="I24" s="12" t="n">
        <f aca="false">H24*E24</f>
        <v>204.66</v>
      </c>
      <c r="J24" s="5" t="str">
        <f aca="false">IF(H24=0,"—",IF(LowCashMode="ON",IF(LOW_CASH_MODE!R24="BUY NOW","BUY NOW","DEFER"),IF(REBALANCE_PLAN!M24&lt;&gt;"None","TRANSFER FIRST","BUY")))</f>
        <v>BUY</v>
      </c>
    </row>
    <row r="25" customFormat="false" ht="15" hidden="false" customHeight="false" outlineLevel="0" collapsed="false">
      <c r="A25" s="5" t="n">
        <f aca="false">ITEM_MASTER_CLEAN!A25</f>
        <v>24</v>
      </c>
      <c r="B25" s="5" t="n">
        <f aca="false">ITEM_MASTER_CLEAN!B25</f>
        <v>16994</v>
      </c>
      <c r="C25" s="5" t="str">
        <f aca="false">ITEM_MASTER_CLEAN!C25</f>
        <v>CAKE CHEESE DULCE DE LECHE X2</v>
      </c>
      <c r="D25" s="5" t="str">
        <f aca="false">ITEM_MASTER_CLEAN!E25</f>
        <v>COV CAKES</v>
      </c>
      <c r="E25" s="12" t="n">
        <f aca="false">ITEM_MASTER_CLEAN!F25</f>
        <v>31.36</v>
      </c>
      <c r="F25" s="5" t="n">
        <f aca="false">IF(LowCashMode="ON",LOW_CASH_MODE!L25,REBALANCE_PLAN!Q25)</f>
        <v>0</v>
      </c>
      <c r="G25" s="5" t="n">
        <f aca="false">IF(LowCashMode="ON",LOW_CASH_MODE!M25,REBALANCE_PLAN!R25)</f>
        <v>2</v>
      </c>
      <c r="H25" s="5" t="n">
        <f aca="false">F25+G25</f>
        <v>2</v>
      </c>
      <c r="I25" s="12" t="n">
        <f aca="false">H25*E25</f>
        <v>62.72</v>
      </c>
      <c r="J25" s="5" t="str">
        <f aca="false">IF(H25=0,"—",IF(LowCashMode="ON",IF(LOW_CASH_MODE!R25="BUY NOW","BUY NOW","DEFER"),IF(REBALANCE_PLAN!M25&lt;&gt;"None","TRANSFER FIRST","BUY")))</f>
        <v>BUY</v>
      </c>
    </row>
    <row r="26" customFormat="false" ht="15" hidden="false" customHeight="false" outlineLevel="0" collapsed="false">
      <c r="A26" s="5" t="n">
        <f aca="false">ITEM_MASTER_CLEAN!A26</f>
        <v>25</v>
      </c>
      <c r="B26" s="5" t="n">
        <f aca="false">ITEM_MASTER_CLEAN!B26</f>
        <v>19694</v>
      </c>
      <c r="C26" s="5" t="str">
        <f aca="false">ITEM_MASTER_CLEAN!C26</f>
        <v>CAKE REESE P.BUTTER CHOC 2X28PC</v>
      </c>
      <c r="D26" s="5" t="str">
        <f aca="false">ITEM_MASTER_CLEAN!E26</f>
        <v>COV CAKES</v>
      </c>
      <c r="E26" s="12" t="n">
        <f aca="false">ITEM_MASTER_CLEAN!F26</f>
        <v>51.07</v>
      </c>
      <c r="F26" s="5" t="n">
        <f aca="false">IF(LowCashMode="ON",LOW_CASH_MODE!L26,REBALANCE_PLAN!Q26)</f>
        <v>2</v>
      </c>
      <c r="G26" s="5" t="n">
        <f aca="false">IF(LowCashMode="ON",LOW_CASH_MODE!M26,REBALANCE_PLAN!R26)</f>
        <v>2</v>
      </c>
      <c r="H26" s="5" t="n">
        <f aca="false">F26+G26</f>
        <v>4</v>
      </c>
      <c r="I26" s="12" t="n">
        <f aca="false">H26*E26</f>
        <v>204.28</v>
      </c>
      <c r="J26" s="5" t="str">
        <f aca="false">IF(H26=0,"—",IF(LowCashMode="ON",IF(LOW_CASH_MODE!R26="BUY NOW","BUY NOW","DEFER"),IF(REBALANCE_PLAN!M26&lt;&gt;"None","TRANSFER FIRST","BUY")))</f>
        <v>BUY</v>
      </c>
    </row>
    <row r="27" customFormat="false" ht="15" hidden="false" customHeight="false" outlineLevel="0" collapsed="false">
      <c r="A27" s="5" t="n">
        <f aca="false">ITEM_MASTER_CLEAN!A27</f>
        <v>26</v>
      </c>
      <c r="B27" s="5" t="n">
        <f aca="false">ITEM_MASTER_CLEAN!B27</f>
        <v>16991</v>
      </c>
      <c r="C27" s="5" t="str">
        <f aca="false">ITEM_MASTER_CLEAN!C27</f>
        <v>CAKE CHEESE RED VELVET X2</v>
      </c>
      <c r="D27" s="5" t="str">
        <f aca="false">ITEM_MASTER_CLEAN!E27</f>
        <v>COV CAKES</v>
      </c>
      <c r="E27" s="12" t="n">
        <f aca="false">ITEM_MASTER_CLEAN!F27</f>
        <v>52.5</v>
      </c>
      <c r="F27" s="5" t="n">
        <f aca="false">IF(LowCashMode="ON",LOW_CASH_MODE!L27,REBALANCE_PLAN!Q27)</f>
        <v>2</v>
      </c>
      <c r="G27" s="5" t="n">
        <f aca="false">IF(LowCashMode="ON",LOW_CASH_MODE!M27,REBALANCE_PLAN!R27)</f>
        <v>2</v>
      </c>
      <c r="H27" s="5" t="n">
        <f aca="false">F27+G27</f>
        <v>4</v>
      </c>
      <c r="I27" s="12" t="n">
        <f aca="false">H27*E27</f>
        <v>210</v>
      </c>
      <c r="J27" s="5" t="str">
        <f aca="false">IF(H27=0,"—",IF(LowCashMode="ON",IF(LOW_CASH_MODE!R27="BUY NOW","BUY NOW","DEFER"),IF(REBALANCE_PLAN!M27&lt;&gt;"None","TRANSFER FIRST","BUY")))</f>
        <v>BUY</v>
      </c>
    </row>
    <row r="28" customFormat="false" ht="15" hidden="false" customHeight="false" outlineLevel="0" collapsed="false">
      <c r="A28" s="5" t="n">
        <f aca="false">ITEM_MASTER_CLEAN!A28</f>
        <v>27</v>
      </c>
      <c r="B28" s="5" t="n">
        <f aca="false">ITEM_MASTER_CLEAN!B28</f>
        <v>16989</v>
      </c>
      <c r="C28" s="5" t="str">
        <f aca="false">ITEM_MASTER_CLEAN!C28</f>
        <v>CAKE CHEESE TUXEDO MOUSSE X2</v>
      </c>
      <c r="D28" s="5" t="str">
        <f aca="false">ITEM_MASTER_CLEAN!E28</f>
        <v>COV CAKES</v>
      </c>
      <c r="E28" s="12" t="n">
        <f aca="false">ITEM_MASTER_CLEAN!F28</f>
        <v>73.62</v>
      </c>
      <c r="F28" s="5" t="n">
        <f aca="false">IF(LowCashMode="ON",LOW_CASH_MODE!L28,REBALANCE_PLAN!Q28)</f>
        <v>0</v>
      </c>
      <c r="G28" s="5" t="n">
        <f aca="false">IF(LowCashMode="ON",LOW_CASH_MODE!M28,REBALANCE_PLAN!R28)</f>
        <v>2</v>
      </c>
      <c r="H28" s="5" t="n">
        <f aca="false">F28+G28</f>
        <v>2</v>
      </c>
      <c r="I28" s="12" t="n">
        <f aca="false">H28*E28</f>
        <v>147.24</v>
      </c>
      <c r="J28" s="5" t="str">
        <f aca="false">IF(H28=0,"—",IF(LowCashMode="ON",IF(LOW_CASH_MODE!R28="BUY NOW","BUY NOW","DEFER"),IF(REBALANCE_PLAN!M28&lt;&gt;"None","TRANSFER FIRST","BUY")))</f>
        <v>BUY</v>
      </c>
    </row>
    <row r="29" customFormat="false" ht="15" hidden="false" customHeight="false" outlineLevel="0" collapsed="false">
      <c r="A29" s="5" t="n">
        <f aca="false">ITEM_MASTER_CLEAN!A29</f>
        <v>28</v>
      </c>
      <c r="B29" s="5" t="n">
        <f aca="false">ITEM_MASTER_CLEAN!B29</f>
        <v>19630</v>
      </c>
      <c r="C29" s="5" t="str">
        <f aca="false">ITEM_MASTER_CLEAN!C29</f>
        <v>CAKE WHITE CHOC RSPBRY CHEESE X2</v>
      </c>
      <c r="D29" s="5" t="str">
        <f aca="false">ITEM_MASTER_CLEAN!E29</f>
        <v>C.CAKES</v>
      </c>
      <c r="E29" s="12" t="n">
        <f aca="false">ITEM_MASTER_CLEAN!F29</f>
        <v>37.08</v>
      </c>
      <c r="F29" s="5" t="n">
        <f aca="false">IF(LowCashMode="ON",LOW_CASH_MODE!L29,REBALANCE_PLAN!Q29)</f>
        <v>0</v>
      </c>
      <c r="G29" s="5" t="n">
        <f aca="false">IF(LowCashMode="ON",LOW_CASH_MODE!M29,REBALANCE_PLAN!R29)</f>
        <v>0</v>
      </c>
      <c r="H29" s="5" t="n">
        <f aca="false">F29+G29</f>
        <v>0</v>
      </c>
      <c r="I29" s="12" t="n">
        <f aca="false">H29*E29</f>
        <v>0</v>
      </c>
      <c r="J29" s="5" t="str">
        <f aca="false">IF(H29=0,"—",IF(LowCashMode="ON",IF(LOW_CASH_MODE!R29="BUY NOW","BUY NOW","DEFER"),IF(REBALANCE_PLAN!M29&lt;&gt;"None","TRANSFER FIRST","BUY")))</f>
        <v>—</v>
      </c>
    </row>
    <row r="30" customFormat="false" ht="15" hidden="false" customHeight="false" outlineLevel="0" collapsed="false">
      <c r="A30" s="5" t="n">
        <f aca="false">ITEM_MASTER_CLEAN!A30</f>
        <v>29</v>
      </c>
      <c r="B30" s="5" t="n">
        <f aca="false">ITEM_MASTER_CLEAN!B30</f>
        <v>44985</v>
      </c>
      <c r="C30" s="5" t="str">
        <f aca="false">ITEM_MASTER_CLEAN!C30</f>
        <v>BISC DOUGH OREO V-VIT0013V 5K</v>
      </c>
      <c r="D30" s="5" t="str">
        <f aca="false">ITEM_MASTER_CLEAN!E30</f>
        <v>VITACUIRE</v>
      </c>
      <c r="E30" s="12" t="n">
        <f aca="false">ITEM_MASTER_CLEAN!F30</f>
        <v>53.51</v>
      </c>
      <c r="F30" s="5" t="n">
        <f aca="false">IF(LowCashMode="ON",LOW_CASH_MODE!L30,REBALANCE_PLAN!Q30)</f>
        <v>9</v>
      </c>
      <c r="G30" s="5" t="n">
        <f aca="false">IF(LowCashMode="ON",LOW_CASH_MODE!M30,REBALANCE_PLAN!R30)</f>
        <v>2</v>
      </c>
      <c r="H30" s="5" t="n">
        <f aca="false">F30+G30</f>
        <v>11</v>
      </c>
      <c r="I30" s="12" t="n">
        <f aca="false">H30*E30</f>
        <v>588.61</v>
      </c>
      <c r="J30" s="5" t="str">
        <f aca="false">IF(H30=0,"—",IF(LowCashMode="ON",IF(LOW_CASH_MODE!R30="BUY NOW","BUY NOW","DEFER"),IF(REBALANCE_PLAN!M30&lt;&gt;"None","TRANSFER FIRST","BUY")))</f>
        <v>BUY</v>
      </c>
    </row>
    <row r="31" customFormat="false" ht="15" hidden="false" customHeight="false" outlineLevel="0" collapsed="false">
      <c r="A31" s="5" t="n">
        <f aca="false">ITEM_MASTER_CLEAN!A31</f>
        <v>30</v>
      </c>
      <c r="B31" s="5" t="n">
        <f aca="false">ITEM_MASTER_CLEAN!B31</f>
        <v>44961</v>
      </c>
      <c r="C31" s="5" t="str">
        <f aca="false">ITEM_MASTER_CLEAN!C31</f>
        <v>BISC DOUGH BLK CHOCO MED SWEET 5K</v>
      </c>
      <c r="D31" s="5" t="str">
        <f aca="false">ITEM_MASTER_CLEAN!E31</f>
        <v>VITACUIRE</v>
      </c>
      <c r="E31" s="12" t="n">
        <f aca="false">ITEM_MASTER_CLEAN!F31</f>
        <v>59.96</v>
      </c>
      <c r="F31" s="5" t="n">
        <f aca="false">IF(LowCashMode="ON",LOW_CASH_MODE!L31,REBALANCE_PLAN!Q31)</f>
        <v>5</v>
      </c>
      <c r="G31" s="5" t="n">
        <f aca="false">IF(LowCashMode="ON",LOW_CASH_MODE!M31,REBALANCE_PLAN!R31)</f>
        <v>5</v>
      </c>
      <c r="H31" s="5" t="n">
        <f aca="false">F31+G31</f>
        <v>10</v>
      </c>
      <c r="I31" s="12" t="n">
        <f aca="false">H31*E31</f>
        <v>599.6</v>
      </c>
      <c r="J31" s="5" t="str">
        <f aca="false">IF(H31=0,"—",IF(LowCashMode="ON",IF(LOW_CASH_MODE!R31="BUY NOW","BUY NOW","DEFER"),IF(REBALANCE_PLAN!M31&lt;&gt;"None","TRANSFER FIRST","BUY")))</f>
        <v>BUY</v>
      </c>
    </row>
    <row r="32" customFormat="false" ht="15" hidden="false" customHeight="false" outlineLevel="0" collapsed="false">
      <c r="A32" s="5" t="n">
        <f aca="false">ITEM_MASTER_CLEAN!A32</f>
        <v>31</v>
      </c>
      <c r="B32" s="5" t="n">
        <f aca="false">ITEM_MASTER_CLEAN!B32</f>
        <v>44962</v>
      </c>
      <c r="C32" s="5" t="str">
        <f aca="false">ITEM_MASTER_CLEAN!C32</f>
        <v>BISC DOUGH DBL CHOCO PAIL 5K</v>
      </c>
      <c r="D32" s="5" t="str">
        <f aca="false">ITEM_MASTER_CLEAN!E32</f>
        <v>VITACUIRE</v>
      </c>
      <c r="E32" s="12" t="n">
        <f aca="false">ITEM_MASTER_CLEAN!F32</f>
        <v>12.58</v>
      </c>
      <c r="F32" s="5" t="n">
        <f aca="false">IF(LowCashMode="ON",LOW_CASH_MODE!L32,REBALANCE_PLAN!Q32)</f>
        <v>3</v>
      </c>
      <c r="G32" s="5" t="n">
        <f aca="false">IF(LowCashMode="ON",LOW_CASH_MODE!M32,REBALANCE_PLAN!R32)</f>
        <v>1</v>
      </c>
      <c r="H32" s="5" t="n">
        <f aca="false">F32+G32</f>
        <v>4</v>
      </c>
      <c r="I32" s="12" t="n">
        <f aca="false">H32*E32</f>
        <v>50.32</v>
      </c>
      <c r="J32" s="5" t="str">
        <f aca="false">IF(H32=0,"—",IF(LowCashMode="ON",IF(LOW_CASH_MODE!R32="BUY NOW","BUY NOW","DEFER"),IF(REBALANCE_PLAN!M32&lt;&gt;"None","TRANSFER FIRST","BUY")))</f>
        <v>BUY</v>
      </c>
    </row>
    <row r="33" customFormat="false" ht="15" hidden="false" customHeight="false" outlineLevel="0" collapsed="false">
      <c r="A33" s="5" t="n">
        <f aca="false">ITEM_MASTER_CLEAN!A33</f>
        <v>32</v>
      </c>
      <c r="B33" s="5" t="n">
        <f aca="false">ITEM_MASTER_CLEAN!B33</f>
        <v>63927</v>
      </c>
      <c r="C33" s="5" t="str">
        <f aca="false">ITEM_MASTER_CLEAN!C33</f>
        <v>Bisc PUCK Dbl Choc 160x2oz</v>
      </c>
      <c r="D33" s="5" t="str">
        <f aca="false">ITEM_MASTER_CLEAN!E33</f>
        <v>ARYZTA</v>
      </c>
      <c r="E33" s="12" t="n">
        <f aca="false">ITEM_MASTER_CLEAN!F33</f>
        <v>68.6</v>
      </c>
      <c r="F33" s="5" t="n">
        <f aca="false">IF(LowCashMode="ON",LOW_CASH_MODE!L33,REBALANCE_PLAN!Q33)</f>
        <v>160</v>
      </c>
      <c r="G33" s="5" t="n">
        <f aca="false">IF(LowCashMode="ON",LOW_CASH_MODE!M33,REBALANCE_PLAN!R33)</f>
        <v>160</v>
      </c>
      <c r="H33" s="5" t="n">
        <f aca="false">F33+G33</f>
        <v>320</v>
      </c>
      <c r="I33" s="12" t="n">
        <f aca="false">H33*E33</f>
        <v>21952</v>
      </c>
      <c r="J33" s="5" t="str">
        <f aca="false">IF(H33=0,"—",IF(LowCashMode="ON",IF(LOW_CASH_MODE!R33="BUY NOW","BUY NOW","DEFER"),IF(REBALANCE_PLAN!M33&lt;&gt;"None","TRANSFER FIRST","BUY")))</f>
        <v>BUY</v>
      </c>
    </row>
    <row r="34" customFormat="false" ht="15" hidden="false" customHeight="false" outlineLevel="0" collapsed="false">
      <c r="A34" s="5" t="n">
        <f aca="false">ITEM_MASTER_CLEAN!A34</f>
        <v>33</v>
      </c>
      <c r="B34" s="5" t="n">
        <f aca="false">ITEM_MASTER_CLEAN!B34</f>
        <v>64106</v>
      </c>
      <c r="C34" s="5" t="str">
        <f aca="false">ITEM_MASTER_CLEAN!C34</f>
        <v>Bisc PUCK ChocBln/Maca 160x2oz</v>
      </c>
      <c r="D34" s="5" t="str">
        <f aca="false">ITEM_MASTER_CLEAN!E34</f>
        <v>ASPIRE</v>
      </c>
      <c r="E34" s="12" t="n">
        <f aca="false">ITEM_MASTER_CLEAN!F34</f>
        <v>56.66</v>
      </c>
      <c r="F34" s="5" t="n">
        <f aca="false">IF(LowCashMode="ON",LOW_CASH_MODE!L34,REBALANCE_PLAN!Q34)</f>
        <v>160</v>
      </c>
      <c r="G34" s="5" t="n">
        <f aca="false">IF(LowCashMode="ON",LOW_CASH_MODE!M34,REBALANCE_PLAN!R34)</f>
        <v>160</v>
      </c>
      <c r="H34" s="5" t="n">
        <f aca="false">F34+G34</f>
        <v>320</v>
      </c>
      <c r="I34" s="12" t="n">
        <f aca="false">H34*E34</f>
        <v>18131.2</v>
      </c>
      <c r="J34" s="5" t="str">
        <f aca="false">IF(H34=0,"—",IF(LowCashMode="ON",IF(LOW_CASH_MODE!R34="BUY NOW","BUY NOW","DEFER"),IF(REBALANCE_PLAN!M34&lt;&gt;"None","TRANSFER FIRST","BUY")))</f>
        <v>BUY</v>
      </c>
    </row>
    <row r="35" customFormat="false" ht="15" hidden="false" customHeight="false" outlineLevel="0" collapsed="false">
      <c r="A35" s="5" t="n">
        <f aca="false">ITEM_MASTER_CLEAN!A35</f>
        <v>34</v>
      </c>
      <c r="B35" s="5" t="n">
        <f aca="false">ITEM_MASTER_CLEAN!B35</f>
        <v>63934</v>
      </c>
      <c r="C35" s="5" t="str">
        <f aca="false">ITEM_MASTER_CLEAN!C35</f>
        <v>Bisc PUCK ChocChunk 160x2oz</v>
      </c>
      <c r="D35" s="5" t="str">
        <f aca="false">ITEM_MASTER_CLEAN!E35</f>
        <v>SWT DISCOV</v>
      </c>
      <c r="E35" s="12" t="n">
        <f aca="false">ITEM_MASTER_CLEAN!F35</f>
        <v>61.35</v>
      </c>
      <c r="F35" s="5" t="n">
        <f aca="false">IF(LowCashMode="ON",LOW_CASH_MODE!L35,REBALANCE_PLAN!Q35)</f>
        <v>160</v>
      </c>
      <c r="G35" s="5" t="n">
        <f aca="false">IF(LowCashMode="ON",LOW_CASH_MODE!M35,REBALANCE_PLAN!R35)</f>
        <v>160</v>
      </c>
      <c r="H35" s="5" t="n">
        <f aca="false">F35+G35</f>
        <v>320</v>
      </c>
      <c r="I35" s="12" t="n">
        <f aca="false">H35*E35</f>
        <v>19632</v>
      </c>
      <c r="J35" s="5" t="str">
        <f aca="false">IF(H35=0,"—",IF(LowCashMode="ON",IF(LOW_CASH_MODE!R35="BUY NOW","BUY NOW","DEFER"),IF(REBALANCE_PLAN!M35&lt;&gt;"None","TRANSFER FIRST","BUY")))</f>
        <v>BUY</v>
      </c>
    </row>
    <row r="36" customFormat="false" ht="15" hidden="false" customHeight="false" outlineLevel="0" collapsed="false">
      <c r="A36" s="5" t="n">
        <f aca="false">ITEM_MASTER_CLEAN!A36</f>
        <v>35</v>
      </c>
      <c r="B36" s="5" t="n">
        <f aca="false">ITEM_MASTER_CLEAN!B36</f>
        <v>12596</v>
      </c>
      <c r="C36" s="5" t="str">
        <f aca="false">ITEM_MASTER_CLEAN!C36</f>
        <v>MTY TREAT FOR DOGS 24UN</v>
      </c>
      <c r="D36" s="5" t="str">
        <f aca="false">ITEM_MASTER_CLEAN!E36</f>
        <v>S.GLACES</v>
      </c>
      <c r="E36" s="12" t="n">
        <f aca="false">ITEM_MASTER_CLEAN!F36</f>
        <v>48.79</v>
      </c>
      <c r="F36" s="5" t="n">
        <f aca="false">IF(LowCashMode="ON",LOW_CASH_MODE!L36,REBALANCE_PLAN!Q36)</f>
        <v>0</v>
      </c>
      <c r="G36" s="5" t="n">
        <f aca="false">IF(LowCashMode="ON",LOW_CASH_MODE!M36,REBALANCE_PLAN!R36)</f>
        <v>0</v>
      </c>
      <c r="H36" s="5" t="n">
        <f aca="false">F36+G36</f>
        <v>0</v>
      </c>
      <c r="I36" s="12" t="n">
        <f aca="false">H36*E36</f>
        <v>0</v>
      </c>
      <c r="J36" s="5" t="str">
        <f aca="false">IF(H36=0,"—",IF(LowCashMode="ON",IF(LOW_CASH_MODE!R36="BUY NOW","BUY NOW","DEFER"),IF(REBALANCE_PLAN!M36&lt;&gt;"None","TRANSFER FIRST","BUY")))</f>
        <v>—</v>
      </c>
    </row>
    <row r="37" customFormat="false" ht="15" hidden="false" customHeight="false" outlineLevel="0" collapsed="false">
      <c r="A37" s="5" t="n">
        <f aca="false">ITEM_MASTER_CLEAN!A37</f>
        <v>36</v>
      </c>
      <c r="B37" s="5" t="n">
        <f aca="false">ITEM_MASTER_CLEAN!B37</f>
        <v>48219</v>
      </c>
      <c r="C37" s="5" t="str">
        <f aca="false">ITEM_MASTER_CLEAN!C37</f>
        <v>BISC LOTUS BISCOFF 10X250G</v>
      </c>
      <c r="D37" s="5" t="str">
        <f aca="false">ITEM_MASTER_CLEAN!E37</f>
        <v>EURO-EXCEL</v>
      </c>
      <c r="E37" s="12" t="n">
        <f aca="false">ITEM_MASTER_CLEAN!F37</f>
        <v>35.88</v>
      </c>
      <c r="F37" s="5" t="n">
        <f aca="false">IF(LowCashMode="ON",LOW_CASH_MODE!L37,REBALANCE_PLAN!Q37)</f>
        <v>10</v>
      </c>
      <c r="G37" s="5" t="n">
        <f aca="false">IF(LowCashMode="ON",LOW_CASH_MODE!M37,REBALANCE_PLAN!R37)</f>
        <v>0</v>
      </c>
      <c r="H37" s="5" t="n">
        <f aca="false">F37+G37</f>
        <v>10</v>
      </c>
      <c r="I37" s="12" t="n">
        <f aca="false">H37*E37</f>
        <v>358.8</v>
      </c>
      <c r="J37" s="5" t="str">
        <f aca="false">IF(H37=0,"—",IF(LowCashMode="ON",IF(LOW_CASH_MODE!R37="BUY NOW","BUY NOW","DEFER"),IF(REBALANCE_PLAN!M37&lt;&gt;"None","TRANSFER FIRST","BUY")))</f>
        <v>BUY</v>
      </c>
    </row>
    <row r="38" customFormat="false" ht="15" hidden="false" customHeight="false" outlineLevel="0" collapsed="false">
      <c r="A38" s="5" t="n">
        <f aca="false">ITEM_MASTER_CLEAN!A38</f>
        <v>37</v>
      </c>
      <c r="B38" s="5" t="n">
        <f aca="false">ITEM_MASTER_CLEAN!B38</f>
        <v>39811</v>
      </c>
      <c r="C38" s="5" t="str">
        <f aca="false">ITEM_MASTER_CLEAN!C38</f>
        <v>DONUT REGULAR 00726  140X28G</v>
      </c>
      <c r="D38" s="5" t="str">
        <f aca="false">ITEM_MASTER_CLEAN!E38</f>
        <v>RICH</v>
      </c>
      <c r="E38" s="12" t="n">
        <f aca="false">ITEM_MASTER_CLEAN!F38</f>
        <v>32.63</v>
      </c>
      <c r="F38" s="5" t="n">
        <f aca="false">IF(LowCashMode="ON",LOW_CASH_MODE!L38,REBALANCE_PLAN!Q38)</f>
        <v>140</v>
      </c>
      <c r="G38" s="5" t="n">
        <f aca="false">IF(LowCashMode="ON",LOW_CASH_MODE!M38,REBALANCE_PLAN!R38)</f>
        <v>0</v>
      </c>
      <c r="H38" s="5" t="n">
        <f aca="false">F38+G38</f>
        <v>140</v>
      </c>
      <c r="I38" s="12" t="n">
        <f aca="false">H38*E38</f>
        <v>4568.2</v>
      </c>
      <c r="J38" s="5" t="str">
        <f aca="false">IF(H38=0,"—",IF(LowCashMode="ON",IF(LOW_CASH_MODE!R38="BUY NOW","BUY NOW","DEFER"),IF(REBALANCE_PLAN!M38&lt;&gt;"None","TRANSFER FIRST","BUY")))</f>
        <v>BUY</v>
      </c>
    </row>
    <row r="39" customFormat="false" ht="15" hidden="false" customHeight="false" outlineLevel="0" collapsed="false">
      <c r="A39" s="5" t="n">
        <f aca="false">ITEM_MASTER_CLEAN!A39</f>
        <v>38</v>
      </c>
      <c r="B39" s="5" t="n">
        <f aca="false">ITEM_MASTER_CLEAN!B39</f>
        <v>43328</v>
      </c>
      <c r="C39" s="5" t="str">
        <f aca="false">ITEM_MASTER_CLEAN!C39</f>
        <v>DONUT MINI VANILLA 2442 300X12G</v>
      </c>
      <c r="D39" s="5" t="str">
        <f aca="false">ITEM_MASTER_CLEAN!E39</f>
        <v>DBA EXPRES</v>
      </c>
      <c r="E39" s="12" t="n">
        <f aca="false">ITEM_MASTER_CLEAN!F39</f>
        <v>38.35</v>
      </c>
      <c r="F39" s="5" t="n">
        <f aca="false">IF(LowCashMode="ON",LOW_CASH_MODE!L39,REBALANCE_PLAN!Q39)</f>
        <v>0</v>
      </c>
      <c r="G39" s="5" t="n">
        <f aca="false">IF(LowCashMode="ON",LOW_CASH_MODE!M39,REBALANCE_PLAN!R39)</f>
        <v>0</v>
      </c>
      <c r="H39" s="5" t="n">
        <f aca="false">F39+G39</f>
        <v>0</v>
      </c>
      <c r="I39" s="12" t="n">
        <f aca="false">H39*E39</f>
        <v>0</v>
      </c>
      <c r="J39" s="5" t="str">
        <f aca="false">IF(H39=0,"—",IF(LowCashMode="ON",IF(LOW_CASH_MODE!R39="BUY NOW","BUY NOW","DEFER"),IF(REBALANCE_PLAN!M39&lt;&gt;"None","TRANSFER FIRST","BUY")))</f>
        <v>—</v>
      </c>
    </row>
    <row r="40" customFormat="false" ht="15" hidden="false" customHeight="false" outlineLevel="0" collapsed="false">
      <c r="A40" s="5" t="n">
        <f aca="false">ITEM_MASTER_CLEAN!A40</f>
        <v>39</v>
      </c>
      <c r="B40" s="5" t="n">
        <f aca="false">ITEM_MASTER_CLEAN!B40</f>
        <v>50170</v>
      </c>
      <c r="C40" s="5" t="str">
        <f aca="false">ITEM_MASTER_CLEAN!C40</f>
        <v>MTY CHOC FF 3100051  5X1L</v>
      </c>
      <c r="D40" s="5" t="str">
        <f aca="false">ITEM_MASTER_CLEAN!E40</f>
        <v>MTY</v>
      </c>
      <c r="E40" s="12" t="n">
        <f aca="false">ITEM_MASTER_CLEAN!F40</f>
        <v>53.81</v>
      </c>
      <c r="F40" s="5" t="n">
        <f aca="false">IF(LowCashMode="ON",LOW_CASH_MODE!L40,REBALANCE_PLAN!Q40)</f>
        <v>5</v>
      </c>
      <c r="G40" s="5" t="n">
        <f aca="false">IF(LowCashMode="ON",LOW_CASH_MODE!M40,REBALANCE_PLAN!R40)</f>
        <v>5</v>
      </c>
      <c r="H40" s="5" t="n">
        <f aca="false">F40+G40</f>
        <v>10</v>
      </c>
      <c r="I40" s="12" t="n">
        <f aca="false">H40*E40</f>
        <v>538.1</v>
      </c>
      <c r="J40" s="5" t="str">
        <f aca="false">IF(H40=0,"—",IF(LowCashMode="ON",IF(LOW_CASH_MODE!R40="BUY NOW","BUY NOW","DEFER"),IF(REBALANCE_PLAN!M40&lt;&gt;"None","TRANSFER FIRST","BUY")))</f>
        <v>BUY</v>
      </c>
    </row>
    <row r="41" customFormat="false" ht="15" hidden="false" customHeight="false" outlineLevel="0" collapsed="false">
      <c r="A41" s="5" t="n">
        <f aca="false">ITEM_MASTER_CLEAN!A41</f>
        <v>40</v>
      </c>
      <c r="B41" s="5" t="n">
        <f aca="false">ITEM_MASTER_CLEAN!B41</f>
        <v>50010</v>
      </c>
      <c r="C41" s="5" t="str">
        <f aca="false">ITEM_MASTER_CLEAN!C41</f>
        <v>SCE CARAMEL REG MCL 5X1L</v>
      </c>
      <c r="D41" s="5" t="str">
        <f aca="false">ITEM_MASTER_CLEAN!E41</f>
        <v>BERTHELET</v>
      </c>
      <c r="E41" s="12" t="n">
        <f aca="false">ITEM_MASTER_CLEAN!F41</f>
        <v>48.2</v>
      </c>
      <c r="F41" s="5" t="n">
        <f aca="false">IF(LowCashMode="ON",LOW_CASH_MODE!L41,REBALANCE_PLAN!Q41)</f>
        <v>0</v>
      </c>
      <c r="G41" s="5" t="n">
        <f aca="false">IF(LowCashMode="ON",LOW_CASH_MODE!M41,REBALANCE_PLAN!R41)</f>
        <v>5</v>
      </c>
      <c r="H41" s="5" t="n">
        <f aca="false">F41+G41</f>
        <v>5</v>
      </c>
      <c r="I41" s="12" t="n">
        <f aca="false">H41*E41</f>
        <v>241</v>
      </c>
      <c r="J41" s="5" t="str">
        <f aca="false">IF(H41=0,"—",IF(LowCashMode="ON",IF(LOW_CASH_MODE!R41="BUY NOW","BUY NOW","DEFER"),IF(REBALANCE_PLAN!M41&lt;&gt;"None","TRANSFER FIRST","BUY")))</f>
        <v>BUY</v>
      </c>
    </row>
    <row r="42" customFormat="false" ht="15" hidden="false" customHeight="false" outlineLevel="0" collapsed="false">
      <c r="A42" s="5" t="n">
        <f aca="false">ITEM_MASTER_CLEAN!A42</f>
        <v>41</v>
      </c>
      <c r="B42" s="5" t="n">
        <f aca="false">ITEM_MASTER_CLEAN!B42</f>
        <v>50166</v>
      </c>
      <c r="C42" s="5" t="str">
        <f aca="false">ITEM_MASTER_CLEAN!C42</f>
        <v>MTY fraise fr flow 10x1L</v>
      </c>
      <c r="D42" s="5" t="str">
        <f aca="false">ITEM_MASTER_CLEAN!E42</f>
        <v>BERTHELET</v>
      </c>
      <c r="E42" s="12" t="n">
        <f aca="false">ITEM_MASTER_CLEAN!F42</f>
        <v>50.92</v>
      </c>
      <c r="F42" s="5" t="n">
        <f aca="false">IF(LowCashMode="ON",LOW_CASH_MODE!L42,REBALANCE_PLAN!Q42)</f>
        <v>10</v>
      </c>
      <c r="G42" s="5" t="n">
        <f aca="false">IF(LowCashMode="ON",LOW_CASH_MODE!M42,REBALANCE_PLAN!R42)</f>
        <v>10</v>
      </c>
      <c r="H42" s="5" t="n">
        <f aca="false">F42+G42</f>
        <v>20</v>
      </c>
      <c r="I42" s="12" t="n">
        <f aca="false">H42*E42</f>
        <v>1018.4</v>
      </c>
      <c r="J42" s="5" t="str">
        <f aca="false">IF(H42=0,"—",IF(LowCashMode="ON",IF(LOW_CASH_MODE!R42="BUY NOW","BUY NOW","DEFER"),IF(REBALANCE_PLAN!M42&lt;&gt;"None","TRANSFER FIRST","BUY")))</f>
        <v>BUY</v>
      </c>
    </row>
    <row r="43" customFormat="false" ht="15" hidden="false" customHeight="false" outlineLevel="0" collapsed="false">
      <c r="A43" s="5" t="n">
        <f aca="false">ITEM_MASTER_CLEAN!A43</f>
        <v>42</v>
      </c>
      <c r="B43" s="5" t="n">
        <f aca="false">ITEM_MASTER_CLEAN!B43</f>
        <v>19850</v>
      </c>
      <c r="C43" s="5" t="str">
        <f aca="false">ITEM_MASTER_CLEAN!C43</f>
        <v>SPICE CINNAMON GRND 400G</v>
      </c>
      <c r="D43" s="5" t="str">
        <f aca="false">ITEM_MASTER_CLEAN!E43</f>
        <v>BERTHELET</v>
      </c>
      <c r="E43" s="12" t="n">
        <f aca="false">ITEM_MASTER_CLEAN!F43</f>
        <v>4.35</v>
      </c>
      <c r="F43" s="5" t="n">
        <f aca="false">IF(LowCashMode="ON",LOW_CASH_MODE!L43,REBALANCE_PLAN!Q43)</f>
        <v>0</v>
      </c>
      <c r="G43" s="5" t="n">
        <f aca="false">IF(LowCashMode="ON",LOW_CASH_MODE!M43,REBALANCE_PLAN!R43)</f>
        <v>0</v>
      </c>
      <c r="H43" s="5" t="n">
        <f aca="false">F43+G43</f>
        <v>0</v>
      </c>
      <c r="I43" s="12" t="n">
        <f aca="false">H43*E43</f>
        <v>0</v>
      </c>
      <c r="J43" s="5" t="str">
        <f aca="false">IF(H43=0,"—",IF(LowCashMode="ON",IF(LOW_CASH_MODE!R43="BUY NOW","BUY NOW","DEFER"),IF(REBALANCE_PLAN!M43&lt;&gt;"None","TRANSFER FIRST","BUY")))</f>
        <v>—</v>
      </c>
    </row>
    <row r="44" customFormat="false" ht="15" hidden="false" customHeight="false" outlineLevel="0" collapsed="false">
      <c r="A44" s="5" t="n">
        <f aca="false">ITEM_MASTER_CLEAN!A44</f>
        <v>43</v>
      </c>
      <c r="B44" s="5" t="n">
        <f aca="false">ITEM_MASTER_CLEAN!B44</f>
        <v>68587</v>
      </c>
      <c r="C44" s="5" t="str">
        <f aca="false">ITEM_MASTER_CLEAN!C44</f>
        <v>SUGAR SPECIAL FINE K 1X2K</v>
      </c>
      <c r="D44" s="5" t="str">
        <f aca="false">ITEM_MASTER_CLEAN!E44</f>
        <v>LANTIC</v>
      </c>
      <c r="E44" s="12" t="n">
        <f aca="false">ITEM_MASTER_CLEAN!F44</f>
        <v>5.41</v>
      </c>
      <c r="F44" s="5" t="n">
        <f aca="false">IF(LowCashMode="ON",LOW_CASH_MODE!L44,REBALANCE_PLAN!Q44)</f>
        <v>2</v>
      </c>
      <c r="G44" s="5" t="n">
        <f aca="false">IF(LowCashMode="ON",LOW_CASH_MODE!M44,REBALANCE_PLAN!R44)</f>
        <v>3</v>
      </c>
      <c r="H44" s="5" t="n">
        <f aca="false">F44+G44</f>
        <v>5</v>
      </c>
      <c r="I44" s="12" t="n">
        <f aca="false">H44*E44</f>
        <v>27.05</v>
      </c>
      <c r="J44" s="5" t="str">
        <f aca="false">IF(H44=0,"—",IF(LowCashMode="ON",IF(LOW_CASH_MODE!R44="BUY NOW","BUY NOW","DEFER"),IF(REBALANCE_PLAN!M44&lt;&gt;"None","TRANSFER FIRST","BUY")))</f>
        <v>BUY</v>
      </c>
    </row>
    <row r="45" customFormat="false" ht="15" hidden="false" customHeight="false" outlineLevel="0" collapsed="false">
      <c r="A45" s="5" t="n">
        <f aca="false">ITEM_MASTER_CLEAN!A45</f>
        <v>44</v>
      </c>
      <c r="B45" s="5" t="n">
        <f aca="false">ITEM_MASTER_CLEAN!B45</f>
        <v>65315</v>
      </c>
      <c r="C45" s="5" t="str">
        <f aca="false">ITEM_MASTER_CLEAN!C45</f>
        <v>SUGAR ICING K 1X1K</v>
      </c>
      <c r="D45" s="5" t="str">
        <f aca="false">ITEM_MASTER_CLEAN!E45</f>
        <v>SUNBEC</v>
      </c>
      <c r="E45" s="12" t="n">
        <f aca="false">ITEM_MASTER_CLEAN!F45</f>
        <v>4.32</v>
      </c>
      <c r="F45" s="5" t="n">
        <f aca="false">IF(LowCashMode="ON",LOW_CASH_MODE!L45,REBALANCE_PLAN!Q45)</f>
        <v>1</v>
      </c>
      <c r="G45" s="5" t="n">
        <f aca="false">IF(LowCashMode="ON",LOW_CASH_MODE!M45,REBALANCE_PLAN!R45)</f>
        <v>2</v>
      </c>
      <c r="H45" s="5" t="n">
        <f aca="false">F45+G45</f>
        <v>3</v>
      </c>
      <c r="I45" s="12" t="n">
        <f aca="false">H45*E45</f>
        <v>12.96</v>
      </c>
      <c r="J45" s="5" t="str">
        <f aca="false">IF(H45=0,"—",IF(LowCashMode="ON",IF(LOW_CASH_MODE!R45="BUY NOW","BUY NOW","DEFER"),IF(REBALANCE_PLAN!M45&lt;&gt;"None","TRANSFER FIRST","BUY")))</f>
        <v>BUY</v>
      </c>
    </row>
    <row r="46" customFormat="false" ht="15" hidden="false" customHeight="false" outlineLevel="0" collapsed="false">
      <c r="A46" s="5" t="n">
        <f aca="false">ITEM_MASTER_CLEAN!A46</f>
        <v>45</v>
      </c>
      <c r="B46" s="5" t="n">
        <f aca="false">ITEM_MASTER_CLEAN!B46</f>
        <v>47526</v>
      </c>
      <c r="C46" s="5" t="str">
        <f aca="false">ITEM_MASTER_CLEAN!C46</f>
        <v>CREPE DUTCH 105498 100X63G</v>
      </c>
      <c r="D46" s="5" t="str">
        <f aca="false">ITEM_MASTER_CLEAN!E46</f>
        <v>CERELIA</v>
      </c>
      <c r="E46" s="12" t="n">
        <f aca="false">ITEM_MASTER_CLEAN!F46</f>
        <v>55.33</v>
      </c>
      <c r="F46" s="5" t="n">
        <f aca="false">IF(LowCashMode="ON",LOW_CASH_MODE!L46,REBALANCE_PLAN!Q46)</f>
        <v>100</v>
      </c>
      <c r="G46" s="5" t="n">
        <f aca="false">IF(LowCashMode="ON",LOW_CASH_MODE!M46,REBALANCE_PLAN!R46)</f>
        <v>100</v>
      </c>
      <c r="H46" s="5" t="n">
        <f aca="false">F46+G46</f>
        <v>200</v>
      </c>
      <c r="I46" s="12" t="n">
        <f aca="false">H46*E46</f>
        <v>11066</v>
      </c>
      <c r="J46" s="5" t="str">
        <f aca="false">IF(H46=0,"—",IF(LowCashMode="ON",IF(LOW_CASH_MODE!R46="BUY NOW","BUY NOW","DEFER"),IF(REBALANCE_PLAN!M46&lt;&gt;"None","TRANSFER FIRST","BUY")))</f>
        <v>BUY</v>
      </c>
    </row>
    <row r="47" customFormat="false" ht="15" hidden="false" customHeight="false" outlineLevel="0" collapsed="false">
      <c r="A47" s="5" t="n">
        <f aca="false">ITEM_MASTER_CLEAN!A47</f>
        <v>46</v>
      </c>
      <c r="B47" s="5" t="n">
        <f aca="false">ITEM_MASTER_CLEAN!B47</f>
        <v>49632</v>
      </c>
      <c r="C47" s="5" t="str">
        <f aca="false">ITEM_MASTER_CLEAN!C47</f>
        <v>WAFFLE BELGIAN VAN IND.WRAP 80X70G</v>
      </c>
      <c r="D47" s="5" t="str">
        <f aca="false">ITEM_MASTER_CLEAN!E47</f>
        <v>BEL GAUFRE</v>
      </c>
      <c r="E47" s="12" t="n">
        <f aca="false">ITEM_MASTER_CLEAN!F47</f>
        <v>21.23</v>
      </c>
      <c r="F47" s="5" t="n">
        <f aca="false">IF(LowCashMode="ON",LOW_CASH_MODE!L47,REBALANCE_PLAN!Q47)</f>
        <v>80</v>
      </c>
      <c r="G47" s="5" t="n">
        <f aca="false">IF(LowCashMode="ON",LOW_CASH_MODE!M47,REBALANCE_PLAN!R47)</f>
        <v>0</v>
      </c>
      <c r="H47" s="5" t="n">
        <f aca="false">F47+G47</f>
        <v>80</v>
      </c>
      <c r="I47" s="12" t="n">
        <f aca="false">H47*E47</f>
        <v>1698.4</v>
      </c>
      <c r="J47" s="5" t="str">
        <f aca="false">IF(H47=0,"—",IF(LowCashMode="ON",IF(LOW_CASH_MODE!R47="BUY NOW","BUY NOW","DEFER"),IF(REBALANCE_PLAN!M47&lt;&gt;"None","TRANSFER FIRST","BUY")))</f>
        <v>BUY</v>
      </c>
    </row>
    <row r="48" customFormat="false" ht="15" hidden="false" customHeight="false" outlineLevel="0" collapsed="false">
      <c r="A48" s="5" t="n">
        <f aca="false">ITEM_MASTER_CLEAN!A48</f>
        <v>47</v>
      </c>
      <c r="B48" s="5" t="n">
        <f aca="false">ITEM_MASTER_CLEAN!B48</f>
        <v>44967</v>
      </c>
      <c r="C48" s="5" t="str">
        <f aca="false">ITEM_MASTER_CLEAN!C48</f>
        <v>CHOC FONDANT BKD V-FX956 32X105G</v>
      </c>
      <c r="D48" s="5" t="str">
        <f aca="false">ITEM_MASTER_CLEAN!E48</f>
        <v>VITACUIRE</v>
      </c>
      <c r="E48" s="12" t="n">
        <f aca="false">ITEM_MASTER_CLEAN!F48</f>
        <v>48.87</v>
      </c>
      <c r="F48" s="5" t="n">
        <f aca="false">IF(LowCashMode="ON",LOW_CASH_MODE!L48,REBALANCE_PLAN!Q48)</f>
        <v>0</v>
      </c>
      <c r="G48" s="5" t="n">
        <f aca="false">IF(LowCashMode="ON",LOW_CASH_MODE!M48,REBALANCE_PLAN!R48)</f>
        <v>0</v>
      </c>
      <c r="H48" s="5" t="n">
        <f aca="false">F48+G48</f>
        <v>0</v>
      </c>
      <c r="I48" s="12" t="n">
        <f aca="false">H48*E48</f>
        <v>0</v>
      </c>
      <c r="J48" s="5" t="str">
        <f aca="false">IF(H48=0,"—",IF(LowCashMode="ON",IF(LOW_CASH_MODE!R48="BUY NOW","BUY NOW","DEFER"),IF(REBALANCE_PLAN!M48&lt;&gt;"None","TRANSFER FIRST","BUY")))</f>
        <v>—</v>
      </c>
    </row>
    <row r="49" customFormat="false" ht="15" hidden="false" customHeight="false" outlineLevel="0" collapsed="false">
      <c r="A49" s="5" t="n">
        <f aca="false">ITEM_MASTER_CLEAN!A49</f>
        <v>48</v>
      </c>
      <c r="B49" s="5" t="n">
        <f aca="false">ITEM_MASTER_CLEAN!B49</f>
        <v>33785</v>
      </c>
      <c r="C49" s="5" t="str">
        <f aca="false">ITEM_MASTER_CLEAN!C49</f>
        <v>LADIP CAKE MARSHMELLOW C.DOUGH X2</v>
      </c>
      <c r="D49" s="5" t="str">
        <f aca="false">ITEM_MASTER_CLEAN!E49</f>
        <v>FAIRFIELD</v>
      </c>
      <c r="E49" s="12" t="n">
        <f aca="false">ITEM_MASTER_CLEAN!F49</f>
        <v>54.29</v>
      </c>
      <c r="F49" s="5" t="n">
        <f aca="false">IF(LowCashMode="ON",LOW_CASH_MODE!L49,REBALANCE_PLAN!Q49)</f>
        <v>6</v>
      </c>
      <c r="G49" s="5" t="n">
        <f aca="false">IF(LowCashMode="ON",LOW_CASH_MODE!M49,REBALANCE_PLAN!R49)</f>
        <v>4</v>
      </c>
      <c r="H49" s="5" t="n">
        <f aca="false">F49+G49</f>
        <v>10</v>
      </c>
      <c r="I49" s="12" t="n">
        <f aca="false">H49*E49</f>
        <v>542.9</v>
      </c>
      <c r="J49" s="5" t="str">
        <f aca="false">IF(H49=0,"—",IF(LowCashMode="ON",IF(LOW_CASH_MODE!R49="BUY NOW","BUY NOW","DEFER"),IF(REBALANCE_PLAN!M49&lt;&gt;"None","TRANSFER FIRST","BUY")))</f>
        <v>BUY</v>
      </c>
    </row>
    <row r="50" customFormat="false" ht="15" hidden="false" customHeight="false" outlineLevel="0" collapsed="false">
      <c r="A50" s="5" t="n">
        <f aca="false">ITEM_MASTER_CLEAN!A50</f>
        <v>49</v>
      </c>
      <c r="B50" s="5" t="n">
        <f aca="false">ITEM_MASTER_CLEAN!B50</f>
        <v>33784</v>
      </c>
      <c r="C50" s="5" t="str">
        <f aca="false">ITEM_MASTER_CLEAN!C50</f>
        <v>LADIP CAKE CARNIVAL 10" X2</v>
      </c>
      <c r="D50" s="5" t="str">
        <f aca="false">ITEM_MASTER_CLEAN!E50</f>
        <v>D.COOKIES</v>
      </c>
      <c r="E50" s="12" t="n">
        <f aca="false">ITEM_MASTER_CLEAN!F50</f>
        <v>51.8</v>
      </c>
      <c r="F50" s="5" t="n">
        <f aca="false">IF(LowCashMode="ON",LOW_CASH_MODE!L50,REBALANCE_PLAN!Q50)</f>
        <v>2</v>
      </c>
      <c r="G50" s="5" t="n">
        <f aca="false">IF(LowCashMode="ON",LOW_CASH_MODE!M50,REBALANCE_PLAN!R50)</f>
        <v>4</v>
      </c>
      <c r="H50" s="5" t="n">
        <f aca="false">F50+G50</f>
        <v>6</v>
      </c>
      <c r="I50" s="12" t="n">
        <f aca="false">H50*E50</f>
        <v>310.8</v>
      </c>
      <c r="J50" s="5" t="str">
        <f aca="false">IF(H50=0,"—",IF(LowCashMode="ON",IF(LOW_CASH_MODE!R50="BUY NOW","BUY NOW","DEFER"),IF(REBALANCE_PLAN!M50&lt;&gt;"None","TRANSFER FIRST","BUY")))</f>
        <v>BUY</v>
      </c>
    </row>
    <row r="51" customFormat="false" ht="15" hidden="false" customHeight="false" outlineLevel="0" collapsed="false">
      <c r="A51" s="5" t="n">
        <f aca="false">ITEM_MASTER_CLEAN!A51</f>
        <v>50</v>
      </c>
      <c r="B51" s="5" t="n">
        <f aca="false">ITEM_MASTER_CLEAN!B51</f>
        <v>33780</v>
      </c>
      <c r="C51" s="5" t="str">
        <f aca="false">ITEM_MASTER_CLEAN!C51</f>
        <v>LADIP CAKE RAINBOW X2</v>
      </c>
      <c r="D51" s="5" t="str">
        <f aca="false">ITEM_MASTER_CLEAN!E51</f>
        <v>D.COOKIES</v>
      </c>
      <c r="E51" s="12" t="n">
        <f aca="false">ITEM_MASTER_CLEAN!F51</f>
        <v>48.64</v>
      </c>
      <c r="F51" s="5" t="n">
        <f aca="false">IF(LowCashMode="ON",LOW_CASH_MODE!L51,REBALANCE_PLAN!Q51)</f>
        <v>2</v>
      </c>
      <c r="G51" s="5" t="n">
        <f aca="false">IF(LowCashMode="ON",LOW_CASH_MODE!M51,REBALANCE_PLAN!R51)</f>
        <v>2</v>
      </c>
      <c r="H51" s="5" t="n">
        <f aca="false">F51+G51</f>
        <v>4</v>
      </c>
      <c r="I51" s="12" t="n">
        <f aca="false">H51*E51</f>
        <v>194.56</v>
      </c>
      <c r="J51" s="5" t="str">
        <f aca="false">IF(H51=0,"—",IF(LowCashMode="ON",IF(LOW_CASH_MODE!R51="BUY NOW","BUY NOW","DEFER"),IF(REBALANCE_PLAN!M51&lt;&gt;"None","TRANSFER FIRST","BUY")))</f>
        <v>BUY</v>
      </c>
    </row>
    <row r="52" customFormat="false" ht="15" hidden="false" customHeight="false" outlineLevel="0" collapsed="false">
      <c r="A52" s="5" t="n">
        <f aca="false">ITEM_MASTER_CLEAN!A52</f>
        <v>51</v>
      </c>
      <c r="B52" s="5" t="n">
        <f aca="false">ITEM_MASTER_CLEAN!B52</f>
        <v>28983</v>
      </c>
      <c r="C52" s="5" t="str">
        <f aca="false">ITEM_MASTER_CLEAN!C52</f>
        <v>BROWNIE PLAIN 10" 14PC X2</v>
      </c>
      <c r="D52" s="5" t="str">
        <f aca="false">ITEM_MASTER_CLEAN!E52</f>
        <v>KILO</v>
      </c>
      <c r="E52" s="12" t="n">
        <f aca="false">ITEM_MASTER_CLEAN!F52</f>
        <v>37.77</v>
      </c>
      <c r="F52" s="5" t="n">
        <f aca="false">IF(LowCashMode="ON",LOW_CASH_MODE!L52,REBALANCE_PLAN!Q52)</f>
        <v>4</v>
      </c>
      <c r="G52" s="5" t="n">
        <f aca="false">IF(LowCashMode="ON",LOW_CASH_MODE!M52,REBALANCE_PLAN!R52)</f>
        <v>0</v>
      </c>
      <c r="H52" s="5" t="n">
        <f aca="false">F52+G52</f>
        <v>4</v>
      </c>
      <c r="I52" s="12" t="n">
        <f aca="false">H52*E52</f>
        <v>151.08</v>
      </c>
      <c r="J52" s="5" t="str">
        <f aca="false">IF(H52=0,"—",IF(LowCashMode="ON",IF(LOW_CASH_MODE!R52="BUY NOW","BUY NOW","DEFER"),IF(REBALANCE_PLAN!M52&lt;&gt;"None","TRANSFER FIRST","BUY")))</f>
        <v>BUY</v>
      </c>
    </row>
    <row r="53" customFormat="false" ht="15" hidden="false" customHeight="false" outlineLevel="0" collapsed="false">
      <c r="A53" s="5" t="n">
        <f aca="false">ITEM_MASTER_CLEAN!A53</f>
        <v>52</v>
      </c>
      <c r="B53" s="5" t="n">
        <f aca="false">ITEM_MASTER_CLEAN!B53</f>
        <v>28988</v>
      </c>
      <c r="C53" s="5" t="str">
        <f aca="false">ITEM_MASTER_CLEAN!C53</f>
        <v>CAKE CARROT BEAUX 10" 14PC</v>
      </c>
      <c r="D53" s="5" t="str">
        <f aca="false">ITEM_MASTER_CLEAN!E53</f>
        <v>KILO</v>
      </c>
      <c r="E53" s="12" t="n">
        <f aca="false">ITEM_MASTER_CLEAN!F53</f>
        <v>20.33</v>
      </c>
      <c r="F53" s="5" t="n">
        <f aca="false">IF(LowCashMode="ON",LOW_CASH_MODE!L53,REBALANCE_PLAN!Q53)</f>
        <v>0</v>
      </c>
      <c r="G53" s="5" t="n">
        <f aca="false">IF(LowCashMode="ON",LOW_CASH_MODE!M53,REBALANCE_PLAN!R53)</f>
        <v>2</v>
      </c>
      <c r="H53" s="5" t="n">
        <f aca="false">F53+G53</f>
        <v>2</v>
      </c>
      <c r="I53" s="12" t="n">
        <f aca="false">H53*E53</f>
        <v>40.66</v>
      </c>
      <c r="J53" s="5" t="str">
        <f aca="false">IF(H53=0,"—",IF(LowCashMode="ON",IF(LOW_CASH_MODE!R53="BUY NOW","BUY NOW","DEFER"),IF(REBALANCE_PLAN!M53&lt;&gt;"None","TRANSFER FIRST","BUY")))</f>
        <v>BUY</v>
      </c>
    </row>
    <row r="54" customFormat="false" ht="15" hidden="false" customHeight="false" outlineLevel="0" collapsed="false">
      <c r="A54" s="5" t="n">
        <f aca="false">ITEM_MASTER_CLEAN!A54</f>
        <v>53</v>
      </c>
      <c r="B54" s="5" t="n">
        <f aca="false">ITEM_MASTER_CLEAN!B54</f>
        <v>28989</v>
      </c>
      <c r="C54" s="5" t="str">
        <f aca="false">ITEM_MASTER_CLEAN!C54</f>
        <v>CAKE REODELIGHT 10" 16PC</v>
      </c>
      <c r="D54" s="5" t="str">
        <f aca="false">ITEM_MASTER_CLEAN!E54</f>
        <v>KILO</v>
      </c>
      <c r="E54" s="12" t="n">
        <f aca="false">ITEM_MASTER_CLEAN!F54</f>
        <v>37.82</v>
      </c>
      <c r="F54" s="5" t="n">
        <f aca="false">IF(LowCashMode="ON",LOW_CASH_MODE!L54,REBALANCE_PLAN!Q54)</f>
        <v>6</v>
      </c>
      <c r="G54" s="5" t="n">
        <f aca="false">IF(LowCashMode="ON",LOW_CASH_MODE!M54,REBALANCE_PLAN!R54)</f>
        <v>5</v>
      </c>
      <c r="H54" s="5" t="n">
        <f aca="false">F54+G54</f>
        <v>11</v>
      </c>
      <c r="I54" s="12" t="n">
        <f aca="false">H54*E54</f>
        <v>416.02</v>
      </c>
      <c r="J54" s="5" t="str">
        <f aca="false">IF(H54=0,"—",IF(LowCashMode="ON",IF(LOW_CASH_MODE!R54="BUY NOW","BUY NOW","DEFER"),IF(REBALANCE_PLAN!M54&lt;&gt;"None","TRANSFER FIRST","BUY")))</f>
        <v>BUY</v>
      </c>
    </row>
    <row r="55" customFormat="false" ht="15" hidden="false" customHeight="false" outlineLevel="0" collapsed="false">
      <c r="A55" s="5" t="n">
        <f aca="false">ITEM_MASTER_CLEAN!A55</f>
        <v>54</v>
      </c>
      <c r="B55" s="5" t="n">
        <f aca="false">ITEM_MASTER_CLEAN!B55</f>
        <v>28990</v>
      </c>
      <c r="C55" s="5" t="str">
        <f aca="false">ITEM_MASTER_CLEAN!C55</f>
        <v>CAKE TIRAMISU 9" 12PC</v>
      </c>
      <c r="D55" s="5" t="str">
        <f aca="false">ITEM_MASTER_CLEAN!E55</f>
        <v>KILO</v>
      </c>
      <c r="E55" s="12" t="n">
        <f aca="false">ITEM_MASTER_CLEAN!F55</f>
        <v>55.75</v>
      </c>
      <c r="F55" s="5" t="n">
        <f aca="false">IF(LowCashMode="ON",LOW_CASH_MODE!L55,REBALANCE_PLAN!Q55)</f>
        <v>7</v>
      </c>
      <c r="G55" s="5" t="n">
        <f aca="false">IF(LowCashMode="ON",LOW_CASH_MODE!M55,REBALANCE_PLAN!R55)</f>
        <v>4</v>
      </c>
      <c r="H55" s="5" t="n">
        <f aca="false">F55+G55</f>
        <v>11</v>
      </c>
      <c r="I55" s="12" t="n">
        <f aca="false">H55*E55</f>
        <v>613.25</v>
      </c>
      <c r="J55" s="5" t="str">
        <f aca="false">IF(H55=0,"—",IF(LowCashMode="ON",IF(LOW_CASH_MODE!R55="BUY NOW","BUY NOW","DEFER"),IF(REBALANCE_PLAN!M55&lt;&gt;"None","TRANSFER FIRST","BUY")))</f>
        <v>BUY</v>
      </c>
    </row>
    <row r="56" customFormat="false" ht="15" hidden="false" customHeight="false" outlineLevel="0" collapsed="false">
      <c r="A56" s="5" t="n">
        <f aca="false">ITEM_MASTER_CLEAN!A56</f>
        <v>55</v>
      </c>
      <c r="B56" s="5" t="n">
        <f aca="false">ITEM_MASTER_CLEAN!B56</f>
        <v>28992</v>
      </c>
      <c r="C56" s="5" t="str">
        <f aca="false">ITEM_MASTER_CLEAN!C56</f>
        <v>CAKE RED VELVET 10" 14PC  X1</v>
      </c>
      <c r="D56" s="5" t="str">
        <f aca="false">ITEM_MASTER_CLEAN!E56</f>
        <v>KILO</v>
      </c>
      <c r="E56" s="12" t="n">
        <f aca="false">ITEM_MASTER_CLEAN!F56</f>
        <v>56.99</v>
      </c>
      <c r="F56" s="5" t="n">
        <f aca="false">IF(LowCashMode="ON",LOW_CASH_MODE!L56,REBALANCE_PLAN!Q56)</f>
        <v>5</v>
      </c>
      <c r="G56" s="5" t="n">
        <f aca="false">IF(LowCashMode="ON",LOW_CASH_MODE!M56,REBALANCE_PLAN!R56)</f>
        <v>5</v>
      </c>
      <c r="H56" s="5" t="n">
        <f aca="false">F56+G56</f>
        <v>10</v>
      </c>
      <c r="I56" s="12" t="n">
        <f aca="false">H56*E56</f>
        <v>569.9</v>
      </c>
      <c r="J56" s="5" t="str">
        <f aca="false">IF(H56=0,"—",IF(LowCashMode="ON",IF(LOW_CASH_MODE!R56="BUY NOW","BUY NOW","DEFER"),IF(REBALANCE_PLAN!M56&lt;&gt;"None","TRANSFER FIRST","BUY")))</f>
        <v>BUY</v>
      </c>
    </row>
    <row r="57" customFormat="false" ht="15" hidden="false" customHeight="false" outlineLevel="0" collapsed="false">
      <c r="A57" s="5" t="n">
        <f aca="false">ITEM_MASTER_CLEAN!A57</f>
        <v>56</v>
      </c>
      <c r="B57" s="5" t="n">
        <f aca="false">ITEM_MASTER_CLEAN!B57</f>
        <v>27030</v>
      </c>
      <c r="C57" s="5" t="str">
        <f aca="false">ITEM_MASTER_CLEAN!C57</f>
        <v>*NOUVEAU - gât choc décadent 6" 6un</v>
      </c>
      <c r="D57" s="5" t="str">
        <f aca="false">ITEM_MASTER_CLEAN!E57</f>
        <v>LA DIPERIE</v>
      </c>
      <c r="E57" s="12" t="n">
        <f aca="false">ITEM_MASTER_CLEAN!F57</f>
        <v>31.79</v>
      </c>
      <c r="F57" s="5" t="n">
        <f aca="false">IF(LowCashMode="ON",LOW_CASH_MODE!L57,REBALANCE_PLAN!Q57)</f>
        <v>6</v>
      </c>
      <c r="G57" s="5" t="n">
        <f aca="false">IF(LowCashMode="ON",LOW_CASH_MODE!M57,REBALANCE_PLAN!R57)</f>
        <v>6</v>
      </c>
      <c r="H57" s="5" t="n">
        <f aca="false">F57+G57</f>
        <v>12</v>
      </c>
      <c r="I57" s="12" t="n">
        <f aca="false">H57*E57</f>
        <v>381.48</v>
      </c>
      <c r="J57" s="5" t="str">
        <f aca="false">IF(H57=0,"—",IF(LowCashMode="ON",IF(LOW_CASH_MODE!R57="BUY NOW","BUY NOW","DEFER"),IF(REBALANCE_PLAN!M57&lt;&gt;"None","TRANSFER FIRST","BUY")))</f>
        <v>BUY</v>
      </c>
    </row>
    <row r="58" customFormat="false" ht="15" hidden="false" customHeight="false" outlineLevel="0" collapsed="false">
      <c r="A58" s="5" t="n">
        <f aca="false">ITEM_MASTER_CLEAN!A58</f>
        <v>57</v>
      </c>
      <c r="B58" s="5" t="n">
        <f aca="false">ITEM_MASTER_CLEAN!B58</f>
        <v>27031</v>
      </c>
      <c r="C58" s="5" t="str">
        <f aca="false">ITEM_MASTER_CLEAN!C58</f>
        <v>*NOUVEAU - gât choc-noiset. 6" 6un</v>
      </c>
      <c r="D58" s="5" t="str">
        <f aca="false">ITEM_MASTER_CLEAN!E58</f>
        <v>LA DIPERIE</v>
      </c>
      <c r="E58" s="12" t="n">
        <f aca="false">ITEM_MASTER_CLEAN!F58</f>
        <v>31.54</v>
      </c>
      <c r="F58" s="5" t="n">
        <f aca="false">IF(LowCashMode="ON",LOW_CASH_MODE!L58,REBALANCE_PLAN!Q58)</f>
        <v>6</v>
      </c>
      <c r="G58" s="5" t="n">
        <f aca="false">IF(LowCashMode="ON",LOW_CASH_MODE!M58,REBALANCE_PLAN!R58)</f>
        <v>6</v>
      </c>
      <c r="H58" s="5" t="n">
        <f aca="false">F58+G58</f>
        <v>12</v>
      </c>
      <c r="I58" s="12" t="n">
        <f aca="false">H58*E58</f>
        <v>378.48</v>
      </c>
      <c r="J58" s="5" t="str">
        <f aca="false">IF(H58=0,"—",IF(LowCashMode="ON",IF(LOW_CASH_MODE!R58="BUY NOW","BUY NOW","DEFER"),IF(REBALANCE_PLAN!M58&lt;&gt;"None","TRANSFER FIRST","BUY")))</f>
        <v>BUY</v>
      </c>
    </row>
    <row r="59" customFormat="false" ht="15" hidden="false" customHeight="false" outlineLevel="0" collapsed="false">
      <c r="A59" s="5" t="n">
        <f aca="false">ITEM_MASTER_CLEAN!A59</f>
        <v>58</v>
      </c>
      <c r="B59" s="5" t="n">
        <f aca="false">ITEM_MASTER_CLEAN!B59</f>
        <v>27032</v>
      </c>
      <c r="C59" s="5" t="str">
        <f aca="false">ITEM_MASTER_CLEAN!C59</f>
        <v>*NOUVEAU - gât Mangue Msse 6" 6un</v>
      </c>
      <c r="D59" s="5" t="str">
        <f aca="false">ITEM_MASTER_CLEAN!E59</f>
        <v>LA DIPERIE</v>
      </c>
      <c r="E59" s="12" t="n">
        <f aca="false">ITEM_MASTER_CLEAN!F59</f>
        <v>15.98</v>
      </c>
      <c r="F59" s="5" t="n">
        <f aca="false">IF(LowCashMode="ON",LOW_CASH_MODE!L59,REBALANCE_PLAN!Q59)</f>
        <v>6</v>
      </c>
      <c r="G59" s="5" t="n">
        <f aca="false">IF(LowCashMode="ON",LOW_CASH_MODE!M59,REBALANCE_PLAN!R59)</f>
        <v>6</v>
      </c>
      <c r="H59" s="5" t="n">
        <f aca="false">F59+G59</f>
        <v>12</v>
      </c>
      <c r="I59" s="12" t="n">
        <f aca="false">H59*E59</f>
        <v>191.76</v>
      </c>
      <c r="J59" s="5" t="str">
        <f aca="false">IF(H59=0,"—",IF(LowCashMode="ON",IF(LOW_CASH_MODE!R59="BUY NOW","BUY NOW","DEFER"),IF(REBALANCE_PLAN!M59&lt;&gt;"None","TRANSFER FIRST","BUY")))</f>
        <v>BUY</v>
      </c>
    </row>
    <row r="60" customFormat="false" ht="15" hidden="false" customHeight="false" outlineLevel="0" collapsed="false">
      <c r="A60" s="5" t="n">
        <f aca="false">ITEM_MASTER_CLEAN!A60</f>
        <v>59</v>
      </c>
      <c r="B60" s="5" t="n">
        <f aca="false">ITEM_MASTER_CLEAN!B60</f>
        <v>27033</v>
      </c>
      <c r="C60" s="5" t="str">
        <f aca="false">ITEM_MASTER_CLEAN!C60</f>
        <v>LADIP CAKE RED BERRY MOUSSE 6" 6UN</v>
      </c>
      <c r="D60" s="5" t="str">
        <f aca="false">ITEM_MASTER_CLEAN!E60</f>
        <v>LA DIPERIE</v>
      </c>
      <c r="E60" s="12" t="n">
        <f aca="false">ITEM_MASTER_CLEAN!F60</f>
        <v>35.95</v>
      </c>
      <c r="F60" s="5" t="n">
        <f aca="false">IF(LowCashMode="ON",LOW_CASH_MODE!L60,REBALANCE_PLAN!Q60)</f>
        <v>6</v>
      </c>
      <c r="G60" s="5" t="n">
        <f aca="false">IF(LowCashMode="ON",LOW_CASH_MODE!M60,REBALANCE_PLAN!R60)</f>
        <v>6</v>
      </c>
      <c r="H60" s="5" t="n">
        <f aca="false">F60+G60</f>
        <v>12</v>
      </c>
      <c r="I60" s="12" t="n">
        <f aca="false">H60*E60</f>
        <v>431.4</v>
      </c>
      <c r="J60" s="5" t="str">
        <f aca="false">IF(H60=0,"—",IF(LowCashMode="ON",IF(LOW_CASH_MODE!R60="BUY NOW","BUY NOW","DEFER"),IF(REBALANCE_PLAN!M60&lt;&gt;"None","TRANSFER FIRST","BUY")))</f>
        <v>BUY</v>
      </c>
    </row>
    <row r="61" customFormat="false" ht="15" hidden="false" customHeight="false" outlineLevel="0" collapsed="false">
      <c r="A61" s="5" t="n">
        <f aca="false">ITEM_MASTER_CLEAN!A61</f>
        <v>60</v>
      </c>
      <c r="B61" s="5" t="n">
        <f aca="false">ITEM_MASTER_CLEAN!B61</f>
        <v>27034</v>
      </c>
      <c r="C61" s="5" t="str">
        <f aca="false">ITEM_MASTER_CLEAN!C61</f>
        <v>*NOUVEAU -gât d'anniversaire 6"6un</v>
      </c>
      <c r="D61" s="5" t="str">
        <f aca="false">ITEM_MASTER_CLEAN!E61</f>
        <v>LA DIPERIE</v>
      </c>
      <c r="E61" s="12" t="n">
        <f aca="false">ITEM_MASTER_CLEAN!F61</f>
        <v>35.22</v>
      </c>
      <c r="F61" s="5" t="n">
        <f aca="false">IF(LowCashMode="ON",LOW_CASH_MODE!L61,REBALANCE_PLAN!Q61)</f>
        <v>6</v>
      </c>
      <c r="G61" s="5" t="n">
        <f aca="false">IF(LowCashMode="ON",LOW_CASH_MODE!M61,REBALANCE_PLAN!R61)</f>
        <v>6</v>
      </c>
      <c r="H61" s="5" t="n">
        <f aca="false">F61+G61</f>
        <v>12</v>
      </c>
      <c r="I61" s="12" t="n">
        <f aca="false">H61*E61</f>
        <v>422.64</v>
      </c>
      <c r="J61" s="5" t="str">
        <f aca="false">IF(H61=0,"—",IF(LowCashMode="ON",IF(LOW_CASH_MODE!R61="BUY NOW","BUY NOW","DEFER"),IF(REBALANCE_PLAN!M61&lt;&gt;"None","TRANSFER FIRST","BUY")))</f>
        <v>BUY</v>
      </c>
    </row>
    <row r="62" customFormat="false" ht="15" hidden="false" customHeight="false" outlineLevel="0" collapsed="false">
      <c r="A62" s="5" t="n">
        <f aca="false">ITEM_MASTER_CLEAN!A62</f>
        <v>61</v>
      </c>
      <c r="B62" s="5" t="n">
        <f aca="false">ITEM_MASTER_CLEAN!B62</f>
        <v>28967</v>
      </c>
      <c r="C62" s="5" t="str">
        <f aca="false">ITEM_MASTER_CLEAN!C62</f>
        <v>PIE KEY LIME GRAHAM 10" KILO 12PC</v>
      </c>
      <c r="D62" s="5" t="str">
        <f aca="false">ITEM_MASTER_CLEAN!E62</f>
        <v>KILO</v>
      </c>
      <c r="E62" s="12" t="n">
        <f aca="false">ITEM_MASTER_CLEAN!F62</f>
        <v>48.15</v>
      </c>
      <c r="F62" s="5" t="n">
        <f aca="false">IF(LowCashMode="ON",LOW_CASH_MODE!L62,REBALANCE_PLAN!Q62)</f>
        <v>2</v>
      </c>
      <c r="G62" s="5" t="n">
        <f aca="false">IF(LowCashMode="ON",LOW_CASH_MODE!M62,REBALANCE_PLAN!R62)</f>
        <v>6</v>
      </c>
      <c r="H62" s="5" t="n">
        <f aca="false">F62+G62</f>
        <v>8</v>
      </c>
      <c r="I62" s="12" t="n">
        <f aca="false">H62*E62</f>
        <v>385.2</v>
      </c>
      <c r="J62" s="5" t="str">
        <f aca="false">IF(H62=0,"—",IF(LowCashMode="ON",IF(LOW_CASH_MODE!R62="BUY NOW","BUY NOW","DEFER"),IF(REBALANCE_PLAN!M62&lt;&gt;"None","TRANSFER FIRST","BUY")))</f>
        <v>BUY</v>
      </c>
    </row>
    <row r="63" customFormat="false" ht="15" hidden="false" customHeight="false" outlineLevel="0" collapsed="false">
      <c r="A63" s="5" t="n">
        <f aca="false">ITEM_MASTER_CLEAN!A63</f>
        <v>62</v>
      </c>
      <c r="B63" s="5" t="n">
        <f aca="false">ITEM_MASTER_CLEAN!B63</f>
        <v>31229</v>
      </c>
      <c r="C63" s="5" t="str">
        <f aca="false">ITEM_MASTER_CLEAN!C63</f>
        <v>LC ICE CRM MIX VANILLA 2X10L</v>
      </c>
      <c r="D63" s="5" t="str">
        <f aca="false">ITEM_MASTER_CLEAN!E63</f>
        <v>NATREL</v>
      </c>
      <c r="E63" s="12" t="n">
        <f aca="false">ITEM_MASTER_CLEAN!F63</f>
        <v>50.28</v>
      </c>
      <c r="F63" s="5" t="n">
        <f aca="false">IF(LowCashMode="ON",LOW_CASH_MODE!L63,REBALANCE_PLAN!Q63)</f>
        <v>2</v>
      </c>
      <c r="G63" s="5" t="n">
        <f aca="false">IF(LowCashMode="ON",LOW_CASH_MODE!M63,REBALANCE_PLAN!R63)</f>
        <v>4</v>
      </c>
      <c r="H63" s="5" t="n">
        <f aca="false">F63+G63</f>
        <v>6</v>
      </c>
      <c r="I63" s="12" t="n">
        <f aca="false">H63*E63</f>
        <v>301.68</v>
      </c>
      <c r="J63" s="5" t="str">
        <f aca="false">IF(H63=0,"—",IF(LowCashMode="ON",IF(LOW_CASH_MODE!R63="BUY NOW","BUY NOW","DEFER"),IF(REBALANCE_PLAN!M63&lt;&gt;"None","TRANSFER FIRST","BUY")))</f>
        <v>BUY</v>
      </c>
    </row>
    <row r="64" customFormat="false" ht="15" hidden="false" customHeight="false" outlineLevel="0" collapsed="false">
      <c r="A64" s="5" t="n">
        <f aca="false">ITEM_MASTER_CLEAN!A64</f>
        <v>63</v>
      </c>
      <c r="B64" s="5" t="n">
        <f aca="false">ITEM_MASTER_CLEAN!B64</f>
        <v>36756</v>
      </c>
      <c r="C64" s="5" t="str">
        <f aca="false">ITEM_MASTER_CLEAN!C64</f>
        <v>LADIP MANGO S/SERVE VEGAN 8X1.89L</v>
      </c>
      <c r="D64" s="5" t="str">
        <f aca="false">ITEM_MASTER_CLEAN!E64</f>
        <v>LA DIPERIE</v>
      </c>
      <c r="E64" s="12" t="n">
        <f aca="false">ITEM_MASTER_CLEAN!F64</f>
        <v>58.22</v>
      </c>
      <c r="F64" s="5" t="n">
        <f aca="false">IF(LowCashMode="ON",LOW_CASH_MODE!L64,REBALANCE_PLAN!Q64)</f>
        <v>0</v>
      </c>
      <c r="G64" s="5" t="n">
        <f aca="false">IF(LowCashMode="ON",LOW_CASH_MODE!M64,REBALANCE_PLAN!R64)</f>
        <v>16</v>
      </c>
      <c r="H64" s="5" t="n">
        <f aca="false">F64+G64</f>
        <v>16</v>
      </c>
      <c r="I64" s="12" t="n">
        <f aca="false">H64*E64</f>
        <v>931.52</v>
      </c>
      <c r="J64" s="5" t="str">
        <f aca="false">IF(H64=0,"—",IF(LowCashMode="ON",IF(LOW_CASH_MODE!R64="BUY NOW","BUY NOW","DEFER"),IF(REBALANCE_PLAN!M64&lt;&gt;"None","TRANSFER FIRST","BUY")))</f>
        <v>BUY</v>
      </c>
    </row>
    <row r="65" customFormat="false" ht="15" hidden="false" customHeight="false" outlineLevel="0" collapsed="false">
      <c r="A65" s="5" t="n">
        <f aca="false">ITEM_MASTER_CLEAN!A65</f>
        <v>64</v>
      </c>
      <c r="B65" s="5" t="n">
        <f aca="false">ITEM_MASTER_CLEAN!B65</f>
        <v>31231</v>
      </c>
      <c r="C65" s="5" t="str">
        <f aca="false">ITEM_MASTER_CLEAN!C65</f>
        <v>LC ICE CRM MIX CHOCOLATE 2X10L</v>
      </c>
      <c r="D65" s="5" t="str">
        <f aca="false">ITEM_MASTER_CLEAN!E65</f>
        <v>MTY</v>
      </c>
      <c r="E65" s="12" t="n">
        <f aca="false">ITEM_MASTER_CLEAN!F65</f>
        <v>60.66</v>
      </c>
      <c r="F65" s="5" t="n">
        <f aca="false">IF(LowCashMode="ON",LOW_CASH_MODE!L65,REBALANCE_PLAN!Q65)</f>
        <v>2</v>
      </c>
      <c r="G65" s="5" t="n">
        <f aca="false">IF(LowCashMode="ON",LOW_CASH_MODE!M65,REBALANCE_PLAN!R65)</f>
        <v>4</v>
      </c>
      <c r="H65" s="5" t="n">
        <f aca="false">F65+G65</f>
        <v>6</v>
      </c>
      <c r="I65" s="12" t="n">
        <f aca="false">H65*E65</f>
        <v>363.96</v>
      </c>
      <c r="J65" s="5" t="str">
        <f aca="false">IF(H65=0,"—",IF(LowCashMode="ON",IF(LOW_CASH_MODE!R65="BUY NOW","BUY NOW","DEFER"),IF(REBALANCE_PLAN!M65&lt;&gt;"None","TRANSFER FIRST","BUY")))</f>
        <v>BUY</v>
      </c>
    </row>
    <row r="66" customFormat="false" ht="15" hidden="false" customHeight="false" outlineLevel="0" collapsed="false">
      <c r="A66" s="5" t="n">
        <f aca="false">ITEM_MASTER_CLEAN!A66</f>
        <v>65</v>
      </c>
      <c r="B66" s="5" t="n">
        <f aca="false">ITEM_MASTER_CLEAN!B66</f>
        <v>30283</v>
      </c>
      <c r="C66" s="5" t="str">
        <f aca="false">ITEM_MASTER_CLEAN!C66</f>
        <v>BEV MILKSHAKE CARAMILK 12X310ML</v>
      </c>
      <c r="D66" s="5" t="str">
        <f aca="false">ITEM_MASTER_CLEAN!E66</f>
        <v>SAPUTO</v>
      </c>
      <c r="E66" s="12" t="n">
        <f aca="false">ITEM_MASTER_CLEAN!F66</f>
        <v>17.81</v>
      </c>
      <c r="F66" s="5" t="n">
        <f aca="false">IF(LowCashMode="ON",LOW_CASH_MODE!L66,REBALANCE_PLAN!Q66)</f>
        <v>24</v>
      </c>
      <c r="G66" s="5" t="n">
        <f aca="false">IF(LowCashMode="ON",LOW_CASH_MODE!M66,REBALANCE_PLAN!R66)</f>
        <v>0</v>
      </c>
      <c r="H66" s="5" t="n">
        <f aca="false">F66+G66</f>
        <v>24</v>
      </c>
      <c r="I66" s="12" t="n">
        <f aca="false">H66*E66</f>
        <v>427.44</v>
      </c>
      <c r="J66" s="5" t="str">
        <f aca="false">IF(H66=0,"—",IF(LowCashMode="ON",IF(LOW_CASH_MODE!R66="BUY NOW","BUY NOW","DEFER"),IF(REBALANCE_PLAN!M66&lt;&gt;"None","TRANSFER FIRST","BUY")))</f>
        <v>BUY</v>
      </c>
    </row>
    <row r="67" customFormat="false" ht="15" hidden="false" customHeight="false" outlineLevel="0" collapsed="false">
      <c r="A67" s="5" t="n">
        <f aca="false">ITEM_MASTER_CLEAN!A67</f>
        <v>66</v>
      </c>
      <c r="B67" s="5" t="n">
        <f aca="false">ITEM_MASTER_CLEAN!B67</f>
        <v>30282</v>
      </c>
      <c r="C67" s="5" t="str">
        <f aca="false">ITEM_MASTER_CLEAN!C67</f>
        <v>BEV MILKSHAKE COFFE CRISP 12X473ML</v>
      </c>
      <c r="D67" s="5" t="str">
        <f aca="false">ITEM_MASTER_CLEAN!E67</f>
        <v>SAPUTO</v>
      </c>
      <c r="E67" s="12" t="n">
        <f aca="false">ITEM_MASTER_CLEAN!F67</f>
        <v>5.23</v>
      </c>
      <c r="F67" s="5" t="n">
        <f aca="false">IF(LowCashMode="ON",LOW_CASH_MODE!L67,REBALANCE_PLAN!Q67)</f>
        <v>12</v>
      </c>
      <c r="G67" s="5" t="n">
        <f aca="false">IF(LowCashMode="ON",LOW_CASH_MODE!M67,REBALANCE_PLAN!R67)</f>
        <v>12</v>
      </c>
      <c r="H67" s="5" t="n">
        <f aca="false">F67+G67</f>
        <v>24</v>
      </c>
      <c r="I67" s="12" t="n">
        <f aca="false">H67*E67</f>
        <v>125.52</v>
      </c>
      <c r="J67" s="5" t="str">
        <f aca="false">IF(H67=0,"—",IF(LowCashMode="ON",IF(LOW_CASH_MODE!R67="BUY NOW","BUY NOW","DEFER"),IF(REBALANCE_PLAN!M67&lt;&gt;"None","TRANSFER FIRST","BUY")))</f>
        <v>BUY</v>
      </c>
    </row>
    <row r="68" customFormat="false" ht="15" hidden="false" customHeight="false" outlineLevel="0" collapsed="false">
      <c r="A68" s="5" t="n">
        <f aca="false">ITEM_MASTER_CLEAN!A68</f>
        <v>67</v>
      </c>
      <c r="B68" s="5" t="n">
        <f aca="false">ITEM_MASTER_CLEAN!B68</f>
        <v>31225</v>
      </c>
      <c r="C68" s="5" t="str">
        <f aca="false">ITEM_MASTER_CLEAN!C68</f>
        <v>PRVT MILK HOMO 2L</v>
      </c>
      <c r="D68" s="5" t="str">
        <f aca="false">ITEM_MASTER_CLEAN!E68</f>
        <v>NATREL</v>
      </c>
      <c r="E68" s="12" t="n">
        <f aca="false">ITEM_MASTER_CLEAN!F68</f>
        <v>4.4</v>
      </c>
      <c r="F68" s="5" t="n">
        <f aca="false">IF(LowCashMode="ON",LOW_CASH_MODE!L68,REBALANCE_PLAN!Q68)</f>
        <v>0</v>
      </c>
      <c r="G68" s="5" t="n">
        <f aca="false">IF(LowCashMode="ON",LOW_CASH_MODE!M68,REBALANCE_PLAN!R68)</f>
        <v>0</v>
      </c>
      <c r="H68" s="5" t="n">
        <f aca="false">F68+G68</f>
        <v>0</v>
      </c>
      <c r="I68" s="12" t="n">
        <f aca="false">H68*E68</f>
        <v>0</v>
      </c>
      <c r="J68" s="5" t="str">
        <f aca="false">IF(H68=0,"—",IF(LowCashMode="ON",IF(LOW_CASH_MODE!R68="BUY NOW","BUY NOW","DEFER"),IF(REBALANCE_PLAN!M68&lt;&gt;"None","TRANSFER FIRST","BUY")))</f>
        <v>—</v>
      </c>
    </row>
    <row r="69" customFormat="false" ht="15" hidden="false" customHeight="false" outlineLevel="0" collapsed="false">
      <c r="A69" s="5" t="n">
        <f aca="false">ITEM_MASTER_CLEAN!A69</f>
        <v>68</v>
      </c>
      <c r="B69" s="5" t="n">
        <f aca="false">ITEM_MASTER_CLEAN!B69</f>
        <v>31227</v>
      </c>
      <c r="C69" s="5" t="str">
        <f aca="false">ITEM_MASTER_CLEAN!C69</f>
        <v>PRVT MILK CHOCOLATE 2L</v>
      </c>
      <c r="D69" s="5" t="str">
        <f aca="false">ITEM_MASTER_CLEAN!E69</f>
        <v>NATREL</v>
      </c>
      <c r="E69" s="12" t="n">
        <f aca="false">ITEM_MASTER_CLEAN!F69</f>
        <v>4.97</v>
      </c>
      <c r="F69" s="5" t="n">
        <f aca="false">IF(LowCashMode="ON",LOW_CASH_MODE!L69,REBALANCE_PLAN!Q69)</f>
        <v>0</v>
      </c>
      <c r="G69" s="5" t="n">
        <f aca="false">IF(LowCashMode="ON",LOW_CASH_MODE!M69,REBALANCE_PLAN!R69)</f>
        <v>0</v>
      </c>
      <c r="H69" s="5" t="n">
        <f aca="false">F69+G69</f>
        <v>0</v>
      </c>
      <c r="I69" s="12" t="n">
        <f aca="false">H69*E69</f>
        <v>0</v>
      </c>
      <c r="J69" s="5" t="str">
        <f aca="false">IF(H69=0,"—",IF(LowCashMode="ON",IF(LOW_CASH_MODE!R69="BUY NOW","BUY NOW","DEFER"),IF(REBALANCE_PLAN!M69&lt;&gt;"None","TRANSFER FIRST","BUY")))</f>
        <v>—</v>
      </c>
    </row>
    <row r="70" customFormat="false" ht="15" hidden="false" customHeight="false" outlineLevel="0" collapsed="false">
      <c r="A70" s="5" t="n">
        <f aca="false">ITEM_MASTER_CLEAN!A70</f>
        <v>69</v>
      </c>
      <c r="B70" s="5" t="n">
        <f aca="false">ITEM_MASTER_CLEAN!B70</f>
        <v>31226</v>
      </c>
      <c r="C70" s="5" t="str">
        <f aca="false">ITEM_MASTER_CLEAN!C70</f>
        <v>PRVT MILK STRAWBERRY 473ML</v>
      </c>
      <c r="D70" s="5" t="str">
        <f aca="false">ITEM_MASTER_CLEAN!E70</f>
        <v>NATREL</v>
      </c>
      <c r="E70" s="12" t="n">
        <f aca="false">ITEM_MASTER_CLEAN!F70</f>
        <v>4.31</v>
      </c>
      <c r="F70" s="5" t="n">
        <f aca="false">IF(LowCashMode="ON",LOW_CASH_MODE!L70,REBALANCE_PLAN!Q70)</f>
        <v>13</v>
      </c>
      <c r="G70" s="5" t="n">
        <f aca="false">IF(LowCashMode="ON",LOW_CASH_MODE!M70,REBALANCE_PLAN!R70)</f>
        <v>9</v>
      </c>
      <c r="H70" s="5" t="n">
        <f aca="false">F70+G70</f>
        <v>22</v>
      </c>
      <c r="I70" s="12" t="n">
        <f aca="false">H70*E70</f>
        <v>94.82</v>
      </c>
      <c r="J70" s="5" t="str">
        <f aca="false">IF(H70=0,"—",IF(LowCashMode="ON",IF(LOW_CASH_MODE!R70="BUY NOW","BUY NOW","DEFER"),IF(REBALANCE_PLAN!M70&lt;&gt;"None","TRANSFER FIRST","BUY")))</f>
        <v>BUY</v>
      </c>
    </row>
    <row r="71" customFormat="false" ht="15" hidden="false" customHeight="false" outlineLevel="0" collapsed="false">
      <c r="A71" s="5" t="n">
        <f aca="false">ITEM_MASTER_CLEAN!A71</f>
        <v>70</v>
      </c>
      <c r="B71" s="5" t="n">
        <f aca="false">ITEM_MASTER_CLEAN!B71</f>
        <v>31221</v>
      </c>
      <c r="C71" s="5" t="str">
        <f aca="false">ITEM_MASTER_CLEAN!C71</f>
        <v>WHIP CREAM AEROSOL 19% 12X225G</v>
      </c>
      <c r="D71" s="5" t="str">
        <f aca="false">ITEM_MASTER_CLEAN!E71</f>
        <v>SAPUTO</v>
      </c>
      <c r="E71" s="12" t="n">
        <f aca="false">ITEM_MASTER_CLEAN!F71</f>
        <v>48.22</v>
      </c>
      <c r="F71" s="5" t="n">
        <f aca="false">IF(LowCashMode="ON",LOW_CASH_MODE!L71,REBALANCE_PLAN!Q71)</f>
        <v>0</v>
      </c>
      <c r="G71" s="5" t="n">
        <f aca="false">IF(LowCashMode="ON",LOW_CASH_MODE!M71,REBALANCE_PLAN!R71)</f>
        <v>0</v>
      </c>
      <c r="H71" s="5" t="n">
        <f aca="false">F71+G71</f>
        <v>0</v>
      </c>
      <c r="I71" s="12" t="n">
        <f aca="false">H71*E71</f>
        <v>0</v>
      </c>
      <c r="J71" s="5" t="str">
        <f aca="false">IF(H71=0,"—",IF(LowCashMode="ON",IF(LOW_CASH_MODE!R71="BUY NOW","BUY NOW","DEFER"),IF(REBALANCE_PLAN!M71&lt;&gt;"None","TRANSFER FIRST","BUY")))</f>
        <v>—</v>
      </c>
    </row>
    <row r="72" customFormat="false" ht="15" hidden="false" customHeight="false" outlineLevel="0" collapsed="false">
      <c r="A72" s="5" t="n">
        <f aca="false">ITEM_MASTER_CLEAN!A72</f>
        <v>71</v>
      </c>
      <c r="B72" s="5" t="n">
        <f aca="false">ITEM_MASTER_CLEAN!B72</f>
        <v>64878</v>
      </c>
      <c r="C72" s="5" t="str">
        <f aca="false">ITEM_MASTER_CLEAN!C72</f>
        <v>DIPP CUP 16OZ PL 31016MTYL PP* 1M</v>
      </c>
      <c r="D72" s="5" t="str">
        <f aca="false">ITEM_MASTER_CLEAN!E72</f>
        <v>POLAR</v>
      </c>
      <c r="E72" s="12" t="n">
        <f aca="false">ITEM_MASTER_CLEAN!F72</f>
        <v>19.1</v>
      </c>
      <c r="F72" s="5" t="n">
        <f aca="false">IF(LowCashMode="ON",LOW_CASH_MODE!L72,REBALANCE_PLAN!Q72)</f>
        <v>20</v>
      </c>
      <c r="G72" s="5" t="n">
        <f aca="false">IF(LowCashMode="ON",LOW_CASH_MODE!M72,REBALANCE_PLAN!R72)</f>
        <v>20</v>
      </c>
      <c r="H72" s="5" t="n">
        <f aca="false">F72+G72</f>
        <v>40</v>
      </c>
      <c r="I72" s="12" t="n">
        <f aca="false">H72*E72</f>
        <v>764</v>
      </c>
      <c r="J72" s="5" t="str">
        <f aca="false">IF(H72=0,"—",IF(LowCashMode="ON",IF(LOW_CASH_MODE!R72="BUY NOW","BUY NOW","DEFER"),IF(REBALANCE_PLAN!M72&lt;&gt;"None","TRANSFER FIRST","BUY")))</f>
        <v>BUY</v>
      </c>
    </row>
    <row r="73" customFormat="false" ht="15" hidden="false" customHeight="false" outlineLevel="0" collapsed="false">
      <c r="A73" s="5" t="n">
        <f aca="false">ITEM_MASTER_CLEAN!A73</f>
        <v>72</v>
      </c>
      <c r="B73" s="5" t="n">
        <f aca="false">ITEM_MASTER_CLEAN!B73</f>
        <v>61594</v>
      </c>
      <c r="C73" s="5" t="str">
        <f aca="false">ITEM_MASTER_CLEAN!C73</f>
        <v>Couv. Plat 16oz 10x100 units</v>
      </c>
      <c r="D73" s="5" t="str">
        <f aca="false">ITEM_MASTER_CLEAN!E73</f>
        <v>POLARPAK</v>
      </c>
      <c r="E73" s="12" t="n">
        <f aca="false">ITEM_MASTER_CLEAN!F73</f>
        <v>16.83</v>
      </c>
      <c r="F73" s="5" t="n">
        <f aca="false">IF(LowCashMode="ON",LOW_CASH_MODE!L73,REBALANCE_PLAN!Q73)</f>
        <v>0</v>
      </c>
      <c r="G73" s="5" t="n">
        <f aca="false">IF(LowCashMode="ON",LOW_CASH_MODE!M73,REBALANCE_PLAN!R73)</f>
        <v>0</v>
      </c>
      <c r="H73" s="5" t="n">
        <f aca="false">F73+G73</f>
        <v>0</v>
      </c>
      <c r="I73" s="12" t="n">
        <f aca="false">H73*E73</f>
        <v>0</v>
      </c>
      <c r="J73" s="5" t="str">
        <f aca="false">IF(H73=0,"—",IF(LowCashMode="ON",IF(LOW_CASH_MODE!R73="BUY NOW","BUY NOW","DEFER"),IF(REBALANCE_PLAN!M73&lt;&gt;"None","TRANSFER FIRST","BUY")))</f>
        <v>—</v>
      </c>
    </row>
    <row r="74" customFormat="false" ht="15" hidden="false" customHeight="false" outlineLevel="0" collapsed="false">
      <c r="A74" s="5" t="n">
        <f aca="false">ITEM_MASTER_CLEAN!A74</f>
        <v>73</v>
      </c>
      <c r="B74" s="5" t="n">
        <f aca="false">ITEM_MASTER_CLEAN!B74</f>
        <v>61593</v>
      </c>
      <c r="C74" s="5" t="str">
        <f aca="false">ITEM_MASTER_CLEAN!C74</f>
        <v>LID 16 OZ DOME W/SPOON HOLE PP X100</v>
      </c>
      <c r="D74" s="5" t="str">
        <f aca="false">ITEM_MASTER_CLEAN!E74</f>
        <v>POLARPAK</v>
      </c>
      <c r="E74" s="12" t="n">
        <f aca="false">ITEM_MASTER_CLEAN!F74</f>
        <v>17.88</v>
      </c>
      <c r="F74" s="5" t="n">
        <f aca="false">IF(LowCashMode="ON",LOW_CASH_MODE!L74,REBALANCE_PLAN!Q74)</f>
        <v>1</v>
      </c>
      <c r="G74" s="5" t="n">
        <f aca="false">IF(LowCashMode="ON",LOW_CASH_MODE!M74,REBALANCE_PLAN!R74)</f>
        <v>2</v>
      </c>
      <c r="H74" s="5" t="n">
        <f aca="false">F74+G74</f>
        <v>3</v>
      </c>
      <c r="I74" s="12" t="n">
        <f aca="false">H74*E74</f>
        <v>53.64</v>
      </c>
      <c r="J74" s="5" t="str">
        <f aca="false">IF(H74=0,"—",IF(LowCashMode="ON",IF(LOW_CASH_MODE!R74="BUY NOW","BUY NOW","DEFER"),IF(REBALANCE_PLAN!M74&lt;&gt;"None","TRANSFER FIRST","BUY")))</f>
        <v>BUY</v>
      </c>
    </row>
    <row r="75" customFormat="false" ht="15" hidden="false" customHeight="false" outlineLevel="0" collapsed="false">
      <c r="A75" s="5" t="n">
        <f aca="false">ITEM_MASTER_CLEAN!A75</f>
        <v>74</v>
      </c>
      <c r="B75" s="5" t="n">
        <f aca="false">ITEM_MASTER_CLEAN!B75</f>
        <v>32911</v>
      </c>
      <c r="C75" s="5" t="str">
        <f aca="false">ITEM_MASTER_CLEAN!C75</f>
        <v>Montreal paper cup 16oz</v>
      </c>
      <c r="D75" s="5" t="str">
        <f aca="false">ITEM_MASTER_CLEAN!E75</f>
        <v>SERV-A INC</v>
      </c>
      <c r="E75" s="12" t="n">
        <f aca="false">ITEM_MASTER_CLEAN!F75</f>
        <v>54.83</v>
      </c>
      <c r="F75" s="5" t="n">
        <f aca="false">IF(LowCashMode="ON",LOW_CASH_MODE!L75,REBALANCE_PLAN!Q75)</f>
        <v>14</v>
      </c>
      <c r="G75" s="5" t="n">
        <f aca="false">IF(LowCashMode="ON",LOW_CASH_MODE!M75,REBALANCE_PLAN!R75)</f>
        <v>0</v>
      </c>
      <c r="H75" s="5" t="n">
        <f aca="false">F75+G75</f>
        <v>14</v>
      </c>
      <c r="I75" s="12" t="n">
        <f aca="false">H75*E75</f>
        <v>767.62</v>
      </c>
      <c r="J75" s="5" t="str">
        <f aca="false">IF(H75=0,"—",IF(LowCashMode="ON",IF(LOW_CASH_MODE!R75="BUY NOW","BUY NOW","DEFER"),IF(REBALANCE_PLAN!M75&lt;&gt;"None","TRANSFER FIRST","BUY")))</f>
        <v>BUY</v>
      </c>
    </row>
    <row r="76" customFormat="false" ht="15" hidden="false" customHeight="false" outlineLevel="0" collapsed="false">
      <c r="A76" s="5" t="n">
        <f aca="false">ITEM_MASTER_CLEAN!A76</f>
        <v>75</v>
      </c>
      <c r="B76" s="5" t="n">
        <f aca="false">ITEM_MASTER_CLEAN!B76</f>
        <v>32912</v>
      </c>
      <c r="C76" s="5" t="str">
        <f aca="false">ITEM_MASTER_CLEAN!C76</f>
        <v>Montreal 16oz flat lid</v>
      </c>
      <c r="D76" s="5" t="str">
        <f aca="false">ITEM_MASTER_CLEAN!E76</f>
        <v>SERV-A INC</v>
      </c>
      <c r="E76" s="12" t="n">
        <f aca="false">ITEM_MASTER_CLEAN!F76</f>
        <v>31.79</v>
      </c>
      <c r="F76" s="5" t="n">
        <f aca="false">IF(LowCashMode="ON",LOW_CASH_MODE!L76,REBALANCE_PLAN!Q76)</f>
        <v>2</v>
      </c>
      <c r="G76" s="5" t="n">
        <f aca="false">IF(LowCashMode="ON",LOW_CASH_MODE!M76,REBALANCE_PLAN!R76)</f>
        <v>1</v>
      </c>
      <c r="H76" s="5" t="n">
        <f aca="false">F76+G76</f>
        <v>3</v>
      </c>
      <c r="I76" s="12" t="n">
        <f aca="false">H76*E76</f>
        <v>95.37</v>
      </c>
      <c r="J76" s="5" t="str">
        <f aca="false">IF(H76=0,"—",IF(LowCashMode="ON",IF(LOW_CASH_MODE!R76="BUY NOW","BUY NOW","DEFER"),IF(REBALANCE_PLAN!M76&lt;&gt;"None","TRANSFER FIRST","BUY")))</f>
        <v>BUY</v>
      </c>
    </row>
    <row r="77" customFormat="false" ht="15" hidden="false" customHeight="false" outlineLevel="0" collapsed="false">
      <c r="A77" s="5" t="n">
        <f aca="false">ITEM_MASTER_CLEAN!A77</f>
        <v>76</v>
      </c>
      <c r="B77" s="5" t="n">
        <f aca="false">ITEM_MASTER_CLEAN!B77</f>
        <v>34434</v>
      </c>
      <c r="C77" s="5" t="str">
        <f aca="false">ITEM_MASTER_CLEAN!C77</f>
        <v>Montreal 16oz dome lids</v>
      </c>
      <c r="D77" s="5" t="str">
        <f aca="false">ITEM_MASTER_CLEAN!E77</f>
        <v>CALIBRE</v>
      </c>
      <c r="E77" s="12" t="n">
        <f aca="false">ITEM_MASTER_CLEAN!F77</f>
        <v>19.15</v>
      </c>
      <c r="F77" s="5" t="n">
        <f aca="false">IF(LowCashMode="ON",LOW_CASH_MODE!L77,REBALANCE_PLAN!Q77)</f>
        <v>8</v>
      </c>
      <c r="G77" s="5" t="n">
        <f aca="false">IF(LowCashMode="ON",LOW_CASH_MODE!M77,REBALANCE_PLAN!R77)</f>
        <v>0</v>
      </c>
      <c r="H77" s="5" t="n">
        <f aca="false">F77+G77</f>
        <v>8</v>
      </c>
      <c r="I77" s="12" t="n">
        <f aca="false">H77*E77</f>
        <v>153.2</v>
      </c>
      <c r="J77" s="5" t="str">
        <f aca="false">IF(H77=0,"—",IF(LowCashMode="ON",IF(LOW_CASH_MODE!R77="BUY NOW","BUY NOW","DEFER"),IF(REBALANCE_PLAN!M77&lt;&gt;"None","TRANSFER FIRST","BUY")))</f>
        <v>BUY</v>
      </c>
    </row>
    <row r="78" customFormat="false" ht="15" hidden="false" customHeight="false" outlineLevel="0" collapsed="false">
      <c r="A78" s="5" t="n">
        <f aca="false">ITEM_MASTER_CLEAN!A78</f>
        <v>77</v>
      </c>
      <c r="B78" s="5" t="n">
        <f aca="false">ITEM_MASTER_CLEAN!B78</f>
        <v>63815</v>
      </c>
      <c r="C78" s="5" t="str">
        <f aca="false">ITEM_MASTER_CLEAN!C78</f>
        <v>STRAW 10" PAP  BLK JUMBO 8MM WRP 2M</v>
      </c>
      <c r="D78" s="5" t="str">
        <f aca="false">ITEM_MASTER_CLEAN!E78</f>
        <v>GRN CIRCLE</v>
      </c>
      <c r="E78" s="12" t="n">
        <f aca="false">ITEM_MASTER_CLEAN!F78</f>
        <v>27.44</v>
      </c>
      <c r="F78" s="5" t="n">
        <f aca="false">IF(LowCashMode="ON",LOW_CASH_MODE!L78,REBALANCE_PLAN!Q78)</f>
        <v>15</v>
      </c>
      <c r="G78" s="5" t="n">
        <f aca="false">IF(LowCashMode="ON",LOW_CASH_MODE!M78,REBALANCE_PLAN!R78)</f>
        <v>0</v>
      </c>
      <c r="H78" s="5" t="n">
        <f aca="false">F78+G78</f>
        <v>15</v>
      </c>
      <c r="I78" s="12" t="n">
        <f aca="false">H78*E78</f>
        <v>411.6</v>
      </c>
      <c r="J78" s="5" t="str">
        <f aca="false">IF(H78=0,"—",IF(LowCashMode="ON",IF(LOW_CASH_MODE!R78="BUY NOW","BUY NOW","DEFER"),IF(REBALANCE_PLAN!M78&lt;&gt;"None","TRANSFER FIRST","BUY")))</f>
        <v>BUY</v>
      </c>
    </row>
    <row r="79" customFormat="false" ht="15" hidden="false" customHeight="false" outlineLevel="0" collapsed="false">
      <c r="A79" s="5" t="n">
        <f aca="false">ITEM_MASTER_CLEAN!A79</f>
        <v>78</v>
      </c>
      <c r="B79" s="5" t="n">
        <f aca="false">ITEM_MASTER_CLEAN!B79</f>
        <v>63816</v>
      </c>
      <c r="C79" s="5" t="str">
        <f aca="false">ITEM_MASTER_CLEAN!C79</f>
        <v>STRAW 7.75"PAPER S/J 8MM BLK WRP 2M</v>
      </c>
      <c r="D79" s="5" t="str">
        <f aca="false">ITEM_MASTER_CLEAN!E79</f>
        <v>GRN CIRCLE</v>
      </c>
      <c r="E79" s="12" t="n">
        <f aca="false">ITEM_MASTER_CLEAN!F79</f>
        <v>26.22</v>
      </c>
      <c r="F79" s="5" t="n">
        <f aca="false">IF(LowCashMode="ON",LOW_CASH_MODE!L79,REBALANCE_PLAN!Q79)</f>
        <v>0</v>
      </c>
      <c r="G79" s="5" t="n">
        <f aca="false">IF(LowCashMode="ON",LOW_CASH_MODE!M79,REBALANCE_PLAN!R79)</f>
        <v>0</v>
      </c>
      <c r="H79" s="5" t="n">
        <f aca="false">F79+G79</f>
        <v>0</v>
      </c>
      <c r="I79" s="12" t="n">
        <f aca="false">H79*E79</f>
        <v>0</v>
      </c>
      <c r="J79" s="5" t="str">
        <f aca="false">IF(H79=0,"—",IF(LowCashMode="ON",IF(LOW_CASH_MODE!R79="BUY NOW","BUY NOW","DEFER"),IF(REBALANCE_PLAN!M79&lt;&gt;"None","TRANSFER FIRST","BUY")))</f>
        <v>—</v>
      </c>
    </row>
    <row r="80" customFormat="false" ht="15" hidden="false" customHeight="false" outlineLevel="0" collapsed="false">
      <c r="A80" s="5" t="n">
        <f aca="false">ITEM_MASTER_CLEAN!A80</f>
        <v>79</v>
      </c>
      <c r="B80" s="5" t="n">
        <f aca="false">ITEM_MASTER_CLEAN!B80</f>
        <v>61558</v>
      </c>
      <c r="C80" s="5" t="str">
        <f aca="false">ITEM_MASTER_CLEAN!C80</f>
        <v>STRAW 8.5" BBL/TEA 12MM WH/PAP 2M</v>
      </c>
      <c r="D80" s="5" t="str">
        <f aca="false">ITEM_MASTER_CLEAN!E80</f>
        <v>GREEN CIRC</v>
      </c>
      <c r="E80" s="12" t="n">
        <f aca="false">ITEM_MASTER_CLEAN!F80</f>
        <v>19.18</v>
      </c>
      <c r="F80" s="5" t="n">
        <f aca="false">IF(LowCashMode="ON",LOW_CASH_MODE!L80,REBALANCE_PLAN!Q80)</f>
        <v>0</v>
      </c>
      <c r="G80" s="5" t="n">
        <f aca="false">IF(LowCashMode="ON",LOW_CASH_MODE!M80,REBALANCE_PLAN!R80)</f>
        <v>0</v>
      </c>
      <c r="H80" s="5" t="n">
        <f aca="false">F80+G80</f>
        <v>0</v>
      </c>
      <c r="I80" s="12" t="n">
        <f aca="false">H80*E80</f>
        <v>0</v>
      </c>
      <c r="J80" s="5" t="str">
        <f aca="false">IF(H80=0,"—",IF(LowCashMode="ON",IF(LOW_CASH_MODE!R80="BUY NOW","BUY NOW","DEFER"),IF(REBALANCE_PLAN!M80&lt;&gt;"None","TRANSFER FIRST","BUY")))</f>
        <v>—</v>
      </c>
    </row>
    <row r="81" customFormat="false" ht="15" hidden="false" customHeight="false" outlineLevel="0" collapsed="false">
      <c r="A81" s="5" t="n">
        <f aca="false">ITEM_MASTER_CLEAN!A81</f>
        <v>80</v>
      </c>
      <c r="B81" s="5" t="n">
        <f aca="false">ITEM_MASTER_CLEAN!B81</f>
        <v>23511</v>
      </c>
      <c r="C81" s="5" t="str">
        <f aca="false">ITEM_MASTER_CLEAN!C81</f>
        <v>Nouv CRM GLC BISC MONSTRE 11.4L</v>
      </c>
      <c r="D81" s="5" t="str">
        <f aca="false">ITEM_MASTER_CLEAN!E81</f>
        <v>C.SMITH</v>
      </c>
      <c r="E81" s="12" t="n">
        <f aca="false">ITEM_MASTER_CLEAN!F81</f>
        <v>36.97</v>
      </c>
      <c r="F81" s="5" t="n">
        <f aca="false">IF(LowCashMode="ON",LOW_CASH_MODE!L81,REBALANCE_PLAN!Q81)</f>
        <v>9</v>
      </c>
      <c r="G81" s="5" t="n">
        <f aca="false">IF(LowCashMode="ON",LOW_CASH_MODE!M81,REBALANCE_PLAN!R81)</f>
        <v>6</v>
      </c>
      <c r="H81" s="5" t="n">
        <f aca="false">F81+G81</f>
        <v>15</v>
      </c>
      <c r="I81" s="12" t="n">
        <f aca="false">H81*E81</f>
        <v>554.55</v>
      </c>
      <c r="J81" s="5" t="str">
        <f aca="false">IF(H81=0,"—",IF(LowCashMode="ON",IF(LOW_CASH_MODE!R81="BUY NOW","BUY NOW","DEFER"),IF(REBALANCE_PLAN!M81&lt;&gt;"None","TRANSFER FIRST","BUY")))</f>
        <v>BUY</v>
      </c>
    </row>
    <row r="82" customFormat="false" ht="15" hidden="false" customHeight="false" outlineLevel="0" collapsed="false">
      <c r="A82" s="5" t="n">
        <f aca="false">ITEM_MASTER_CLEAN!A82</f>
        <v>81</v>
      </c>
      <c r="B82" s="5" t="n">
        <f aca="false">ITEM_MASTER_CLEAN!B82</f>
        <v>15422</v>
      </c>
      <c r="C82" s="5" t="str">
        <f aca="false">ITEM_MASTER_CLEAN!C82</f>
        <v>ICE CREAM CHOCOLATE 11.4L</v>
      </c>
      <c r="D82" s="5" t="str">
        <f aca="false">ITEM_MASTER_CLEAN!E82</f>
        <v>COATICOOK</v>
      </c>
      <c r="E82" s="12" t="n">
        <f aca="false">ITEM_MASTER_CLEAN!F82</f>
        <v>34.08</v>
      </c>
      <c r="F82" s="5" t="n">
        <f aca="false">IF(LowCashMode="ON",LOW_CASH_MODE!L82,REBALANCE_PLAN!Q82)</f>
        <v>2</v>
      </c>
      <c r="G82" s="5" t="n">
        <f aca="false">IF(LowCashMode="ON",LOW_CASH_MODE!M82,REBALANCE_PLAN!R82)</f>
        <v>2</v>
      </c>
      <c r="H82" s="5" t="n">
        <f aca="false">F82+G82</f>
        <v>4</v>
      </c>
      <c r="I82" s="12" t="n">
        <f aca="false">H82*E82</f>
        <v>136.32</v>
      </c>
      <c r="J82" s="5" t="str">
        <f aca="false">IF(H82=0,"—",IF(LowCashMode="ON",IF(LOW_CASH_MODE!R82="BUY NOW","BUY NOW","DEFER"),IF(REBALANCE_PLAN!M82&lt;&gt;"None","TRANSFER FIRST","BUY")))</f>
        <v>BUY</v>
      </c>
    </row>
    <row r="83" customFormat="false" ht="15" hidden="false" customHeight="false" outlineLevel="0" collapsed="false">
      <c r="A83" s="5" t="n">
        <f aca="false">ITEM_MASTER_CLEAN!A83</f>
        <v>82</v>
      </c>
      <c r="B83" s="5" t="n">
        <f aca="false">ITEM_MASTER_CLEAN!B83</f>
        <v>36840</v>
      </c>
      <c r="C83" s="5" t="str">
        <f aca="false">ITEM_MASTER_CLEAN!C83</f>
        <v>ICE CREAM COTTON CANDY 11449 11.4L</v>
      </c>
      <c r="D83" s="5" t="str">
        <f aca="false">ITEM_MASTER_CLEAN!E83</f>
        <v>COATICOOK</v>
      </c>
      <c r="E83" s="12" t="n">
        <f aca="false">ITEM_MASTER_CLEAN!F83</f>
        <v>36.7</v>
      </c>
      <c r="F83" s="5" t="n">
        <f aca="false">IF(LowCashMode="ON",LOW_CASH_MODE!L83,REBALANCE_PLAN!Q83)</f>
        <v>0</v>
      </c>
      <c r="G83" s="5" t="n">
        <f aca="false">IF(LowCashMode="ON",LOW_CASH_MODE!M83,REBALANCE_PLAN!R83)</f>
        <v>4</v>
      </c>
      <c r="H83" s="5" t="n">
        <f aca="false">F83+G83</f>
        <v>4</v>
      </c>
      <c r="I83" s="12" t="n">
        <f aca="false">H83*E83</f>
        <v>146.8</v>
      </c>
      <c r="J83" s="5" t="str">
        <f aca="false">IF(H83=0,"—",IF(LowCashMode="ON",IF(LOW_CASH_MODE!R83="BUY NOW","BUY NOW","DEFER"),IF(REBALANCE_PLAN!M83&lt;&gt;"None","TRANSFER FIRST","BUY")))</f>
        <v>BUY</v>
      </c>
    </row>
    <row r="84" customFormat="false" ht="15" hidden="false" customHeight="false" outlineLevel="0" collapsed="false">
      <c r="A84" s="5" t="n">
        <f aca="false">ITEM_MASTER_CLEAN!A84</f>
        <v>83</v>
      </c>
      <c r="B84" s="5" t="n">
        <f aca="false">ITEM_MASTER_CLEAN!B84</f>
        <v>36827</v>
      </c>
      <c r="C84" s="5" t="str">
        <f aca="false">ITEM_MASTER_CLEAN!C84</f>
        <v>ICE CREAM COOKIE/CRM 11438 11.4L</v>
      </c>
      <c r="D84" s="5" t="str">
        <f aca="false">ITEM_MASTER_CLEAN!E84</f>
        <v>COATICOOK</v>
      </c>
      <c r="E84" s="12" t="n">
        <f aca="false">ITEM_MASTER_CLEAN!F84</f>
        <v>39.91</v>
      </c>
      <c r="F84" s="5" t="n">
        <f aca="false">IF(LowCashMode="ON",LOW_CASH_MODE!L84,REBALANCE_PLAN!Q84)</f>
        <v>9</v>
      </c>
      <c r="G84" s="5" t="n">
        <f aca="false">IF(LowCashMode="ON",LOW_CASH_MODE!M84,REBALANCE_PLAN!R84)</f>
        <v>3</v>
      </c>
      <c r="H84" s="5" t="n">
        <f aca="false">F84+G84</f>
        <v>12</v>
      </c>
      <c r="I84" s="12" t="n">
        <f aca="false">H84*E84</f>
        <v>478.92</v>
      </c>
      <c r="J84" s="5" t="str">
        <f aca="false">IF(H84=0,"—",IF(LowCashMode="ON",IF(LOW_CASH_MODE!R84="BUY NOW","BUY NOW","DEFER"),IF(REBALANCE_PLAN!M84&lt;&gt;"None","TRANSFER FIRST","BUY")))</f>
        <v>BUY</v>
      </c>
    </row>
    <row r="85" customFormat="false" ht="15" hidden="false" customHeight="false" outlineLevel="0" collapsed="false">
      <c r="A85" s="5" t="n">
        <f aca="false">ITEM_MASTER_CLEAN!A85</f>
        <v>84</v>
      </c>
      <c r="B85" s="5" t="n">
        <f aca="false">ITEM_MASTER_CLEAN!B85</f>
        <v>36830</v>
      </c>
      <c r="C85" s="5" t="str">
        <f aca="false">ITEM_MASTER_CLEAN!C85</f>
        <v>ICE CREAM CHOC BROWNIE 11446 11.4L</v>
      </c>
      <c r="D85" s="5" t="str">
        <f aca="false">ITEM_MASTER_CLEAN!E85</f>
        <v>COATICOOK</v>
      </c>
      <c r="E85" s="12" t="n">
        <f aca="false">ITEM_MASTER_CLEAN!F85</f>
        <v>32.71</v>
      </c>
      <c r="F85" s="5" t="n">
        <f aca="false">IF(LowCashMode="ON",LOW_CASH_MODE!L85,REBALANCE_PLAN!Q85)</f>
        <v>0</v>
      </c>
      <c r="G85" s="5" t="n">
        <f aca="false">IF(LowCashMode="ON",LOW_CASH_MODE!M85,REBALANCE_PLAN!R85)</f>
        <v>0</v>
      </c>
      <c r="H85" s="5" t="n">
        <f aca="false">F85+G85</f>
        <v>0</v>
      </c>
      <c r="I85" s="12" t="n">
        <f aca="false">H85*E85</f>
        <v>0</v>
      </c>
      <c r="J85" s="5" t="str">
        <f aca="false">IF(H85=0,"—",IF(LowCashMode="ON",IF(LOW_CASH_MODE!R85="BUY NOW","BUY NOW","DEFER"),IF(REBALANCE_PLAN!M85&lt;&gt;"None","TRANSFER FIRST","BUY")))</f>
        <v>—</v>
      </c>
    </row>
    <row r="86" customFormat="false" ht="15" hidden="false" customHeight="false" outlineLevel="0" collapsed="false">
      <c r="A86" s="5" t="n">
        <f aca="false">ITEM_MASTER_CLEAN!A86</f>
        <v>85</v>
      </c>
      <c r="B86" s="5" t="n">
        <f aca="false">ITEM_MASTER_CLEAN!B86</f>
        <v>36828</v>
      </c>
      <c r="C86" s="5" t="str">
        <f aca="false">ITEM_MASTER_CLEAN!C86</f>
        <v>ICE CREAM PRALN/CRM 11440 11.4L</v>
      </c>
      <c r="D86" s="5" t="str">
        <f aca="false">ITEM_MASTER_CLEAN!E86</f>
        <v>COATICOOK</v>
      </c>
      <c r="E86" s="12" t="n">
        <f aca="false">ITEM_MASTER_CLEAN!F86</f>
        <v>35.04</v>
      </c>
      <c r="F86" s="5" t="n">
        <f aca="false">IF(LowCashMode="ON",LOW_CASH_MODE!L86,REBALANCE_PLAN!Q86)</f>
        <v>0</v>
      </c>
      <c r="G86" s="5" t="n">
        <f aca="false">IF(LowCashMode="ON",LOW_CASH_MODE!M86,REBALANCE_PLAN!R86)</f>
        <v>0</v>
      </c>
      <c r="H86" s="5" t="n">
        <f aca="false">F86+G86</f>
        <v>0</v>
      </c>
      <c r="I86" s="12" t="n">
        <f aca="false">H86*E86</f>
        <v>0</v>
      </c>
      <c r="J86" s="5" t="str">
        <f aca="false">IF(H86=0,"—",IF(LowCashMode="ON",IF(LOW_CASH_MODE!R86="BUY NOW","BUY NOW","DEFER"),IF(REBALANCE_PLAN!M86&lt;&gt;"None","TRANSFER FIRST","BUY")))</f>
        <v>—</v>
      </c>
    </row>
    <row r="87" customFormat="false" ht="15" hidden="false" customHeight="false" outlineLevel="0" collapsed="false">
      <c r="A87" s="5" t="n">
        <f aca="false">ITEM_MASTER_CLEAN!A87</f>
        <v>86</v>
      </c>
      <c r="B87" s="5" t="n">
        <f aca="false">ITEM_MASTER_CLEAN!B87</f>
        <v>36837</v>
      </c>
      <c r="C87" s="5" t="str">
        <f aca="false">ITEM_MASTER_CLEAN!C87</f>
        <v>ICE CREAM RIBAMBL 3-COL 11429 11.4L</v>
      </c>
      <c r="D87" s="5" t="str">
        <f aca="false">ITEM_MASTER_CLEAN!E87</f>
        <v>COATICOOK</v>
      </c>
      <c r="E87" s="12" t="n">
        <f aca="false">ITEM_MASTER_CLEAN!F87</f>
        <v>34.5</v>
      </c>
      <c r="F87" s="5" t="n">
        <f aca="false">IF(LowCashMode="ON",LOW_CASH_MODE!L87,REBALANCE_PLAN!Q87)</f>
        <v>1</v>
      </c>
      <c r="G87" s="5" t="n">
        <f aca="false">IF(LowCashMode="ON",LOW_CASH_MODE!M87,REBALANCE_PLAN!R87)</f>
        <v>2</v>
      </c>
      <c r="H87" s="5" t="n">
        <f aca="false">F87+G87</f>
        <v>3</v>
      </c>
      <c r="I87" s="12" t="n">
        <f aca="false">H87*E87</f>
        <v>103.5</v>
      </c>
      <c r="J87" s="5" t="str">
        <f aca="false">IF(H87=0,"—",IF(LowCashMode="ON",IF(LOW_CASH_MODE!R87="BUY NOW","BUY NOW","DEFER"),IF(REBALANCE_PLAN!M87&lt;&gt;"None","TRANSFER FIRST","BUY")))</f>
        <v>BUY</v>
      </c>
    </row>
    <row r="88" customFormat="false" ht="15" hidden="false" customHeight="false" outlineLevel="0" collapsed="false">
      <c r="A88" s="5" t="n">
        <f aca="false">ITEM_MASTER_CLEAN!A88</f>
        <v>87</v>
      </c>
      <c r="B88" s="5" t="n">
        <f aca="false">ITEM_MASTER_CLEAN!B88</f>
        <v>36835</v>
      </c>
      <c r="C88" s="5" t="str">
        <f aca="false">ITEM_MASTER_CLEAN!C88</f>
        <v>ICE CREAM MAPLE TAFFY 11426 11.4L</v>
      </c>
      <c r="D88" s="5" t="str">
        <f aca="false">ITEM_MASTER_CLEAN!E88</f>
        <v>COATICOOK</v>
      </c>
      <c r="E88" s="12" t="n">
        <f aca="false">ITEM_MASTER_CLEAN!F88</f>
        <v>38.72</v>
      </c>
      <c r="F88" s="5" t="n">
        <f aca="false">IF(LowCashMode="ON",LOW_CASH_MODE!L88,REBALANCE_PLAN!Q88)</f>
        <v>8</v>
      </c>
      <c r="G88" s="5" t="n">
        <f aca="false">IF(LowCashMode="ON",LOW_CASH_MODE!M88,REBALANCE_PLAN!R88)</f>
        <v>1</v>
      </c>
      <c r="H88" s="5" t="n">
        <f aca="false">F88+G88</f>
        <v>9</v>
      </c>
      <c r="I88" s="12" t="n">
        <f aca="false">H88*E88</f>
        <v>348.48</v>
      </c>
      <c r="J88" s="5" t="str">
        <f aca="false">IF(H88=0,"—",IF(LowCashMode="ON",IF(LOW_CASH_MODE!R88="BUY NOW","BUY NOW","DEFER"),IF(REBALANCE_PLAN!M88&lt;&gt;"None","TRANSFER FIRST","BUY")))</f>
        <v>BUY</v>
      </c>
    </row>
    <row r="89" customFormat="false" ht="15" hidden="false" customHeight="false" outlineLevel="0" collapsed="false">
      <c r="A89" s="5" t="n">
        <f aca="false">ITEM_MASTER_CLEAN!A89</f>
        <v>88</v>
      </c>
      <c r="B89" s="5" t="n">
        <f aca="false">ITEM_MASTER_CLEAN!B89</f>
        <v>36831</v>
      </c>
      <c r="C89" s="5" t="str">
        <f aca="false">ITEM_MASTER_CLEAN!C89</f>
        <v>ICE CREAM VANILLA 11401 11.4L</v>
      </c>
      <c r="D89" s="5" t="str">
        <f aca="false">ITEM_MASTER_CLEAN!E89</f>
        <v>COATICOOK</v>
      </c>
      <c r="E89" s="12" t="n">
        <f aca="false">ITEM_MASTER_CLEAN!F89</f>
        <v>33.56</v>
      </c>
      <c r="F89" s="5" t="n">
        <f aca="false">IF(LowCashMode="ON",LOW_CASH_MODE!L89,REBALANCE_PLAN!Q89)</f>
        <v>0</v>
      </c>
      <c r="G89" s="5" t="n">
        <f aca="false">IF(LowCashMode="ON",LOW_CASH_MODE!M89,REBALANCE_PLAN!R89)</f>
        <v>0</v>
      </c>
      <c r="H89" s="5" t="n">
        <f aca="false">F89+G89</f>
        <v>0</v>
      </c>
      <c r="I89" s="12" t="n">
        <f aca="false">H89*E89</f>
        <v>0</v>
      </c>
      <c r="J89" s="5" t="str">
        <f aca="false">IF(H89=0,"—",IF(LowCashMode="ON",IF(LOW_CASH_MODE!R89="BUY NOW","BUY NOW","DEFER"),IF(REBALANCE_PLAN!M89&lt;&gt;"None","TRANSFER FIRST","BUY")))</f>
        <v>—</v>
      </c>
    </row>
    <row r="90" customFormat="false" ht="15" hidden="false" customHeight="false" outlineLevel="0" collapsed="false">
      <c r="A90" s="5" t="n">
        <f aca="false">ITEM_MASTER_CLEAN!A90</f>
        <v>89</v>
      </c>
      <c r="B90" s="5" t="n">
        <f aca="false">ITEM_MASTER_CLEAN!B90</f>
        <v>15425</v>
      </c>
      <c r="C90" s="5" t="str">
        <f aca="false">ITEM_MASTER_CLEAN!C90</f>
        <v>ICE CRM COOKIE DGH/CHOC FUDGE 11.4L</v>
      </c>
      <c r="D90" s="5" t="str">
        <f aca="false">ITEM_MASTER_CLEAN!E90</f>
        <v>COATICOOK</v>
      </c>
      <c r="E90" s="12" t="n">
        <f aca="false">ITEM_MASTER_CLEAN!F90</f>
        <v>36.95</v>
      </c>
      <c r="F90" s="5" t="n">
        <f aca="false">IF(LowCashMode="ON",LOW_CASH_MODE!L90,REBALANCE_PLAN!Q90)</f>
        <v>9</v>
      </c>
      <c r="G90" s="5" t="n">
        <f aca="false">IF(LowCashMode="ON",LOW_CASH_MODE!M90,REBALANCE_PLAN!R90)</f>
        <v>2</v>
      </c>
      <c r="H90" s="5" t="n">
        <f aca="false">F90+G90</f>
        <v>11</v>
      </c>
      <c r="I90" s="12" t="n">
        <f aca="false">H90*E90</f>
        <v>406.45</v>
      </c>
      <c r="J90" s="5" t="str">
        <f aca="false">IF(H90=0,"—",IF(LowCashMode="ON",IF(LOW_CASH_MODE!R90="BUY NOW","BUY NOW","DEFER"),IF(REBALANCE_PLAN!M90&lt;&gt;"None","TRANSFER FIRST","BUY")))</f>
        <v>BUY</v>
      </c>
    </row>
    <row r="91" customFormat="false" ht="15" hidden="false" customHeight="false" outlineLevel="0" collapsed="false">
      <c r="A91" s="5" t="n">
        <f aca="false">ITEM_MASTER_CLEAN!A91</f>
        <v>90</v>
      </c>
      <c r="B91" s="5" t="n">
        <f aca="false">ITEM_MASTER_CLEAN!B91</f>
        <v>15424</v>
      </c>
      <c r="C91" s="5" t="str">
        <f aca="false">ITEM_MASTER_CLEAN!C91</f>
        <v>ICE CREAM MINT CHOC CHIP  11.4L</v>
      </c>
      <c r="D91" s="5" t="str">
        <f aca="false">ITEM_MASTER_CLEAN!E91</f>
        <v>COATICOOK</v>
      </c>
      <c r="E91" s="12" t="n">
        <f aca="false">ITEM_MASTER_CLEAN!F91</f>
        <v>37.15</v>
      </c>
      <c r="F91" s="5" t="n">
        <f aca="false">IF(LowCashMode="ON",LOW_CASH_MODE!L91,REBALANCE_PLAN!Q91)</f>
        <v>4</v>
      </c>
      <c r="G91" s="5" t="n">
        <f aca="false">IF(LowCashMode="ON",LOW_CASH_MODE!M91,REBALANCE_PLAN!R91)</f>
        <v>7</v>
      </c>
      <c r="H91" s="5" t="n">
        <f aca="false">F91+G91</f>
        <v>11</v>
      </c>
      <c r="I91" s="12" t="n">
        <f aca="false">H91*E91</f>
        <v>408.65</v>
      </c>
      <c r="J91" s="5" t="str">
        <f aca="false">IF(H91=0,"—",IF(LowCashMode="ON",IF(LOW_CASH_MODE!R91="BUY NOW","BUY NOW","DEFER"),IF(REBALANCE_PLAN!M91&lt;&gt;"None","TRANSFER FIRST","BUY")))</f>
        <v>BUY</v>
      </c>
    </row>
    <row r="92" customFormat="false" ht="15" hidden="false" customHeight="false" outlineLevel="0" collapsed="false">
      <c r="A92" s="5" t="n">
        <f aca="false">ITEM_MASTER_CLEAN!A92</f>
        <v>91</v>
      </c>
      <c r="B92" s="5" t="n">
        <f aca="false">ITEM_MASTER_CLEAN!B92</f>
        <v>36884</v>
      </c>
      <c r="C92" s="5" t="str">
        <f aca="false">ITEM_MASTER_CLEAN!C92</f>
        <v>ICE CRM CHOC/CHERRY/AMARETTO 11.4L</v>
      </c>
      <c r="D92" s="5" t="str">
        <f aca="false">ITEM_MASTER_CLEAN!E92</f>
        <v>COATICOOK</v>
      </c>
      <c r="E92" s="12" t="n">
        <f aca="false">ITEM_MASTER_CLEAN!F92</f>
        <v>39.6</v>
      </c>
      <c r="F92" s="5" t="n">
        <f aca="false">IF(LowCashMode="ON",LOW_CASH_MODE!L92,REBALANCE_PLAN!Q92)</f>
        <v>0</v>
      </c>
      <c r="G92" s="5" t="n">
        <f aca="false">IF(LowCashMode="ON",LOW_CASH_MODE!M92,REBALANCE_PLAN!R92)</f>
        <v>0</v>
      </c>
      <c r="H92" s="5" t="n">
        <f aca="false">F92+G92</f>
        <v>0</v>
      </c>
      <c r="I92" s="12" t="n">
        <f aca="false">H92*E92</f>
        <v>0</v>
      </c>
      <c r="J92" s="5" t="str">
        <f aca="false">IF(H92=0,"—",IF(LowCashMode="ON",IF(LOW_CASH_MODE!R92="BUY NOW","BUY NOW","DEFER"),IF(REBALANCE_PLAN!M92&lt;&gt;"None","TRANSFER FIRST","BUY")))</f>
        <v>—</v>
      </c>
    </row>
    <row r="93" customFormat="false" ht="15" hidden="false" customHeight="false" outlineLevel="0" collapsed="false">
      <c r="A93" s="5" t="n">
        <f aca="false">ITEM_MASTER_CLEAN!A93</f>
        <v>92</v>
      </c>
      <c r="B93" s="5" t="n">
        <f aca="false">ITEM_MASTER_CLEAN!B93</f>
        <v>15426</v>
      </c>
      <c r="C93" s="5" t="str">
        <f aca="false">ITEM_MASTER_CLEAN!C93</f>
        <v>ICE CRM DBL STRAWBERRY 11407 11.4L</v>
      </c>
      <c r="D93" s="5" t="str">
        <f aca="false">ITEM_MASTER_CLEAN!E93</f>
        <v>COATICOOK</v>
      </c>
      <c r="E93" s="12" t="n">
        <f aca="false">ITEM_MASTER_CLEAN!F93</f>
        <v>19.58</v>
      </c>
      <c r="F93" s="5" t="n">
        <f aca="false">IF(LowCashMode="ON",LOW_CASH_MODE!L93,REBALANCE_PLAN!Q93)</f>
        <v>0</v>
      </c>
      <c r="G93" s="5" t="n">
        <f aca="false">IF(LowCashMode="ON",LOW_CASH_MODE!M93,REBALANCE_PLAN!R93)</f>
        <v>0</v>
      </c>
      <c r="H93" s="5" t="n">
        <f aca="false">F93+G93</f>
        <v>0</v>
      </c>
      <c r="I93" s="12" t="n">
        <f aca="false">H93*E93</f>
        <v>0</v>
      </c>
      <c r="J93" s="5" t="str">
        <f aca="false">IF(H93=0,"—",IF(LowCashMode="ON",IF(LOW_CASH_MODE!R93="BUY NOW","BUY NOW","DEFER"),IF(REBALANCE_PLAN!M93&lt;&gt;"None","TRANSFER FIRST","BUY")))</f>
        <v>—</v>
      </c>
    </row>
    <row r="94" customFormat="false" ht="15" hidden="false" customHeight="false" outlineLevel="0" collapsed="false">
      <c r="A94" s="5" t="n">
        <f aca="false">ITEM_MASTER_CLEAN!A94</f>
        <v>93</v>
      </c>
      <c r="B94" s="5" t="n">
        <f aca="false">ITEM_MASTER_CLEAN!B94</f>
        <v>36846</v>
      </c>
      <c r="C94" s="5" t="str">
        <f aca="false">ITEM_MASTER_CLEAN!C94</f>
        <v>ICE CRM SALTED CARAMEL 11445 11.4L</v>
      </c>
      <c r="D94" s="5" t="str">
        <f aca="false">ITEM_MASTER_CLEAN!E94</f>
        <v>COATICOOK</v>
      </c>
      <c r="E94" s="12" t="n">
        <f aca="false">ITEM_MASTER_CLEAN!F94</f>
        <v>33.17</v>
      </c>
      <c r="F94" s="5" t="n">
        <f aca="false">IF(LowCashMode="ON",LOW_CASH_MODE!L94,REBALANCE_PLAN!Q94)</f>
        <v>3</v>
      </c>
      <c r="G94" s="5" t="n">
        <f aca="false">IF(LowCashMode="ON",LOW_CASH_MODE!M94,REBALANCE_PLAN!R94)</f>
        <v>3</v>
      </c>
      <c r="H94" s="5" t="n">
        <f aca="false">F94+G94</f>
        <v>6</v>
      </c>
      <c r="I94" s="12" t="n">
        <f aca="false">H94*E94</f>
        <v>199.02</v>
      </c>
      <c r="J94" s="5" t="str">
        <f aca="false">IF(H94=0,"—",IF(LowCashMode="ON",IF(LOW_CASH_MODE!R94="BUY NOW","BUY NOW","DEFER"),IF(REBALANCE_PLAN!M94&lt;&gt;"None","TRANSFER FIRST","BUY")))</f>
        <v>BUY</v>
      </c>
    </row>
    <row r="95" customFormat="false" ht="15" hidden="false" customHeight="false" outlineLevel="0" collapsed="false">
      <c r="A95" s="5" t="n">
        <f aca="false">ITEM_MASTER_CLEAN!A95</f>
        <v>94</v>
      </c>
      <c r="B95" s="5" t="n">
        <f aca="false">ITEM_MASTER_CLEAN!B95</f>
        <v>15423</v>
      </c>
      <c r="C95" s="5" t="str">
        <f aca="false">ITEM_MASTER_CLEAN!C95</f>
        <v>ICE CREAM PISTACHIO 11416 11.4L</v>
      </c>
      <c r="D95" s="5" t="str">
        <f aca="false">ITEM_MASTER_CLEAN!E95</f>
        <v>COATICOOK</v>
      </c>
      <c r="E95" s="12" t="n">
        <f aca="false">ITEM_MASTER_CLEAN!F95</f>
        <v>36.72</v>
      </c>
      <c r="F95" s="5" t="n">
        <f aca="false">IF(LowCashMode="ON",LOW_CASH_MODE!L95,REBALANCE_PLAN!Q95)</f>
        <v>7</v>
      </c>
      <c r="G95" s="5" t="n">
        <f aca="false">IF(LowCashMode="ON",LOW_CASH_MODE!M95,REBALANCE_PLAN!R95)</f>
        <v>3</v>
      </c>
      <c r="H95" s="5" t="n">
        <f aca="false">F95+G95</f>
        <v>10</v>
      </c>
      <c r="I95" s="12" t="n">
        <f aca="false">H95*E95</f>
        <v>367.2</v>
      </c>
      <c r="J95" s="5" t="str">
        <f aca="false">IF(H95=0,"—",IF(LowCashMode="ON",IF(LOW_CASH_MODE!R95="BUY NOW","BUY NOW","DEFER"),IF(REBALANCE_PLAN!M95&lt;&gt;"None","TRANSFER FIRST","BUY")))</f>
        <v>BUY</v>
      </c>
    </row>
    <row r="96" customFormat="false" ht="15" hidden="false" customHeight="false" outlineLevel="0" collapsed="false">
      <c r="A96" s="5" t="n">
        <f aca="false">ITEM_MASTER_CLEAN!A96</f>
        <v>95</v>
      </c>
      <c r="B96" s="5" t="n">
        <f aca="false">ITEM_MASTER_CLEAN!B96</f>
        <v>36824</v>
      </c>
      <c r="C96" s="5" t="str">
        <f aca="false">ITEM_MASTER_CLEAN!C96</f>
        <v>LC ICE CRM PCN/CARAM/FDG11435 11.4L</v>
      </c>
      <c r="D96" s="5" t="str">
        <f aca="false">ITEM_MASTER_CLEAN!E96</f>
        <v>COATICOOK</v>
      </c>
      <c r="E96" s="12" t="n">
        <f aca="false">ITEM_MASTER_CLEAN!F96</f>
        <v>34.76</v>
      </c>
      <c r="F96" s="5" t="n">
        <f aca="false">IF(LowCashMode="ON",LOW_CASH_MODE!L96,REBALANCE_PLAN!Q96)</f>
        <v>4</v>
      </c>
      <c r="G96" s="5" t="n">
        <f aca="false">IF(LowCashMode="ON",LOW_CASH_MODE!M96,REBALANCE_PLAN!R96)</f>
        <v>2</v>
      </c>
      <c r="H96" s="5" t="n">
        <f aca="false">F96+G96</f>
        <v>6</v>
      </c>
      <c r="I96" s="12" t="n">
        <f aca="false">H96*E96</f>
        <v>208.56</v>
      </c>
      <c r="J96" s="5" t="str">
        <f aca="false">IF(H96=0,"—",IF(LowCashMode="ON",IF(LOW_CASH_MODE!R96="BUY NOW","BUY NOW","DEFER"),IF(REBALANCE_PLAN!M96&lt;&gt;"None","TRANSFER FIRST","BUY")))</f>
        <v>BUY</v>
      </c>
    </row>
    <row r="97" customFormat="false" ht="15" hidden="false" customHeight="false" outlineLevel="0" collapsed="false">
      <c r="A97" s="5" t="n">
        <f aca="false">ITEM_MASTER_CLEAN!A97</f>
        <v>96</v>
      </c>
      <c r="B97" s="5" t="n">
        <f aca="false">ITEM_MASTER_CLEAN!B97</f>
        <v>36833</v>
      </c>
      <c r="C97" s="5" t="str">
        <f aca="false">ITEM_MASTER_CLEAN!C97</f>
        <v>ICE CREAM BUBBLE GUM 11413 11.4L</v>
      </c>
      <c r="D97" s="5" t="str">
        <f aca="false">ITEM_MASTER_CLEAN!E97</f>
        <v>COATICOOK</v>
      </c>
      <c r="E97" s="12" t="n">
        <f aca="false">ITEM_MASTER_CLEAN!F97</f>
        <v>37.87</v>
      </c>
      <c r="F97" s="5" t="n">
        <f aca="false">IF(LowCashMode="ON",LOW_CASH_MODE!L97,REBALANCE_PLAN!Q97)</f>
        <v>8</v>
      </c>
      <c r="G97" s="5" t="n">
        <f aca="false">IF(LowCashMode="ON",LOW_CASH_MODE!M97,REBALANCE_PLAN!R97)</f>
        <v>4</v>
      </c>
      <c r="H97" s="5" t="n">
        <f aca="false">F97+G97</f>
        <v>12</v>
      </c>
      <c r="I97" s="12" t="n">
        <f aca="false">H97*E97</f>
        <v>454.44</v>
      </c>
      <c r="J97" s="5" t="str">
        <f aca="false">IF(H97=0,"—",IF(LowCashMode="ON",IF(LOW_CASH_MODE!R97="BUY NOW","BUY NOW","DEFER"),IF(REBALANCE_PLAN!M97&lt;&gt;"None","TRANSFER FIRST","BUY")))</f>
        <v>BUY</v>
      </c>
    </row>
    <row r="98" customFormat="false" ht="15" hidden="false" customHeight="false" outlineLevel="0" collapsed="false">
      <c r="A98" s="5" t="n">
        <f aca="false">ITEM_MASTER_CLEAN!A98</f>
        <v>97</v>
      </c>
      <c r="B98" s="5" t="n">
        <f aca="false">ITEM_MASTER_CLEAN!B98</f>
        <v>32183</v>
      </c>
      <c r="C98" s="5" t="str">
        <f aca="false">ITEM_MASTER_CLEAN!C98</f>
        <v>ICE CREAM MANGO 851 11.4L</v>
      </c>
      <c r="D98" s="5" t="str">
        <f aca="false">ITEM_MASTER_CLEAN!E98</f>
        <v>C.SMITH</v>
      </c>
      <c r="E98" s="12" t="n">
        <f aca="false">ITEM_MASTER_CLEAN!F98</f>
        <v>43.33</v>
      </c>
      <c r="F98" s="5" t="n">
        <f aca="false">IF(LowCashMode="ON",LOW_CASH_MODE!L98,REBALANCE_PLAN!Q98)</f>
        <v>0</v>
      </c>
      <c r="G98" s="5" t="n">
        <f aca="false">IF(LowCashMode="ON",LOW_CASH_MODE!M98,REBALANCE_PLAN!R98)</f>
        <v>4</v>
      </c>
      <c r="H98" s="5" t="n">
        <f aca="false">F98+G98</f>
        <v>4</v>
      </c>
      <c r="I98" s="12" t="n">
        <f aca="false">H98*E98</f>
        <v>173.32</v>
      </c>
      <c r="J98" s="5" t="str">
        <f aca="false">IF(H98=0,"—",IF(LowCashMode="ON",IF(LOW_CASH_MODE!R98="BUY NOW","BUY NOW","DEFER"),IF(REBALANCE_PLAN!M98&lt;&gt;"None","TRANSFER FIRST","BUY")))</f>
        <v>BUY</v>
      </c>
    </row>
    <row r="99" customFormat="false" ht="15" hidden="false" customHeight="false" outlineLevel="0" collapsed="false">
      <c r="A99" s="5" t="n">
        <f aca="false">ITEM_MASTER_CLEAN!A99</f>
        <v>98</v>
      </c>
      <c r="B99" s="5" t="n">
        <f aca="false">ITEM_MASTER_CLEAN!B99</f>
        <v>15427</v>
      </c>
      <c r="C99" s="5" t="str">
        <f aca="false">ITEM_MASTER_CLEAN!C99</f>
        <v>ICE CREAM RHUM&amp;RAISIN 11.4L</v>
      </c>
      <c r="D99" s="5" t="str">
        <f aca="false">ITEM_MASTER_CLEAN!E99</f>
        <v>COATICOOK</v>
      </c>
      <c r="E99" s="12" t="n">
        <f aca="false">ITEM_MASTER_CLEAN!F99</f>
        <v>40.11</v>
      </c>
      <c r="F99" s="5" t="n">
        <f aca="false">IF(LowCashMode="ON",LOW_CASH_MODE!L99,REBALANCE_PLAN!Q99)</f>
        <v>9</v>
      </c>
      <c r="G99" s="5" t="n">
        <f aca="false">IF(LowCashMode="ON",LOW_CASH_MODE!M99,REBALANCE_PLAN!R99)</f>
        <v>3</v>
      </c>
      <c r="H99" s="5" t="n">
        <f aca="false">F99+G99</f>
        <v>12</v>
      </c>
      <c r="I99" s="12" t="n">
        <f aca="false">H99*E99</f>
        <v>481.32</v>
      </c>
      <c r="J99" s="5" t="str">
        <f aca="false">IF(H99=0,"—",IF(LowCashMode="ON",IF(LOW_CASH_MODE!R99="BUY NOW","BUY NOW","DEFER"),IF(REBALANCE_PLAN!M99&lt;&gt;"None","TRANSFER FIRST","BUY")))</f>
        <v>BUY</v>
      </c>
    </row>
    <row r="100" customFormat="false" ht="15" hidden="false" customHeight="false" outlineLevel="0" collapsed="false">
      <c r="A100" s="5" t="n">
        <f aca="false">ITEM_MASTER_CLEAN!A100</f>
        <v>99</v>
      </c>
      <c r="B100" s="5" t="n">
        <f aca="false">ITEM_MASTER_CLEAN!B100</f>
        <v>15429</v>
      </c>
      <c r="C100" s="5" t="str">
        <f aca="false">ITEM_MASTER_CLEAN!C100</f>
        <v>ICE CREAM CHERRY CHEESECAKE 11.4L</v>
      </c>
      <c r="D100" s="5" t="str">
        <f aca="false">ITEM_MASTER_CLEAN!E100</f>
        <v>COATICOOK</v>
      </c>
      <c r="E100" s="12" t="n">
        <f aca="false">ITEM_MASTER_CLEAN!F100</f>
        <v>40.74</v>
      </c>
      <c r="F100" s="5" t="n">
        <f aca="false">IF(LowCashMode="ON",LOW_CASH_MODE!L100,REBALANCE_PLAN!Q100)</f>
        <v>8</v>
      </c>
      <c r="G100" s="5" t="n">
        <f aca="false">IF(LowCashMode="ON",LOW_CASH_MODE!M100,REBALANCE_PLAN!R100)</f>
        <v>2</v>
      </c>
      <c r="H100" s="5" t="n">
        <f aca="false">F100+G100</f>
        <v>10</v>
      </c>
      <c r="I100" s="12" t="n">
        <f aca="false">H100*E100</f>
        <v>407.4</v>
      </c>
      <c r="J100" s="5" t="str">
        <f aca="false">IF(H100=0,"—",IF(LowCashMode="ON",IF(LOW_CASH_MODE!R100="BUY NOW","BUY NOW","DEFER"),IF(REBALANCE_PLAN!M100&lt;&gt;"None","TRANSFER FIRST","BUY")))</f>
        <v>BUY</v>
      </c>
    </row>
    <row r="101" customFormat="false" ht="15" hidden="false" customHeight="false" outlineLevel="0" collapsed="false">
      <c r="A101" s="5" t="n">
        <f aca="false">ITEM_MASTER_CLEAN!A101</f>
        <v>100</v>
      </c>
      <c r="B101" s="5" t="n">
        <f aca="false">ITEM_MASTER_CLEAN!B101</f>
        <v>32180</v>
      </c>
      <c r="C101" s="5" t="str">
        <f aca="false">ITEM_MASTER_CLEAN!C101</f>
        <v>SORBET LEMON LIME 152 11.4L</v>
      </c>
      <c r="D101" s="5" t="str">
        <f aca="false">ITEM_MASTER_CLEAN!E101</f>
        <v>C.SMITH</v>
      </c>
      <c r="E101" s="12" t="n">
        <f aca="false">ITEM_MASTER_CLEAN!F101</f>
        <v>35.54</v>
      </c>
      <c r="F101" s="5" t="n">
        <f aca="false">IF(LowCashMode="ON",LOW_CASH_MODE!L101,REBALANCE_PLAN!Q101)</f>
        <v>0</v>
      </c>
      <c r="G101" s="5" t="n">
        <f aca="false">IF(LowCashMode="ON",LOW_CASH_MODE!M101,REBALANCE_PLAN!R101)</f>
        <v>0</v>
      </c>
      <c r="H101" s="5" t="n">
        <f aca="false">F101+G101</f>
        <v>0</v>
      </c>
      <c r="I101" s="12" t="n">
        <f aca="false">H101*E101</f>
        <v>0</v>
      </c>
      <c r="J101" s="5" t="str">
        <f aca="false">IF(H101=0,"—",IF(LowCashMode="ON",IF(LOW_CASH_MODE!R101="BUY NOW","BUY NOW","DEFER"),IF(REBALANCE_PLAN!M101&lt;&gt;"None","TRANSFER FIRST","BUY")))</f>
        <v>—</v>
      </c>
    </row>
    <row r="102" customFormat="false" ht="15" hidden="false" customHeight="false" outlineLevel="0" collapsed="false">
      <c r="A102" s="5" t="n">
        <f aca="false">ITEM_MASTER_CLEAN!A102</f>
        <v>101</v>
      </c>
      <c r="B102" s="5" t="n">
        <f aca="false">ITEM_MASTER_CLEAN!B102</f>
        <v>32181</v>
      </c>
      <c r="C102" s="5" t="str">
        <f aca="false">ITEM_MASTER_CLEAN!C102</f>
        <v>SORBET STRAWBERRY 162 11.4L</v>
      </c>
      <c r="D102" s="5" t="str">
        <f aca="false">ITEM_MASTER_CLEAN!E102</f>
        <v>C.SMITH</v>
      </c>
      <c r="E102" s="12" t="n">
        <f aca="false">ITEM_MASTER_CLEAN!F102</f>
        <v>25.19</v>
      </c>
      <c r="F102" s="5" t="n">
        <f aca="false">IF(LowCashMode="ON",LOW_CASH_MODE!L102,REBALANCE_PLAN!Q102)</f>
        <v>5</v>
      </c>
      <c r="G102" s="5" t="n">
        <f aca="false">IF(LowCashMode="ON",LOW_CASH_MODE!M102,REBALANCE_PLAN!R102)</f>
        <v>0</v>
      </c>
      <c r="H102" s="5" t="n">
        <f aca="false">F102+G102</f>
        <v>5</v>
      </c>
      <c r="I102" s="12" t="n">
        <f aca="false">H102*E102</f>
        <v>125.95</v>
      </c>
      <c r="J102" s="5" t="str">
        <f aca="false">IF(H102=0,"—",IF(LowCashMode="ON",IF(LOW_CASH_MODE!R102="BUY NOW","BUY NOW","DEFER"),IF(REBALANCE_PLAN!M102&lt;&gt;"None","TRANSFER FIRST","BUY")))</f>
        <v>BUY</v>
      </c>
    </row>
    <row r="103" customFormat="false" ht="15" hidden="false" customHeight="false" outlineLevel="0" collapsed="false">
      <c r="A103" s="5" t="n">
        <f aca="false">ITEM_MASTER_CLEAN!A103</f>
        <v>102</v>
      </c>
      <c r="B103" s="5" t="n">
        <f aca="false">ITEM_MASTER_CLEAN!B103</f>
        <v>32182</v>
      </c>
      <c r="C103" s="5" t="str">
        <f aca="false">ITEM_MASTER_CLEAN!C103</f>
        <v>SHERBERT WATERMELON 860 11.4L</v>
      </c>
      <c r="D103" s="5" t="str">
        <f aca="false">ITEM_MASTER_CLEAN!E103</f>
        <v>C.SMITH</v>
      </c>
      <c r="E103" s="12" t="n">
        <f aca="false">ITEM_MASTER_CLEAN!F103</f>
        <v>41.04</v>
      </c>
      <c r="F103" s="5" t="n">
        <f aca="false">IF(LowCashMode="ON",LOW_CASH_MODE!L103,REBALANCE_PLAN!Q103)</f>
        <v>1</v>
      </c>
      <c r="G103" s="5" t="n">
        <f aca="false">IF(LowCashMode="ON",LOW_CASH_MODE!M103,REBALANCE_PLAN!R103)</f>
        <v>2</v>
      </c>
      <c r="H103" s="5" t="n">
        <f aca="false">F103+G103</f>
        <v>3</v>
      </c>
      <c r="I103" s="12" t="n">
        <f aca="false">H103*E103</f>
        <v>123.12</v>
      </c>
      <c r="J103" s="5" t="str">
        <f aca="false">IF(H103=0,"—",IF(LowCashMode="ON",IF(LOW_CASH_MODE!R103="BUY NOW","BUY NOW","DEFER"),IF(REBALANCE_PLAN!M103&lt;&gt;"None","TRANSFER FIRST","BUY")))</f>
        <v>BUY</v>
      </c>
    </row>
    <row r="104" customFormat="false" ht="15" hidden="false" customHeight="false" outlineLevel="0" collapsed="false">
      <c r="A104" s="5" t="n">
        <f aca="false">ITEM_MASTER_CLEAN!A104</f>
        <v>103</v>
      </c>
      <c r="B104" s="5" t="n">
        <f aca="false">ITEM_MASTER_CLEAN!B104</f>
        <v>32184</v>
      </c>
      <c r="C104" s="5" t="str">
        <f aca="false">ITEM_MASTER_CLEAN!C104</f>
        <v>SORBET PEACH 11.4L</v>
      </c>
      <c r="D104" s="5" t="str">
        <f aca="false">ITEM_MASTER_CLEAN!E104</f>
        <v>C.SMITH</v>
      </c>
      <c r="E104" s="12" t="n">
        <f aca="false">ITEM_MASTER_CLEAN!F104</f>
        <v>35.46</v>
      </c>
      <c r="F104" s="5" t="n">
        <f aca="false">IF(LowCashMode="ON",LOW_CASH_MODE!L104,REBALANCE_PLAN!Q104)</f>
        <v>2</v>
      </c>
      <c r="G104" s="5" t="n">
        <f aca="false">IF(LowCashMode="ON",LOW_CASH_MODE!M104,REBALANCE_PLAN!R104)</f>
        <v>1</v>
      </c>
      <c r="H104" s="5" t="n">
        <f aca="false">F104+G104</f>
        <v>3</v>
      </c>
      <c r="I104" s="12" t="n">
        <f aca="false">H104*E104</f>
        <v>106.38</v>
      </c>
      <c r="J104" s="5" t="str">
        <f aca="false">IF(H104=0,"—",IF(LowCashMode="ON",IF(LOW_CASH_MODE!R104="BUY NOW","BUY NOW","DEFER"),IF(REBALANCE_PLAN!M104&lt;&gt;"None","TRANSFER FIRST","BUY")))</f>
        <v>BUY</v>
      </c>
    </row>
    <row r="105" customFormat="false" ht="15" hidden="false" customHeight="false" outlineLevel="0" collapsed="false">
      <c r="A105" s="5" t="n">
        <f aca="false">ITEM_MASTER_CLEAN!A105</f>
        <v>104</v>
      </c>
      <c r="B105" s="5" t="n">
        <f aca="false">ITEM_MASTER_CLEAN!B105</f>
        <v>32185</v>
      </c>
      <c r="C105" s="5" t="str">
        <f aca="false">ITEM_MASTER_CLEAN!C105</f>
        <v>MONSTER COOKIE ICE CRM BAR 8X4UN</v>
      </c>
      <c r="D105" s="5" t="str">
        <f aca="false">ITEM_MASTER_CLEAN!E105</f>
        <v>CENT SMITH</v>
      </c>
      <c r="E105" s="12" t="n">
        <f aca="false">ITEM_MASTER_CLEAN!F105</f>
        <v>53.26</v>
      </c>
      <c r="F105" s="5" t="n">
        <f aca="false">IF(LowCashMode="ON",LOW_CASH_MODE!L105,REBALANCE_PLAN!Q105)</f>
        <v>0</v>
      </c>
      <c r="G105" s="5" t="n">
        <f aca="false">IF(LowCashMode="ON",LOW_CASH_MODE!M105,REBALANCE_PLAN!R105)</f>
        <v>8</v>
      </c>
      <c r="H105" s="5" t="n">
        <f aca="false">F105+G105</f>
        <v>8</v>
      </c>
      <c r="I105" s="12" t="n">
        <f aca="false">H105*E105</f>
        <v>426.08</v>
      </c>
      <c r="J105" s="5" t="str">
        <f aca="false">IF(H105=0,"—",IF(LowCashMode="ON",IF(LOW_CASH_MODE!R105="BUY NOW","BUY NOW","DEFER"),IF(REBALANCE_PLAN!M105&lt;&gt;"None","TRANSFER FIRST","BUY")))</f>
        <v>BUY</v>
      </c>
    </row>
    <row r="106" customFormat="false" ht="15" hidden="false" customHeight="false" outlineLevel="0" collapsed="false">
      <c r="A106" s="5" t="n">
        <f aca="false">ITEM_MASTER_CLEAN!A106</f>
        <v>105</v>
      </c>
      <c r="B106" s="5" t="n">
        <f aca="false">ITEM_MASTER_CLEAN!B106</f>
        <v>37191</v>
      </c>
      <c r="C106" s="5" t="str">
        <f aca="false">ITEM_MASTER_CLEAN!C106</f>
        <v>BAR VEGAN CHOC SV20214 24UN</v>
      </c>
      <c r="D106" s="5" t="str">
        <f aca="false">ITEM_MASTER_CLEAN!E106</f>
        <v>MTY</v>
      </c>
      <c r="E106" s="12" t="n">
        <f aca="false">ITEM_MASTER_CLEAN!F106</f>
        <v>48.55</v>
      </c>
      <c r="F106" s="5" t="n">
        <f aca="false">IF(LowCashMode="ON",LOW_CASH_MODE!L106,REBALANCE_PLAN!Q106)</f>
        <v>24</v>
      </c>
      <c r="G106" s="5" t="n">
        <f aca="false">IF(LowCashMode="ON",LOW_CASH_MODE!M106,REBALANCE_PLAN!R106)</f>
        <v>24</v>
      </c>
      <c r="H106" s="5" t="n">
        <f aca="false">F106+G106</f>
        <v>48</v>
      </c>
      <c r="I106" s="12" t="n">
        <f aca="false">H106*E106</f>
        <v>2330.4</v>
      </c>
      <c r="J106" s="5" t="str">
        <f aca="false">IF(H106=0,"—",IF(LowCashMode="ON",IF(LOW_CASH_MODE!R106="BUY NOW","BUY NOW","DEFER"),IF(REBALANCE_PLAN!M106&lt;&gt;"None","TRANSFER FIRST","BUY")))</f>
        <v>BUY</v>
      </c>
    </row>
    <row r="107" customFormat="false" ht="15" hidden="false" customHeight="false" outlineLevel="0" collapsed="false">
      <c r="A107" s="5" t="n">
        <f aca="false">ITEM_MASTER_CLEAN!A107</f>
        <v>106</v>
      </c>
      <c r="B107" s="5" t="n">
        <f aca="false">ITEM_MASTER_CLEAN!B107</f>
        <v>37190</v>
      </c>
      <c r="C107" s="5" t="str">
        <f aca="false">ITEM_MASTER_CLEAN!C107</f>
        <v>BAR VEGAN VANIL SV20114 24UN</v>
      </c>
      <c r="D107" s="5" t="str">
        <f aca="false">ITEM_MASTER_CLEAN!E107</f>
        <v>MTY</v>
      </c>
      <c r="E107" s="12" t="n">
        <f aca="false">ITEM_MASTER_CLEAN!F107</f>
        <v>40</v>
      </c>
      <c r="F107" s="5" t="n">
        <f aca="false">IF(LowCashMode="ON",LOW_CASH_MODE!L107,REBALANCE_PLAN!Q107)</f>
        <v>24</v>
      </c>
      <c r="G107" s="5" t="n">
        <f aca="false">IF(LowCashMode="ON",LOW_CASH_MODE!M107,REBALANCE_PLAN!R107)</f>
        <v>24</v>
      </c>
      <c r="H107" s="5" t="n">
        <f aca="false">F107+G107</f>
        <v>48</v>
      </c>
      <c r="I107" s="12" t="n">
        <f aca="false">H107*E107</f>
        <v>1920</v>
      </c>
      <c r="J107" s="5" t="str">
        <f aca="false">IF(H107=0,"—",IF(LowCashMode="ON",IF(LOW_CASH_MODE!R107="BUY NOW","BUY NOW","DEFER"),IF(REBALANCE_PLAN!M107&lt;&gt;"None","TRANSFER FIRST","BUY")))</f>
        <v>BUY</v>
      </c>
    </row>
    <row r="108" customFormat="false" ht="15" hidden="false" customHeight="false" outlineLevel="0" collapsed="false">
      <c r="A108" s="5" t="n">
        <f aca="false">ITEM_MASTER_CLEAN!A108</f>
        <v>107</v>
      </c>
      <c r="B108" s="5" t="n">
        <f aca="false">ITEM_MASTER_CLEAN!B108</f>
        <v>12586</v>
      </c>
      <c r="C108" s="5" t="str">
        <f aca="false">ITEM_MASTER_CLEAN!C108</f>
        <v>MTY DIP 56% CHOCOLATE 6X1K</v>
      </c>
      <c r="D108" s="5" t="str">
        <f aca="false">ITEM_MASTER_CLEAN!E108</f>
        <v>MTY</v>
      </c>
      <c r="E108" s="12" t="n">
        <f aca="false">ITEM_MASTER_CLEAN!F108</f>
        <v>40.96</v>
      </c>
      <c r="F108" s="5" t="n">
        <f aca="false">IF(LowCashMode="ON",LOW_CASH_MODE!L108,REBALANCE_PLAN!Q108)</f>
        <v>0</v>
      </c>
      <c r="G108" s="5" t="n">
        <f aca="false">IF(LowCashMode="ON",LOW_CASH_MODE!M108,REBALANCE_PLAN!R108)</f>
        <v>0</v>
      </c>
      <c r="H108" s="5" t="n">
        <f aca="false">F108+G108</f>
        <v>0</v>
      </c>
      <c r="I108" s="12" t="n">
        <f aca="false">H108*E108</f>
        <v>0</v>
      </c>
      <c r="J108" s="5" t="str">
        <f aca="false">IF(H108=0,"—",IF(LowCashMode="ON",IF(LOW_CASH_MODE!R108="BUY NOW","BUY NOW","DEFER"),IF(REBALANCE_PLAN!M108&lt;&gt;"None","TRANSFER FIRST","BUY")))</f>
        <v>—</v>
      </c>
    </row>
    <row r="109" customFormat="false" ht="15" hidden="false" customHeight="false" outlineLevel="0" collapsed="false">
      <c r="A109" s="5" t="n">
        <f aca="false">ITEM_MASTER_CLEAN!A109</f>
        <v>108</v>
      </c>
      <c r="B109" s="5" t="n">
        <f aca="false">ITEM_MASTER_CLEAN!B109</f>
        <v>12597</v>
      </c>
      <c r="C109" s="5" t="str">
        <f aca="false">ITEM_MASTER_CLEAN!C109</f>
        <v>MTY DIP 70% DARK CHOC 6X1K</v>
      </c>
      <c r="D109" s="5" t="str">
        <f aca="false">ITEM_MASTER_CLEAN!E109</f>
        <v>MTY</v>
      </c>
      <c r="E109" s="12" t="n">
        <f aca="false">ITEM_MASTER_CLEAN!F109</f>
        <v>47.04</v>
      </c>
      <c r="F109" s="5" t="n">
        <f aca="false">IF(LowCashMode="ON",LOW_CASH_MODE!L109,REBALANCE_PLAN!Q109)</f>
        <v>0</v>
      </c>
      <c r="G109" s="5" t="n">
        <f aca="false">IF(LowCashMode="ON",LOW_CASH_MODE!M109,REBALANCE_PLAN!R109)</f>
        <v>0</v>
      </c>
      <c r="H109" s="5" t="n">
        <f aca="false">F109+G109</f>
        <v>0</v>
      </c>
      <c r="I109" s="12" t="n">
        <f aca="false">H109*E109</f>
        <v>0</v>
      </c>
      <c r="J109" s="5" t="str">
        <f aca="false">IF(H109=0,"—",IF(LowCashMode="ON",IF(LOW_CASH_MODE!R109="BUY NOW","BUY NOW","DEFER"),IF(REBALANCE_PLAN!M109&lt;&gt;"None","TRANSFER FIRST","BUY")))</f>
        <v>—</v>
      </c>
    </row>
    <row r="110" customFormat="false" ht="15" hidden="false" customHeight="false" outlineLevel="0" collapsed="false">
      <c r="A110" s="5" t="n">
        <f aca="false">ITEM_MASTER_CLEAN!A110</f>
        <v>109</v>
      </c>
      <c r="B110" s="5" t="n">
        <f aca="false">ITEM_MASTER_CLEAN!B110</f>
        <v>19646</v>
      </c>
      <c r="C110" s="5" t="str">
        <f aca="false">ITEM_MASTER_CLEAN!C110</f>
        <v>MTY DIP BANANA 6X1K</v>
      </c>
      <c r="D110" s="5" t="str">
        <f aca="false">ITEM_MASTER_CLEAN!E110</f>
        <v>MTY</v>
      </c>
      <c r="E110" s="12" t="n">
        <f aca="false">ITEM_MASTER_CLEAN!F110</f>
        <v>46.38</v>
      </c>
      <c r="F110" s="5" t="n">
        <f aca="false">IF(LowCashMode="ON",LOW_CASH_MODE!L110,REBALANCE_PLAN!Q110)</f>
        <v>6</v>
      </c>
      <c r="G110" s="5" t="n">
        <f aca="false">IF(LowCashMode="ON",LOW_CASH_MODE!M110,REBALANCE_PLAN!R110)</f>
        <v>6</v>
      </c>
      <c r="H110" s="5" t="n">
        <f aca="false">F110+G110</f>
        <v>12</v>
      </c>
      <c r="I110" s="12" t="n">
        <f aca="false">H110*E110</f>
        <v>556.56</v>
      </c>
      <c r="J110" s="5" t="str">
        <f aca="false">IF(H110=0,"—",IF(LowCashMode="ON",IF(LOW_CASH_MODE!R110="BUY NOW","BUY NOW","DEFER"),IF(REBALANCE_PLAN!M110&lt;&gt;"None","TRANSFER FIRST","BUY")))</f>
        <v>BUY</v>
      </c>
    </row>
    <row r="111" customFormat="false" ht="15" hidden="false" customHeight="false" outlineLevel="0" collapsed="false">
      <c r="A111" s="5" t="n">
        <f aca="false">ITEM_MASTER_CLEAN!A111</f>
        <v>110</v>
      </c>
      <c r="B111" s="5" t="n">
        <f aca="false">ITEM_MASTER_CLEAN!B111</f>
        <v>19647</v>
      </c>
      <c r="C111" s="5" t="str">
        <f aca="false">ITEM_MASTER_CLEAN!C111</f>
        <v>MTY DIP PEANUT BUTTER 6X1K</v>
      </c>
      <c r="D111" s="5" t="str">
        <f aca="false">ITEM_MASTER_CLEAN!E111</f>
        <v>MTY</v>
      </c>
      <c r="E111" s="12" t="n">
        <f aca="false">ITEM_MASTER_CLEAN!F111</f>
        <v>45.32</v>
      </c>
      <c r="F111" s="5" t="n">
        <f aca="false">IF(LowCashMode="ON",LOW_CASH_MODE!L111,REBALANCE_PLAN!Q111)</f>
        <v>6</v>
      </c>
      <c r="G111" s="5" t="n">
        <f aca="false">IF(LowCashMode="ON",LOW_CASH_MODE!M111,REBALANCE_PLAN!R111)</f>
        <v>12</v>
      </c>
      <c r="H111" s="5" t="n">
        <f aca="false">F111+G111</f>
        <v>18</v>
      </c>
      <c r="I111" s="12" t="n">
        <f aca="false">H111*E111</f>
        <v>815.76</v>
      </c>
      <c r="J111" s="5" t="str">
        <f aca="false">IF(H111=0,"—",IF(LowCashMode="ON",IF(LOW_CASH_MODE!R111="BUY NOW","BUY NOW","DEFER"),IF(REBALANCE_PLAN!M111&lt;&gt;"None","TRANSFER FIRST","BUY")))</f>
        <v>BUY</v>
      </c>
    </row>
    <row r="112" customFormat="false" ht="15" hidden="false" customHeight="false" outlineLevel="0" collapsed="false">
      <c r="A112" s="5" t="n">
        <f aca="false">ITEM_MASTER_CLEAN!A112</f>
        <v>111</v>
      </c>
      <c r="B112" s="5" t="n">
        <f aca="false">ITEM_MASTER_CLEAN!B112</f>
        <v>24809</v>
      </c>
      <c r="C112" s="5" t="str">
        <f aca="false">ITEM_MASTER_CLEAN!C112</f>
        <v>MTY DIP MAPLE 6X1K</v>
      </c>
      <c r="D112" s="5" t="str">
        <f aca="false">ITEM_MASTER_CLEAN!E112</f>
        <v>MTY GROUP</v>
      </c>
      <c r="E112" s="12" t="n">
        <f aca="false">ITEM_MASTER_CLEAN!F112</f>
        <v>39.32</v>
      </c>
      <c r="F112" s="5" t="n">
        <f aca="false">IF(LowCashMode="ON",LOW_CASH_MODE!L112,REBALANCE_PLAN!Q112)</f>
        <v>6</v>
      </c>
      <c r="G112" s="5" t="n">
        <f aca="false">IF(LowCashMode="ON",LOW_CASH_MODE!M112,REBALANCE_PLAN!R112)</f>
        <v>6</v>
      </c>
      <c r="H112" s="5" t="n">
        <f aca="false">F112+G112</f>
        <v>12</v>
      </c>
      <c r="I112" s="12" t="n">
        <f aca="false">H112*E112</f>
        <v>471.84</v>
      </c>
      <c r="J112" s="5" t="str">
        <f aca="false">IF(H112=0,"—",IF(LowCashMode="ON",IF(LOW_CASH_MODE!R112="BUY NOW","BUY NOW","DEFER"),IF(REBALANCE_PLAN!M112&lt;&gt;"None","TRANSFER FIRST","BUY")))</f>
        <v>BUY</v>
      </c>
    </row>
    <row r="113" customFormat="false" ht="15" hidden="false" customHeight="false" outlineLevel="0" collapsed="false">
      <c r="A113" s="5" t="n">
        <f aca="false">ITEM_MASTER_CLEAN!A113</f>
        <v>112</v>
      </c>
      <c r="B113" s="5" t="n">
        <f aca="false">ITEM_MASTER_CLEAN!B113</f>
        <v>24805</v>
      </c>
      <c r="C113" s="5" t="str">
        <f aca="false">ITEM_MASTER_CLEAN!C113</f>
        <v>MTY DIP WHITE 6X1K</v>
      </c>
      <c r="D113" s="5" t="str">
        <f aca="false">ITEM_MASTER_CLEAN!E113</f>
        <v>MTY GROUP</v>
      </c>
      <c r="E113" s="12" t="n">
        <f aca="false">ITEM_MASTER_CLEAN!F113</f>
        <v>46.93</v>
      </c>
      <c r="F113" s="5" t="n">
        <f aca="false">IF(LowCashMode="ON",LOW_CASH_MODE!L113,REBALANCE_PLAN!Q113)</f>
        <v>12</v>
      </c>
      <c r="G113" s="5" t="n">
        <f aca="false">IF(LowCashMode="ON",LOW_CASH_MODE!M113,REBALANCE_PLAN!R113)</f>
        <v>6</v>
      </c>
      <c r="H113" s="5" t="n">
        <f aca="false">F113+G113</f>
        <v>18</v>
      </c>
      <c r="I113" s="12" t="n">
        <f aca="false">H113*E113</f>
        <v>844.74</v>
      </c>
      <c r="J113" s="5" t="str">
        <f aca="false">IF(H113=0,"—",IF(LowCashMode="ON",IF(LOW_CASH_MODE!R113="BUY NOW","BUY NOW","DEFER"),IF(REBALANCE_PLAN!M113&lt;&gt;"None","TRANSFER FIRST","BUY")))</f>
        <v>BUY</v>
      </c>
    </row>
    <row r="114" customFormat="false" ht="15" hidden="false" customHeight="false" outlineLevel="0" collapsed="false">
      <c r="A114" s="5" t="n">
        <f aca="false">ITEM_MASTER_CLEAN!A114</f>
        <v>113</v>
      </c>
      <c r="B114" s="5" t="n">
        <f aca="false">ITEM_MASTER_CLEAN!B114</f>
        <v>19600</v>
      </c>
      <c r="C114" s="5" t="str">
        <f aca="false">ITEM_MASTER_CLEAN!C114</f>
        <v>MTY DIP CARAMEL ET SEL 6X1K</v>
      </c>
      <c r="D114" s="5" t="str">
        <f aca="false">ITEM_MASTER_CLEAN!E114</f>
        <v>MTY</v>
      </c>
      <c r="E114" s="12" t="n">
        <f aca="false">ITEM_MASTER_CLEAN!F114</f>
        <v>44.74</v>
      </c>
      <c r="F114" s="5" t="n">
        <f aca="false">IF(LowCashMode="ON",LOW_CASH_MODE!L114,REBALANCE_PLAN!Q114)</f>
        <v>12</v>
      </c>
      <c r="G114" s="5" t="n">
        <f aca="false">IF(LowCashMode="ON",LOW_CASH_MODE!M114,REBALANCE_PLAN!R114)</f>
        <v>12</v>
      </c>
      <c r="H114" s="5" t="n">
        <f aca="false">F114+G114</f>
        <v>24</v>
      </c>
      <c r="I114" s="12" t="n">
        <f aca="false">H114*E114</f>
        <v>1073.76</v>
      </c>
      <c r="J114" s="5" t="str">
        <f aca="false">IF(H114=0,"—",IF(LowCashMode="ON",IF(LOW_CASH_MODE!R114="BUY NOW","BUY NOW","DEFER"),IF(REBALANCE_PLAN!M114&lt;&gt;"None","TRANSFER FIRST","BUY")))</f>
        <v>BUY</v>
      </c>
    </row>
    <row r="115" customFormat="false" ht="15" hidden="false" customHeight="false" outlineLevel="0" collapsed="false">
      <c r="A115" s="5" t="n">
        <f aca="false">ITEM_MASTER_CLEAN!A115</f>
        <v>114</v>
      </c>
      <c r="B115" s="5" t="n">
        <f aca="false">ITEM_MASTER_CLEAN!B115</f>
        <v>24759</v>
      </c>
      <c r="C115" s="5" t="str">
        <f aca="false">ITEM_MASTER_CLEAN!C115</f>
        <v>MTY DIP CHOC CARAMEL PECAN 6X1K</v>
      </c>
      <c r="D115" s="5" t="str">
        <f aca="false">ITEM_MASTER_CLEAN!E115</f>
        <v>MTY</v>
      </c>
      <c r="E115" s="12" t="n">
        <f aca="false">ITEM_MASTER_CLEAN!F115</f>
        <v>44.73</v>
      </c>
      <c r="F115" s="5" t="n">
        <f aca="false">IF(LowCashMode="ON",LOW_CASH_MODE!L115,REBALANCE_PLAN!Q115)</f>
        <v>0</v>
      </c>
      <c r="G115" s="5" t="n">
        <f aca="false">IF(LowCashMode="ON",LOW_CASH_MODE!M115,REBALANCE_PLAN!R115)</f>
        <v>0</v>
      </c>
      <c r="H115" s="5" t="n">
        <f aca="false">F115+G115</f>
        <v>0</v>
      </c>
      <c r="I115" s="12" t="n">
        <f aca="false">H115*E115</f>
        <v>0</v>
      </c>
      <c r="J115" s="5" t="str">
        <f aca="false">IF(H115=0,"—",IF(LowCashMode="ON",IF(LOW_CASH_MODE!R115="BUY NOW","BUY NOW","DEFER"),IF(REBALANCE_PLAN!M115&lt;&gt;"None","TRANSFER FIRST","BUY")))</f>
        <v>—</v>
      </c>
    </row>
    <row r="116" customFormat="false" ht="15" hidden="false" customHeight="false" outlineLevel="0" collapsed="false">
      <c r="A116" s="5" t="n">
        <f aca="false">ITEM_MASTER_CLEAN!A116</f>
        <v>115</v>
      </c>
      <c r="B116" s="5" t="n">
        <f aca="false">ITEM_MASTER_CLEAN!B116</f>
        <v>19598</v>
      </c>
      <c r="C116" s="5" t="str">
        <f aca="false">ITEM_MASTER_CLEAN!C116</f>
        <v>MTY DIP DULCE DE LECHE 6X1K</v>
      </c>
      <c r="D116" s="5" t="str">
        <f aca="false">ITEM_MASTER_CLEAN!E116</f>
        <v>MTY</v>
      </c>
      <c r="E116" s="12" t="n">
        <f aca="false">ITEM_MASTER_CLEAN!F116</f>
        <v>46.84</v>
      </c>
      <c r="F116" s="5" t="n">
        <f aca="false">IF(LowCashMode="ON",LOW_CASH_MODE!L116,REBALANCE_PLAN!Q116)</f>
        <v>6</v>
      </c>
      <c r="G116" s="5" t="n">
        <f aca="false">IF(LowCashMode="ON",LOW_CASH_MODE!M116,REBALANCE_PLAN!R116)</f>
        <v>6</v>
      </c>
      <c r="H116" s="5" t="n">
        <f aca="false">F116+G116</f>
        <v>12</v>
      </c>
      <c r="I116" s="12" t="n">
        <f aca="false">H116*E116</f>
        <v>562.08</v>
      </c>
      <c r="J116" s="5" t="str">
        <f aca="false">IF(H116=0,"—",IF(LowCashMode="ON",IF(LOW_CASH_MODE!R116="BUY NOW","BUY NOW","DEFER"),IF(REBALANCE_PLAN!M116&lt;&gt;"None","TRANSFER FIRST","BUY")))</f>
        <v>BUY</v>
      </c>
    </row>
    <row r="117" customFormat="false" ht="15" hidden="false" customHeight="false" outlineLevel="0" collapsed="false">
      <c r="A117" s="5" t="n">
        <f aca="false">ITEM_MASTER_CLEAN!A117</f>
        <v>116</v>
      </c>
      <c r="B117" s="5" t="n">
        <f aca="false">ITEM_MASTER_CLEAN!B117</f>
        <v>12603</v>
      </c>
      <c r="C117" s="5" t="str">
        <f aca="false">ITEM_MASTER_CLEAN!C117</f>
        <v>MTY DIP MILK CHOCOLATE 6X1K</v>
      </c>
      <c r="D117" s="5" t="str">
        <f aca="false">ITEM_MASTER_CLEAN!E117</f>
        <v>MTY</v>
      </c>
      <c r="E117" s="12" t="n">
        <f aca="false">ITEM_MASTER_CLEAN!F117</f>
        <v>41.02</v>
      </c>
      <c r="F117" s="5" t="n">
        <f aca="false">IF(LowCashMode="ON",LOW_CASH_MODE!L117,REBALANCE_PLAN!Q117)</f>
        <v>0</v>
      </c>
      <c r="G117" s="5" t="n">
        <f aca="false">IF(LowCashMode="ON",LOW_CASH_MODE!M117,REBALANCE_PLAN!R117)</f>
        <v>0</v>
      </c>
      <c r="H117" s="5" t="n">
        <f aca="false">F117+G117</f>
        <v>0</v>
      </c>
      <c r="I117" s="12" t="n">
        <f aca="false">H117*E117</f>
        <v>0</v>
      </c>
      <c r="J117" s="5" t="str">
        <f aca="false">IF(H117=0,"—",IF(LowCashMode="ON",IF(LOW_CASH_MODE!R117="BUY NOW","BUY NOW","DEFER"),IF(REBALANCE_PLAN!M117&lt;&gt;"None","TRANSFER FIRST","BUY")))</f>
        <v>—</v>
      </c>
    </row>
    <row r="118" customFormat="false" ht="23.85" hidden="false" customHeight="false" outlineLevel="0" collapsed="false">
      <c r="A118" s="5" t="n">
        <f aca="false">ITEM_MASTER_CLEAN!A118</f>
        <v>117</v>
      </c>
      <c r="B118" s="5" t="n">
        <f aca="false">ITEM_MASTER_CLEAN!B118</f>
        <v>24475</v>
      </c>
      <c r="C118" s="5" t="str">
        <f aca="false">ITEM_MASTER_CLEAN!C118</f>
        <v>MTY DIP IRISH CRM BAILEYS WH 6X1K</v>
      </c>
      <c r="D118" s="5" t="str">
        <f aca="false">ITEM_MASTER_CLEAN!E118</f>
        <v>MTY</v>
      </c>
      <c r="E118" s="12" t="n">
        <f aca="false">ITEM_MASTER_CLEAN!F118</f>
        <v>42.54</v>
      </c>
      <c r="F118" s="5" t="n">
        <f aca="false">IF(LowCashMode="ON",LOW_CASH_MODE!L118,REBALANCE_PLAN!Q118)</f>
        <v>6</v>
      </c>
      <c r="G118" s="5" t="n">
        <f aca="false">IF(LowCashMode="ON",LOW_CASH_MODE!M118,REBALANCE_PLAN!R118)</f>
        <v>0</v>
      </c>
      <c r="H118" s="5" t="n">
        <f aca="false">F118+G118</f>
        <v>6</v>
      </c>
      <c r="I118" s="12" t="n">
        <f aca="false">H118*E118</f>
        <v>255.24</v>
      </c>
      <c r="J118" s="5" t="str">
        <f aca="false">IF(H118=0,"—",IF(LowCashMode="ON",IF(LOW_CASH_MODE!R118="BUY NOW","BUY NOW","DEFER"),IF(REBALANCE_PLAN!M118&lt;&gt;"None","TRANSFER FIRST","BUY")))</f>
        <v>TRANSFER FIRST</v>
      </c>
    </row>
    <row r="119" customFormat="false" ht="15" hidden="false" customHeight="false" outlineLevel="0" collapsed="false">
      <c r="A119" s="5" t="n">
        <f aca="false">ITEM_MASTER_CLEAN!A119</f>
        <v>118</v>
      </c>
      <c r="B119" s="5" t="n">
        <f aca="false">ITEM_MASTER_CLEAN!B119</f>
        <v>12558</v>
      </c>
      <c r="C119" s="5" t="str">
        <f aca="false">ITEM_MASTER_CLEAN!C119</f>
        <v>MTY DIP ESPRESSO 6X1KG</v>
      </c>
      <c r="D119" s="5" t="str">
        <f aca="false">ITEM_MASTER_CLEAN!E119</f>
        <v>MTY</v>
      </c>
      <c r="E119" s="12" t="n">
        <f aca="false">ITEM_MASTER_CLEAN!F119</f>
        <v>47.52</v>
      </c>
      <c r="F119" s="5" t="n">
        <f aca="false">IF(LowCashMode="ON",LOW_CASH_MODE!L119,REBALANCE_PLAN!Q119)</f>
        <v>6</v>
      </c>
      <c r="G119" s="5" t="n">
        <f aca="false">IF(LowCashMode="ON",LOW_CASH_MODE!M119,REBALANCE_PLAN!R119)</f>
        <v>6</v>
      </c>
      <c r="H119" s="5" t="n">
        <f aca="false">F119+G119</f>
        <v>12</v>
      </c>
      <c r="I119" s="12" t="n">
        <f aca="false">H119*E119</f>
        <v>570.24</v>
      </c>
      <c r="J119" s="5" t="str">
        <f aca="false">IF(H119=0,"—",IF(LowCashMode="ON",IF(LOW_CASH_MODE!R119="BUY NOW","BUY NOW","DEFER"),IF(REBALANCE_PLAN!M119&lt;&gt;"None","TRANSFER FIRST","BUY")))</f>
        <v>BUY</v>
      </c>
    </row>
    <row r="120" customFormat="false" ht="15" hidden="false" customHeight="false" outlineLevel="0" collapsed="false">
      <c r="A120" s="5" t="n">
        <f aca="false">ITEM_MASTER_CLEAN!A120</f>
        <v>119</v>
      </c>
      <c r="B120" s="5" t="n">
        <f aca="false">ITEM_MASTER_CLEAN!B120</f>
        <v>12582</v>
      </c>
      <c r="C120" s="5" t="str">
        <f aca="false">ITEM_MASTER_CLEAN!C120</f>
        <v>MTY DIP FLEUR DE SEL DARK 6X1K</v>
      </c>
      <c r="D120" s="5" t="str">
        <f aca="false">ITEM_MASTER_CLEAN!E120</f>
        <v>MTY</v>
      </c>
      <c r="E120" s="12" t="n">
        <f aca="false">ITEM_MASTER_CLEAN!F120</f>
        <v>41.67</v>
      </c>
      <c r="F120" s="5" t="n">
        <f aca="false">IF(LowCashMode="ON",LOW_CASH_MODE!L120,REBALANCE_PLAN!Q120)</f>
        <v>12</v>
      </c>
      <c r="G120" s="5" t="n">
        <f aca="false">IF(LowCashMode="ON",LOW_CASH_MODE!M120,REBALANCE_PLAN!R120)</f>
        <v>0</v>
      </c>
      <c r="H120" s="5" t="n">
        <f aca="false">F120+G120</f>
        <v>12</v>
      </c>
      <c r="I120" s="12" t="n">
        <f aca="false">H120*E120</f>
        <v>500.04</v>
      </c>
      <c r="J120" s="5" t="str">
        <f aca="false">IF(H120=0,"—",IF(LowCashMode="ON",IF(LOW_CASH_MODE!R120="BUY NOW","BUY NOW","DEFER"),IF(REBALANCE_PLAN!M120&lt;&gt;"None","TRANSFER FIRST","BUY")))</f>
        <v>BUY</v>
      </c>
    </row>
    <row r="121" customFormat="false" ht="15" hidden="false" customHeight="false" outlineLevel="0" collapsed="false">
      <c r="A121" s="5" t="n">
        <f aca="false">ITEM_MASTER_CLEAN!A121</f>
        <v>120</v>
      </c>
      <c r="B121" s="5" t="n">
        <f aca="false">ITEM_MASTER_CLEAN!B121</f>
        <v>24435</v>
      </c>
      <c r="C121" s="5" t="str">
        <f aca="false">ITEM_MASTER_CLEAN!C121</f>
        <v>MTY DIP STRAWBERRY CREAM 6X1K</v>
      </c>
      <c r="D121" s="5" t="str">
        <f aca="false">ITEM_MASTER_CLEAN!E121</f>
        <v>MTY</v>
      </c>
      <c r="E121" s="12" t="n">
        <f aca="false">ITEM_MASTER_CLEAN!F121</f>
        <v>18.51</v>
      </c>
      <c r="F121" s="5" t="n">
        <f aca="false">IF(LowCashMode="ON",LOW_CASH_MODE!L121,REBALANCE_PLAN!Q121)</f>
        <v>6</v>
      </c>
      <c r="G121" s="5" t="n">
        <f aca="false">IF(LowCashMode="ON",LOW_CASH_MODE!M121,REBALANCE_PLAN!R121)</f>
        <v>6</v>
      </c>
      <c r="H121" s="5" t="n">
        <f aca="false">F121+G121</f>
        <v>12</v>
      </c>
      <c r="I121" s="12" t="n">
        <f aca="false">H121*E121</f>
        <v>222.12</v>
      </c>
      <c r="J121" s="5" t="str">
        <f aca="false">IF(H121=0,"—",IF(LowCashMode="ON",IF(LOW_CASH_MODE!R121="BUY NOW","BUY NOW","DEFER"),IF(REBALANCE_PLAN!M121&lt;&gt;"None","TRANSFER FIRST","BUY")))</f>
        <v>BUY</v>
      </c>
    </row>
    <row r="122" customFormat="false" ht="15" hidden="false" customHeight="false" outlineLevel="0" collapsed="false">
      <c r="A122" s="5" t="n">
        <f aca="false">ITEM_MASTER_CLEAN!A122</f>
        <v>121</v>
      </c>
      <c r="B122" s="5" t="n">
        <f aca="false">ITEM_MASTER_CLEAN!B122</f>
        <v>24768</v>
      </c>
      <c r="C122" s="5" t="str">
        <f aca="false">ITEM_MASTER_CLEAN!C122</f>
        <v>MTY DIP CHEESE CAKE 6X1K</v>
      </c>
      <c r="D122" s="5" t="str">
        <f aca="false">ITEM_MASTER_CLEAN!E122</f>
        <v>MTY</v>
      </c>
      <c r="E122" s="12" t="n">
        <f aca="false">ITEM_MASTER_CLEAN!F122</f>
        <v>43.86</v>
      </c>
      <c r="F122" s="5" t="n">
        <f aca="false">IF(LowCashMode="ON",LOW_CASH_MODE!L122,REBALANCE_PLAN!Q122)</f>
        <v>12</v>
      </c>
      <c r="G122" s="5" t="n">
        <f aca="false">IF(LowCashMode="ON",LOW_CASH_MODE!M122,REBALANCE_PLAN!R122)</f>
        <v>0</v>
      </c>
      <c r="H122" s="5" t="n">
        <f aca="false">F122+G122</f>
        <v>12</v>
      </c>
      <c r="I122" s="12" t="n">
        <f aca="false">H122*E122</f>
        <v>526.32</v>
      </c>
      <c r="J122" s="5" t="str">
        <f aca="false">IF(H122=0,"—",IF(LowCashMode="ON",IF(LOW_CASH_MODE!R122="BUY NOW","BUY NOW","DEFER"),IF(REBALANCE_PLAN!M122&lt;&gt;"None","TRANSFER FIRST","BUY")))</f>
        <v>BUY</v>
      </c>
    </row>
    <row r="123" customFormat="false" ht="15" hidden="false" customHeight="false" outlineLevel="0" collapsed="false">
      <c r="A123" s="5" t="n">
        <f aca="false">ITEM_MASTER_CLEAN!A123</f>
        <v>122</v>
      </c>
      <c r="B123" s="5" t="n">
        <f aca="false">ITEM_MASTER_CLEAN!B123</f>
        <v>24777</v>
      </c>
      <c r="C123" s="5" t="str">
        <f aca="false">ITEM_MASTER_CLEAN!C123</f>
        <v>MTY DIP BIRTHDAY CAKE  6X1K</v>
      </c>
      <c r="D123" s="5" t="str">
        <f aca="false">ITEM_MASTER_CLEAN!E123</f>
        <v>MTY</v>
      </c>
      <c r="E123" s="12" t="n">
        <f aca="false">ITEM_MASTER_CLEAN!F123</f>
        <v>39.74</v>
      </c>
      <c r="F123" s="5" t="n">
        <f aca="false">IF(LowCashMode="ON",LOW_CASH_MODE!L123,REBALANCE_PLAN!Q123)</f>
        <v>18</v>
      </c>
      <c r="G123" s="5" t="n">
        <f aca="false">IF(LowCashMode="ON",LOW_CASH_MODE!M123,REBALANCE_PLAN!R123)</f>
        <v>0</v>
      </c>
      <c r="H123" s="5" t="n">
        <f aca="false">F123+G123</f>
        <v>18</v>
      </c>
      <c r="I123" s="12" t="n">
        <f aca="false">H123*E123</f>
        <v>715.32</v>
      </c>
      <c r="J123" s="5" t="str">
        <f aca="false">IF(H123=0,"—",IF(LowCashMode="ON",IF(LOW_CASH_MODE!R123="BUY NOW","BUY NOW","DEFER"),IF(REBALANCE_PLAN!M123&lt;&gt;"None","TRANSFER FIRST","BUY")))</f>
        <v>BUY</v>
      </c>
    </row>
    <row r="124" customFormat="false" ht="15" hidden="false" customHeight="false" outlineLevel="0" collapsed="false">
      <c r="A124" s="5" t="n">
        <f aca="false">ITEM_MASTER_CLEAN!A124</f>
        <v>123</v>
      </c>
      <c r="B124" s="5" t="n">
        <f aca="false">ITEM_MASTER_CLEAN!B124</f>
        <v>24766</v>
      </c>
      <c r="C124" s="5" t="str">
        <f aca="false">ITEM_MASTER_CLEAN!C124</f>
        <v>MTY DIP LEMONADE 6X1K</v>
      </c>
      <c r="D124" s="5" t="str">
        <f aca="false">ITEM_MASTER_CLEAN!E124</f>
        <v>MTY</v>
      </c>
      <c r="E124" s="12" t="n">
        <f aca="false">ITEM_MASTER_CLEAN!F124</f>
        <v>42.21</v>
      </c>
      <c r="F124" s="5" t="n">
        <f aca="false">IF(LowCashMode="ON",LOW_CASH_MODE!L124,REBALANCE_PLAN!Q124)</f>
        <v>0</v>
      </c>
      <c r="G124" s="5" t="n">
        <f aca="false">IF(LowCashMode="ON",LOW_CASH_MODE!M124,REBALANCE_PLAN!R124)</f>
        <v>6</v>
      </c>
      <c r="H124" s="5" t="n">
        <f aca="false">F124+G124</f>
        <v>6</v>
      </c>
      <c r="I124" s="12" t="n">
        <f aca="false">H124*E124</f>
        <v>253.26</v>
      </c>
      <c r="J124" s="5" t="str">
        <f aca="false">IF(H124=0,"—",IF(LowCashMode="ON",IF(LOW_CASH_MODE!R124="BUY NOW","BUY NOW","DEFER"),IF(REBALANCE_PLAN!M124&lt;&gt;"None","TRANSFER FIRST","BUY")))</f>
        <v>BUY</v>
      </c>
    </row>
    <row r="125" customFormat="false" ht="15" hidden="false" customHeight="false" outlineLevel="0" collapsed="false">
      <c r="A125" s="5" t="n">
        <f aca="false">ITEM_MASTER_CLEAN!A125</f>
        <v>124</v>
      </c>
      <c r="B125" s="5" t="n">
        <f aca="false">ITEM_MASTER_CLEAN!B125</f>
        <v>12584</v>
      </c>
      <c r="C125" s="5" t="str">
        <f aca="false">ITEM_MASTER_CLEAN!C125</f>
        <v>MTY DIP MANGO 6X1K</v>
      </c>
      <c r="D125" s="5" t="str">
        <f aca="false">ITEM_MASTER_CLEAN!E125</f>
        <v>MTY</v>
      </c>
      <c r="E125" s="12" t="n">
        <f aca="false">ITEM_MASTER_CLEAN!F125</f>
        <v>38.43</v>
      </c>
      <c r="F125" s="5" t="n">
        <f aca="false">IF(LowCashMode="ON",LOW_CASH_MODE!L125,REBALANCE_PLAN!Q125)</f>
        <v>12</v>
      </c>
      <c r="G125" s="5" t="n">
        <f aca="false">IF(LowCashMode="ON",LOW_CASH_MODE!M125,REBALANCE_PLAN!R125)</f>
        <v>12</v>
      </c>
      <c r="H125" s="5" t="n">
        <f aca="false">F125+G125</f>
        <v>24</v>
      </c>
      <c r="I125" s="12" t="n">
        <f aca="false">H125*E125</f>
        <v>922.32</v>
      </c>
      <c r="J125" s="5" t="str">
        <f aca="false">IF(H125=0,"—",IF(LowCashMode="ON",IF(LOW_CASH_MODE!R125="BUY NOW","BUY NOW","DEFER"),IF(REBALANCE_PLAN!M125&lt;&gt;"None","TRANSFER FIRST","BUY")))</f>
        <v>BUY</v>
      </c>
    </row>
    <row r="126" customFormat="false" ht="15" hidden="false" customHeight="false" outlineLevel="0" collapsed="false">
      <c r="A126" s="5" t="n">
        <f aca="false">ITEM_MASTER_CLEAN!A126</f>
        <v>125</v>
      </c>
      <c r="B126" s="5" t="n">
        <f aca="false">ITEM_MASTER_CLEAN!B126</f>
        <v>24763</v>
      </c>
      <c r="C126" s="5" t="str">
        <f aca="false">ITEM_MASTER_CLEAN!C126</f>
        <v>MTY MINT DARK CHOC  6X1K</v>
      </c>
      <c r="D126" s="5" t="str">
        <f aca="false">ITEM_MASTER_CLEAN!E126</f>
        <v>MTY</v>
      </c>
      <c r="E126" s="12" t="n">
        <f aca="false">ITEM_MASTER_CLEAN!F126</f>
        <v>42.26</v>
      </c>
      <c r="F126" s="5" t="n">
        <f aca="false">IF(LowCashMode="ON",LOW_CASH_MODE!L126,REBALANCE_PLAN!Q126)</f>
        <v>0</v>
      </c>
      <c r="G126" s="5" t="n">
        <f aca="false">IF(LowCashMode="ON",LOW_CASH_MODE!M126,REBALANCE_PLAN!R126)</f>
        <v>0</v>
      </c>
      <c r="H126" s="5" t="n">
        <f aca="false">F126+G126</f>
        <v>0</v>
      </c>
      <c r="I126" s="12" t="n">
        <f aca="false">H126*E126</f>
        <v>0</v>
      </c>
      <c r="J126" s="5" t="str">
        <f aca="false">IF(H126=0,"—",IF(LowCashMode="ON",IF(LOW_CASH_MODE!R126="BUY NOW","BUY NOW","DEFER"),IF(REBALANCE_PLAN!M126&lt;&gt;"None","TRANSFER FIRST","BUY")))</f>
        <v>—</v>
      </c>
    </row>
    <row r="127" customFormat="false" ht="15" hidden="false" customHeight="false" outlineLevel="0" collapsed="false">
      <c r="A127" s="5" t="n">
        <f aca="false">ITEM_MASTER_CLEAN!A127</f>
        <v>126</v>
      </c>
      <c r="B127" s="5" t="n">
        <f aca="false">ITEM_MASTER_CLEAN!B127</f>
        <v>24761</v>
      </c>
      <c r="C127" s="5" t="str">
        <f aca="false">ITEM_MASTER_CLEAN!C127</f>
        <v>MTY DIP ORANGE SORBET 6X1K</v>
      </c>
      <c r="D127" s="5" t="str">
        <f aca="false">ITEM_MASTER_CLEAN!E127</f>
        <v>MTY</v>
      </c>
      <c r="E127" s="12" t="n">
        <f aca="false">ITEM_MASTER_CLEAN!F127</f>
        <v>45.12</v>
      </c>
      <c r="F127" s="5" t="n">
        <f aca="false">IF(LowCashMode="ON",LOW_CASH_MODE!L127,REBALANCE_PLAN!Q127)</f>
        <v>0</v>
      </c>
      <c r="G127" s="5" t="n">
        <f aca="false">IF(LowCashMode="ON",LOW_CASH_MODE!M127,REBALANCE_PLAN!R127)</f>
        <v>0</v>
      </c>
      <c r="H127" s="5" t="n">
        <f aca="false">F127+G127</f>
        <v>0</v>
      </c>
      <c r="I127" s="12" t="n">
        <f aca="false">H127*E127</f>
        <v>0</v>
      </c>
      <c r="J127" s="5" t="str">
        <f aca="false">IF(H127=0,"—",IF(LowCashMode="ON",IF(LOW_CASH_MODE!R127="BUY NOW","BUY NOW","DEFER"),IF(REBALANCE_PLAN!M127&lt;&gt;"None","TRANSFER FIRST","BUY")))</f>
        <v>—</v>
      </c>
    </row>
    <row r="128" customFormat="false" ht="15" hidden="false" customHeight="false" outlineLevel="0" collapsed="false">
      <c r="A128" s="5" t="n">
        <f aca="false">ITEM_MASTER_CLEAN!A128</f>
        <v>127</v>
      </c>
      <c r="B128" s="5" t="n">
        <f aca="false">ITEM_MASTER_CLEAN!B128</f>
        <v>24822</v>
      </c>
      <c r="C128" s="5" t="str">
        <f aca="false">ITEM_MASTER_CLEAN!C128</f>
        <v>MTY DIP OREO 6X1K</v>
      </c>
      <c r="D128" s="5" t="str">
        <f aca="false">ITEM_MASTER_CLEAN!E128</f>
        <v>MTY GROUP</v>
      </c>
      <c r="E128" s="12" t="n">
        <f aca="false">ITEM_MASTER_CLEAN!F128</f>
        <v>45.02</v>
      </c>
      <c r="F128" s="5" t="n">
        <f aca="false">IF(LowCashMode="ON",LOW_CASH_MODE!L128,REBALANCE_PLAN!Q128)</f>
        <v>12</v>
      </c>
      <c r="G128" s="5" t="n">
        <f aca="false">IF(LowCashMode="ON",LOW_CASH_MODE!M128,REBALANCE_PLAN!R128)</f>
        <v>6</v>
      </c>
      <c r="H128" s="5" t="n">
        <f aca="false">F128+G128</f>
        <v>18</v>
      </c>
      <c r="I128" s="12" t="n">
        <f aca="false">H128*E128</f>
        <v>810.36</v>
      </c>
      <c r="J128" s="5" t="str">
        <f aca="false">IF(H128=0,"—",IF(LowCashMode="ON",IF(LOW_CASH_MODE!R128="BUY NOW","BUY NOW","DEFER"),IF(REBALANCE_PLAN!M128&lt;&gt;"None","TRANSFER FIRST","BUY")))</f>
        <v>BUY</v>
      </c>
    </row>
    <row r="129" customFormat="false" ht="15" hidden="false" customHeight="false" outlineLevel="0" collapsed="false">
      <c r="A129" s="5" t="n">
        <f aca="false">ITEM_MASTER_CLEAN!A129</f>
        <v>128</v>
      </c>
      <c r="B129" s="5" t="n">
        <f aca="false">ITEM_MASTER_CLEAN!B129</f>
        <v>19648</v>
      </c>
      <c r="C129" s="5" t="str">
        <f aca="false">ITEM_MASTER_CLEAN!C129</f>
        <v>MTY DIP COOKIE DOUGH 6X1K</v>
      </c>
      <c r="D129" s="5" t="str">
        <f aca="false">ITEM_MASTER_CLEAN!E129</f>
        <v>MTY</v>
      </c>
      <c r="E129" s="12" t="n">
        <f aca="false">ITEM_MASTER_CLEAN!F129</f>
        <v>45.3</v>
      </c>
      <c r="F129" s="5" t="n">
        <f aca="false">IF(LowCashMode="ON",LOW_CASH_MODE!L129,REBALANCE_PLAN!Q129)</f>
        <v>12</v>
      </c>
      <c r="G129" s="5" t="n">
        <f aca="false">IF(LowCashMode="ON",LOW_CASH_MODE!M129,REBALANCE_PLAN!R129)</f>
        <v>12</v>
      </c>
      <c r="H129" s="5" t="n">
        <f aca="false">F129+G129</f>
        <v>24</v>
      </c>
      <c r="I129" s="12" t="n">
        <f aca="false">H129*E129</f>
        <v>1087.2</v>
      </c>
      <c r="J129" s="5" t="str">
        <f aca="false">IF(H129=0,"—",IF(LowCashMode="ON",IF(LOW_CASH_MODE!R129="BUY NOW","BUY NOW","DEFER"),IF(REBALANCE_PLAN!M129&lt;&gt;"None","TRANSFER FIRST","BUY")))</f>
        <v>BUY</v>
      </c>
    </row>
    <row r="130" customFormat="false" ht="15" hidden="false" customHeight="false" outlineLevel="0" collapsed="false">
      <c r="A130" s="5" t="n">
        <f aca="false">ITEM_MASTER_CLEAN!A130</f>
        <v>129</v>
      </c>
      <c r="B130" s="5" t="n">
        <f aca="false">ITEM_MASTER_CLEAN!B130</f>
        <v>24762</v>
      </c>
      <c r="C130" s="5" t="str">
        <f aca="false">ITEM_MASTER_CLEAN!C130</f>
        <v>MTY DIP PISTACHIO 6X1K</v>
      </c>
      <c r="D130" s="5" t="str">
        <f aca="false">ITEM_MASTER_CLEAN!E130</f>
        <v>MTY</v>
      </c>
      <c r="E130" s="12" t="n">
        <f aca="false">ITEM_MASTER_CLEAN!F130</f>
        <v>38.91</v>
      </c>
      <c r="F130" s="5" t="n">
        <f aca="false">IF(LowCashMode="ON",LOW_CASH_MODE!L130,REBALANCE_PLAN!Q130)</f>
        <v>0</v>
      </c>
      <c r="G130" s="5" t="n">
        <f aca="false">IF(LowCashMode="ON",LOW_CASH_MODE!M130,REBALANCE_PLAN!R130)</f>
        <v>6</v>
      </c>
      <c r="H130" s="5" t="n">
        <f aca="false">F130+G130</f>
        <v>6</v>
      </c>
      <c r="I130" s="12" t="n">
        <f aca="false">H130*E130</f>
        <v>233.46</v>
      </c>
      <c r="J130" s="5" t="str">
        <f aca="false">IF(H130=0,"—",IF(LowCashMode="ON",IF(LOW_CASH_MODE!R130="BUY NOW","BUY NOW","DEFER"),IF(REBALANCE_PLAN!M130&lt;&gt;"None","TRANSFER FIRST","BUY")))</f>
        <v>BUY</v>
      </c>
    </row>
    <row r="131" customFormat="false" ht="15" hidden="false" customHeight="false" outlineLevel="0" collapsed="false">
      <c r="A131" s="5" t="n">
        <f aca="false">ITEM_MASTER_CLEAN!A131</f>
        <v>130</v>
      </c>
      <c r="B131" s="5" t="n">
        <f aca="false">ITEM_MASTER_CLEAN!B131</f>
        <v>19649</v>
      </c>
      <c r="C131" s="5" t="str">
        <f aca="false">ITEM_MASTER_CLEAN!C131</f>
        <v>MTY DIP PRALINE/HAZLENUT 6X1K</v>
      </c>
      <c r="D131" s="5" t="str">
        <f aca="false">ITEM_MASTER_CLEAN!E131</f>
        <v>MTY</v>
      </c>
      <c r="E131" s="12" t="n">
        <f aca="false">ITEM_MASTER_CLEAN!F131</f>
        <v>43.62</v>
      </c>
      <c r="F131" s="5" t="n">
        <f aca="false">IF(LowCashMode="ON",LOW_CASH_MODE!L131,REBALANCE_PLAN!Q131)</f>
        <v>12</v>
      </c>
      <c r="G131" s="5" t="n">
        <f aca="false">IF(LowCashMode="ON",LOW_CASH_MODE!M131,REBALANCE_PLAN!R131)</f>
        <v>6</v>
      </c>
      <c r="H131" s="5" t="n">
        <f aca="false">F131+G131</f>
        <v>18</v>
      </c>
      <c r="I131" s="12" t="n">
        <f aca="false">H131*E131</f>
        <v>785.16</v>
      </c>
      <c r="J131" s="5" t="str">
        <f aca="false">IF(H131=0,"—",IF(LowCashMode="ON",IF(LOW_CASH_MODE!R131="BUY NOW","BUY NOW","DEFER"),IF(REBALANCE_PLAN!M131&lt;&gt;"None","TRANSFER FIRST","BUY")))</f>
        <v>BUY</v>
      </c>
    </row>
    <row r="132" customFormat="false" ht="23.85" hidden="false" customHeight="false" outlineLevel="0" collapsed="false">
      <c r="A132" s="5" t="n">
        <f aca="false">ITEM_MASTER_CLEAN!A132</f>
        <v>131</v>
      </c>
      <c r="B132" s="5" t="n">
        <f aca="false">ITEM_MASTER_CLEAN!B132</f>
        <v>19594</v>
      </c>
      <c r="C132" s="5" t="str">
        <f aca="false">ITEM_MASTER_CLEAN!C132</f>
        <v>MTY DIP RED VELVET 6X1K</v>
      </c>
      <c r="D132" s="5" t="str">
        <f aca="false">ITEM_MASTER_CLEAN!E132</f>
        <v>MTY</v>
      </c>
      <c r="E132" s="12" t="n">
        <f aca="false">ITEM_MASTER_CLEAN!F132</f>
        <v>38.51</v>
      </c>
      <c r="F132" s="5" t="n">
        <f aca="false">IF(LowCashMode="ON",LOW_CASH_MODE!L132,REBALANCE_PLAN!Q132)</f>
        <v>0</v>
      </c>
      <c r="G132" s="5" t="n">
        <f aca="false">IF(LowCashMode="ON",LOW_CASH_MODE!M132,REBALANCE_PLAN!R132)</f>
        <v>6</v>
      </c>
      <c r="H132" s="5" t="n">
        <f aca="false">F132+G132</f>
        <v>6</v>
      </c>
      <c r="I132" s="12" t="n">
        <f aca="false">H132*E132</f>
        <v>231.06</v>
      </c>
      <c r="J132" s="5" t="str">
        <f aca="false">IF(H132=0,"—",IF(LowCashMode="ON",IF(LOW_CASH_MODE!R132="BUY NOW","BUY NOW","DEFER"),IF(REBALANCE_PLAN!M132&lt;&gt;"None","TRANSFER FIRST","BUY")))</f>
        <v>TRANSFER FIRST</v>
      </c>
    </row>
    <row r="133" customFormat="false" ht="15" hidden="false" customHeight="false" outlineLevel="0" collapsed="false">
      <c r="A133" s="5" t="n">
        <f aca="false">ITEM_MASTER_CLEAN!A133</f>
        <v>132</v>
      </c>
      <c r="B133" s="5" t="n">
        <f aca="false">ITEM_MASTER_CLEAN!B133</f>
        <v>24434</v>
      </c>
      <c r="C133" s="5" t="str">
        <f aca="false">ITEM_MASTER_CLEAN!C133</f>
        <v>MTY DIP SMORES 6X1K</v>
      </c>
      <c r="D133" s="5" t="str">
        <f aca="false">ITEM_MASTER_CLEAN!E133</f>
        <v>MTY</v>
      </c>
      <c r="E133" s="12" t="n">
        <f aca="false">ITEM_MASTER_CLEAN!F133</f>
        <v>41.5</v>
      </c>
      <c r="F133" s="5" t="n">
        <f aca="false">IF(LowCashMode="ON",LOW_CASH_MODE!L133,REBALANCE_PLAN!Q133)</f>
        <v>6</v>
      </c>
      <c r="G133" s="5" t="n">
        <f aca="false">IF(LowCashMode="ON",LOW_CASH_MODE!M133,REBALANCE_PLAN!R133)</f>
        <v>6</v>
      </c>
      <c r="H133" s="5" t="n">
        <f aca="false">F133+G133</f>
        <v>12</v>
      </c>
      <c r="I133" s="12" t="n">
        <f aca="false">H133*E133</f>
        <v>498</v>
      </c>
      <c r="J133" s="5" t="str">
        <f aca="false">IF(H133=0,"—",IF(LowCashMode="ON",IF(LOW_CASH_MODE!R133="BUY NOW","BUY NOW","DEFER"),IF(REBALANCE_PLAN!M133&lt;&gt;"None","TRANSFER FIRST","BUY")))</f>
        <v>BUY</v>
      </c>
    </row>
    <row r="134" customFormat="false" ht="15" hidden="false" customHeight="false" outlineLevel="0" collapsed="false">
      <c r="A134" s="5" t="n">
        <f aca="false">ITEM_MASTER_CLEAN!A134</f>
        <v>133</v>
      </c>
      <c r="B134" s="5" t="n">
        <f aca="false">ITEM_MASTER_CLEAN!B134</f>
        <v>19651</v>
      </c>
      <c r="C134" s="5" t="str">
        <f aca="false">ITEM_MASTER_CLEAN!C134</f>
        <v>MTY DIP BUENO 6X1K</v>
      </c>
      <c r="D134" s="5" t="str">
        <f aca="false">ITEM_MASTER_CLEAN!E134</f>
        <v>MTY</v>
      </c>
      <c r="E134" s="12" t="n">
        <f aca="false">ITEM_MASTER_CLEAN!F134</f>
        <v>45.67</v>
      </c>
      <c r="F134" s="5" t="n">
        <f aca="false">IF(LowCashMode="ON",LOW_CASH_MODE!L134,REBALANCE_PLAN!Q134)</f>
        <v>0</v>
      </c>
      <c r="G134" s="5" t="n">
        <f aca="false">IF(LowCashMode="ON",LOW_CASH_MODE!M134,REBALANCE_PLAN!R134)</f>
        <v>0</v>
      </c>
      <c r="H134" s="5" t="n">
        <f aca="false">F134+G134</f>
        <v>0</v>
      </c>
      <c r="I134" s="12" t="n">
        <f aca="false">H134*E134</f>
        <v>0</v>
      </c>
      <c r="J134" s="5" t="str">
        <f aca="false">IF(H134=0,"—",IF(LowCashMode="ON",IF(LOW_CASH_MODE!R134="BUY NOW","BUY NOW","DEFER"),IF(REBALANCE_PLAN!M134&lt;&gt;"None","TRANSFER FIRST","BUY")))</f>
        <v>—</v>
      </c>
    </row>
    <row r="135" customFormat="false" ht="15" hidden="false" customHeight="false" outlineLevel="0" collapsed="false">
      <c r="A135" s="5" t="n">
        <f aca="false">ITEM_MASTER_CLEAN!A135</f>
        <v>134</v>
      </c>
      <c r="B135" s="5" t="n">
        <f aca="false">ITEM_MASTER_CLEAN!B135</f>
        <v>19652</v>
      </c>
      <c r="C135" s="5" t="str">
        <f aca="false">ITEM_MASTER_CLEAN!C135</f>
        <v>MTY DIP LOTUS BISCOFF 6X1K</v>
      </c>
      <c r="D135" s="5" t="str">
        <f aca="false">ITEM_MASTER_CLEAN!E135</f>
        <v>MTY</v>
      </c>
      <c r="E135" s="12" t="n">
        <f aca="false">ITEM_MASTER_CLEAN!F135</f>
        <v>38.29</v>
      </c>
      <c r="F135" s="5" t="n">
        <f aca="false">IF(LowCashMode="ON",LOW_CASH_MODE!L135,REBALANCE_PLAN!Q135)</f>
        <v>0</v>
      </c>
      <c r="G135" s="5" t="n">
        <f aca="false">IF(LowCashMode="ON",LOW_CASH_MODE!M135,REBALANCE_PLAN!R135)</f>
        <v>0</v>
      </c>
      <c r="H135" s="5" t="n">
        <f aca="false">F135+G135</f>
        <v>0</v>
      </c>
      <c r="I135" s="12" t="n">
        <f aca="false">H135*E135</f>
        <v>0</v>
      </c>
      <c r="J135" s="5" t="str">
        <f aca="false">IF(H135=0,"—",IF(LowCashMode="ON",IF(LOW_CASH_MODE!R135="BUY NOW","BUY NOW","DEFER"),IF(REBALANCE_PLAN!M135&lt;&gt;"None","TRANSFER FIRST","BUY")))</f>
        <v>—</v>
      </c>
    </row>
    <row r="136" customFormat="false" ht="15" hidden="false" customHeight="false" outlineLevel="0" collapsed="false">
      <c r="A136" s="5" t="n">
        <f aca="false">ITEM_MASTER_CLEAN!A136</f>
        <v>135</v>
      </c>
      <c r="B136" s="5" t="n">
        <f aca="false">ITEM_MASTER_CLEAN!B136</f>
        <v>24775</v>
      </c>
      <c r="C136" s="5" t="str">
        <f aca="false">ITEM_MASTER_CLEAN!C136</f>
        <v>MTY LIQUIFIANT 6X700G</v>
      </c>
      <c r="D136" s="5" t="str">
        <f aca="false">ITEM_MASTER_CLEAN!E136</f>
        <v>MTY</v>
      </c>
      <c r="E136" s="12" t="n">
        <f aca="false">ITEM_MASTER_CLEAN!F136</f>
        <v>46.82</v>
      </c>
      <c r="F136" s="5" t="n">
        <f aca="false">IF(LowCashMode="ON",LOW_CASH_MODE!L136,REBALANCE_PLAN!Q136)</f>
        <v>6</v>
      </c>
      <c r="G136" s="5" t="n">
        <f aca="false">IF(LowCashMode="ON",LOW_CASH_MODE!M136,REBALANCE_PLAN!R136)</f>
        <v>6</v>
      </c>
      <c r="H136" s="5" t="n">
        <f aca="false">F136+G136</f>
        <v>12</v>
      </c>
      <c r="I136" s="12" t="n">
        <f aca="false">H136*E136</f>
        <v>561.84</v>
      </c>
      <c r="J136" s="5" t="str">
        <f aca="false">IF(H136=0,"—",IF(LowCashMode="ON",IF(LOW_CASH_MODE!R136="BUY NOW","BUY NOW","DEFER"),IF(REBALANCE_PLAN!M136&lt;&gt;"None","TRANSFER FIRST","BUY")))</f>
        <v>BUY</v>
      </c>
    </row>
    <row r="137" customFormat="false" ht="15" hidden="false" customHeight="false" outlineLevel="0" collapsed="false">
      <c r="A137" s="5" t="n">
        <f aca="false">ITEM_MASTER_CLEAN!A137</f>
        <v>136</v>
      </c>
      <c r="B137" s="5" t="n">
        <f aca="false">ITEM_MASTER_CLEAN!B137</f>
        <v>50346</v>
      </c>
      <c r="C137" s="5" t="str">
        <f aca="false">ITEM_MASTER_CLEAN!C137</f>
        <v>MTY CONE SOFT #55 SML 920</v>
      </c>
      <c r="D137" s="5" t="str">
        <f aca="false">ITEM_MASTER_CLEAN!E137</f>
        <v>MTY</v>
      </c>
      <c r="E137" s="12" t="n">
        <f aca="false">ITEM_MASTER_CLEAN!F137</f>
        <v>38.97</v>
      </c>
      <c r="F137" s="5" t="n">
        <f aca="false">IF(LowCashMode="ON",LOW_CASH_MODE!L137,REBALANCE_PLAN!Q137)</f>
        <v>0</v>
      </c>
      <c r="G137" s="5" t="n">
        <f aca="false">IF(LowCashMode="ON",LOW_CASH_MODE!M137,REBALANCE_PLAN!R137)</f>
        <v>0</v>
      </c>
      <c r="H137" s="5" t="n">
        <f aca="false">F137+G137</f>
        <v>0</v>
      </c>
      <c r="I137" s="12" t="n">
        <f aca="false">H137*E137</f>
        <v>0</v>
      </c>
      <c r="J137" s="5" t="str">
        <f aca="false">IF(H137=0,"—",IF(LowCashMode="ON",IF(LOW_CASH_MODE!R137="BUY NOW","BUY NOW","DEFER"),IF(REBALANCE_PLAN!M137&lt;&gt;"None","TRANSFER FIRST","BUY")))</f>
        <v>—</v>
      </c>
    </row>
    <row r="138" customFormat="false" ht="15" hidden="false" customHeight="false" outlineLevel="0" collapsed="false">
      <c r="A138" s="5" t="n">
        <f aca="false">ITEM_MASTER_CLEAN!A138</f>
        <v>137</v>
      </c>
      <c r="B138" s="5" t="n">
        <f aca="false">ITEM_MASTER_CLEAN!B138</f>
        <v>50335</v>
      </c>
      <c r="C138" s="5" t="str">
        <f aca="false">ITEM_MASTER_CLEAN!C138</f>
        <v>MTY CONE SOFT REG #59 10X100UN</v>
      </c>
      <c r="D138" s="5" t="str">
        <f aca="false">ITEM_MASTER_CLEAN!E138</f>
        <v>MTY</v>
      </c>
      <c r="E138" s="12" t="n">
        <f aca="false">ITEM_MASTER_CLEAN!F138</f>
        <v>34.39</v>
      </c>
      <c r="F138" s="5" t="n">
        <f aca="false">IF(LowCashMode="ON",LOW_CASH_MODE!L138,REBALANCE_PLAN!Q138)</f>
        <v>0</v>
      </c>
      <c r="G138" s="5" t="n">
        <f aca="false">IF(LowCashMode="ON",LOW_CASH_MODE!M138,REBALANCE_PLAN!R138)</f>
        <v>0</v>
      </c>
      <c r="H138" s="5" t="n">
        <f aca="false">F138+G138</f>
        <v>0</v>
      </c>
      <c r="I138" s="12" t="n">
        <f aca="false">H138*E138</f>
        <v>0</v>
      </c>
      <c r="J138" s="5" t="str">
        <f aca="false">IF(H138=0,"—",IF(LowCashMode="ON",IF(LOW_CASH_MODE!R138="BUY NOW","BUY NOW","DEFER"),IF(REBALANCE_PLAN!M138&lt;&gt;"None","TRANSFER FIRST","BUY")))</f>
        <v>—</v>
      </c>
    </row>
    <row r="139" customFormat="false" ht="15" hidden="false" customHeight="false" outlineLevel="0" collapsed="false">
      <c r="A139" s="5" t="n">
        <f aca="false">ITEM_MASTER_CLEAN!A139</f>
        <v>138</v>
      </c>
      <c r="B139" s="5" t="n">
        <f aca="false">ITEM_MASTER_CLEAN!B139</f>
        <v>34437</v>
      </c>
      <c r="C139" s="5" t="str">
        <f aca="false">ITEM_MASTER_CLEAN!C139</f>
        <v>CONE SUGAR #52 200UN</v>
      </c>
      <c r="D139" s="5" t="str">
        <f aca="false">ITEM_MASTER_CLEAN!E139</f>
        <v>RIO</v>
      </c>
      <c r="E139" s="12" t="n">
        <f aca="false">ITEM_MASTER_CLEAN!F139</f>
        <v>32.23</v>
      </c>
      <c r="F139" s="5" t="n">
        <f aca="false">IF(LowCashMode="ON",LOW_CASH_MODE!L139,REBALANCE_PLAN!Q139)</f>
        <v>5</v>
      </c>
      <c r="G139" s="5" t="n">
        <f aca="false">IF(LowCashMode="ON",LOW_CASH_MODE!M139,REBALANCE_PLAN!R139)</f>
        <v>6</v>
      </c>
      <c r="H139" s="5" t="n">
        <f aca="false">F139+G139</f>
        <v>11</v>
      </c>
      <c r="I139" s="12" t="n">
        <f aca="false">H139*E139</f>
        <v>354.53</v>
      </c>
      <c r="J139" s="5" t="str">
        <f aca="false">IF(H139=0,"—",IF(LowCashMode="ON",IF(LOW_CASH_MODE!R139="BUY NOW","BUY NOW","DEFER"),IF(REBALANCE_PLAN!M139&lt;&gt;"None","TRANSFER FIRST","BUY")))</f>
        <v>BUY</v>
      </c>
    </row>
    <row r="140" customFormat="false" ht="15" hidden="false" customHeight="false" outlineLevel="0" collapsed="false">
      <c r="A140" s="5" t="n">
        <f aca="false">ITEM_MASTER_CLEAN!A140</f>
        <v>139</v>
      </c>
      <c r="B140" s="5" t="n">
        <f aca="false">ITEM_MASTER_CLEAN!B140</f>
        <v>50332</v>
      </c>
      <c r="C140" s="5" t="str">
        <f aca="false">ITEM_MASTER_CLEAN!C140</f>
        <v>WAFFLE CONE #60 312UN</v>
      </c>
      <c r="D140" s="5" t="str">
        <f aca="false">ITEM_MASTER_CLEAN!E140</f>
        <v>RIO CANDY</v>
      </c>
      <c r="E140" s="12" t="n">
        <f aca="false">ITEM_MASTER_CLEAN!F140</f>
        <v>38.63</v>
      </c>
      <c r="F140" s="5" t="n">
        <f aca="false">IF(LowCashMode="ON",LOW_CASH_MODE!L140,REBALANCE_PLAN!Q140)</f>
        <v>10</v>
      </c>
      <c r="G140" s="5" t="n">
        <f aca="false">IF(LowCashMode="ON",LOW_CASH_MODE!M140,REBALANCE_PLAN!R140)</f>
        <v>7</v>
      </c>
      <c r="H140" s="5" t="n">
        <f aca="false">F140+G140</f>
        <v>17</v>
      </c>
      <c r="I140" s="12" t="n">
        <f aca="false">H140*E140</f>
        <v>656.71</v>
      </c>
      <c r="J140" s="5" t="str">
        <f aca="false">IF(H140=0,"—",IF(LowCashMode="ON",IF(LOW_CASH_MODE!R140="BUY NOW","BUY NOW","DEFER"),IF(REBALANCE_PLAN!M140&lt;&gt;"None","TRANSFER FIRST","BUY")))</f>
        <v>BUY</v>
      </c>
    </row>
    <row r="141" customFormat="false" ht="15" hidden="false" customHeight="false" outlineLevel="0" collapsed="false">
      <c r="A141" s="5" t="n">
        <f aca="false">ITEM_MASTER_CLEAN!A141</f>
        <v>140</v>
      </c>
      <c r="B141" s="5" t="n">
        <f aca="false">ITEM_MASTER_CLEAN!B141</f>
        <v>14929</v>
      </c>
      <c r="C141" s="5" t="str">
        <f aca="false">ITEM_MASTER_CLEAN!C141</f>
        <v>BISC OREO GRINDED 24X450G</v>
      </c>
      <c r="D141" s="5" t="str">
        <f aca="false">ITEM_MASTER_CLEAN!E141</f>
        <v>CHRISTIE</v>
      </c>
      <c r="E141" s="12" t="n">
        <f aca="false">ITEM_MASTER_CLEAN!F141</f>
        <v>39.85</v>
      </c>
      <c r="F141" s="5" t="n">
        <f aca="false">IF(LowCashMode="ON",LOW_CASH_MODE!L141,REBALANCE_PLAN!Q141)</f>
        <v>24</v>
      </c>
      <c r="G141" s="5" t="n">
        <f aca="false">IF(LowCashMode="ON",LOW_CASH_MODE!M141,REBALANCE_PLAN!R141)</f>
        <v>0</v>
      </c>
      <c r="H141" s="5" t="n">
        <f aca="false">F141+G141</f>
        <v>24</v>
      </c>
      <c r="I141" s="12" t="n">
        <f aca="false">H141*E141</f>
        <v>956.4</v>
      </c>
      <c r="J141" s="5" t="str">
        <f aca="false">IF(H141=0,"—",IF(LowCashMode="ON",IF(LOW_CASH_MODE!R141="BUY NOW","BUY NOW","DEFER"),IF(REBALANCE_PLAN!M141&lt;&gt;"None","TRANSFER FIRST","BUY")))</f>
        <v>BUY</v>
      </c>
    </row>
    <row r="142" customFormat="false" ht="15" hidden="false" customHeight="false" outlineLevel="0" collapsed="false">
      <c r="A142" s="5" t="n">
        <f aca="false">ITEM_MASTER_CLEAN!A142</f>
        <v>141</v>
      </c>
      <c r="B142" s="5" t="n">
        <f aca="false">ITEM_MASTER_CLEAN!B142</f>
        <v>61647</v>
      </c>
      <c r="C142" s="5" t="str">
        <f aca="false">ITEM_MASTER_CLEAN!C142</f>
        <v>CANDY COTTON CANDY PCS 80252 10LB</v>
      </c>
      <c r="D142" s="5" t="str">
        <f aca="false">ITEM_MASTER_CLEAN!E142</f>
        <v>TOOTSI</v>
      </c>
      <c r="E142" s="12" t="n">
        <f aca="false">ITEM_MASTER_CLEAN!F142</f>
        <v>31.05</v>
      </c>
      <c r="F142" s="5" t="n">
        <f aca="false">IF(LowCashMode="ON",LOW_CASH_MODE!L142,REBALANCE_PLAN!Q142)</f>
        <v>3</v>
      </c>
      <c r="G142" s="5" t="n">
        <f aca="false">IF(LowCashMode="ON",LOW_CASH_MODE!M142,REBALANCE_PLAN!R142)</f>
        <v>2</v>
      </c>
      <c r="H142" s="5" t="n">
        <f aca="false">F142+G142</f>
        <v>5</v>
      </c>
      <c r="I142" s="12" t="n">
        <f aca="false">H142*E142</f>
        <v>155.25</v>
      </c>
      <c r="J142" s="5" t="str">
        <f aca="false">IF(H142=0,"—",IF(LowCashMode="ON",IF(LOW_CASH_MODE!R142="BUY NOW","BUY NOW","DEFER"),IF(REBALANCE_PLAN!M142&lt;&gt;"None","TRANSFER FIRST","BUY")))</f>
        <v>BUY</v>
      </c>
    </row>
    <row r="143" customFormat="false" ht="15" hidden="false" customHeight="false" outlineLevel="0" collapsed="false">
      <c r="A143" s="5" t="n">
        <f aca="false">ITEM_MASTER_CLEAN!A143</f>
        <v>142</v>
      </c>
      <c r="B143" s="5" t="n">
        <f aca="false">ITEM_MASTER_CLEAN!B143</f>
        <v>23656</v>
      </c>
      <c r="C143" s="5" t="str">
        <f aca="false">ITEM_MASTER_CLEAN!C143</f>
        <v>CANDY GUMMIE BEAR ASS'T 1X1.5K</v>
      </c>
      <c r="D143" s="5" t="str">
        <f aca="false">ITEM_MASTER_CLEAN!E143</f>
        <v>DÉL.FORÊT</v>
      </c>
      <c r="E143" s="12" t="n">
        <f aca="false">ITEM_MASTER_CLEAN!F143</f>
        <v>55.43</v>
      </c>
      <c r="F143" s="5" t="n">
        <f aca="false">IF(LowCashMode="ON",LOW_CASH_MODE!L143,REBALANCE_PLAN!Q143)</f>
        <v>7</v>
      </c>
      <c r="G143" s="5" t="n">
        <f aca="false">IF(LowCashMode="ON",LOW_CASH_MODE!M143,REBALANCE_PLAN!R143)</f>
        <v>0</v>
      </c>
      <c r="H143" s="5" t="n">
        <f aca="false">F143+G143</f>
        <v>7</v>
      </c>
      <c r="I143" s="12" t="n">
        <f aca="false">H143*E143</f>
        <v>388.01</v>
      </c>
      <c r="J143" s="5" t="str">
        <f aca="false">IF(H143=0,"—",IF(LowCashMode="ON",IF(LOW_CASH_MODE!R143="BUY NOW","BUY NOW","DEFER"),IF(REBALANCE_PLAN!M143&lt;&gt;"None","TRANSFER FIRST","BUY")))</f>
        <v>BUY</v>
      </c>
    </row>
    <row r="144" customFormat="false" ht="15" hidden="false" customHeight="false" outlineLevel="0" collapsed="false">
      <c r="A144" s="5" t="n">
        <f aca="false">ITEM_MASTER_CLEAN!A144</f>
        <v>143</v>
      </c>
      <c r="B144" s="5" t="n">
        <f aca="false">ITEM_MASTER_CLEAN!B144</f>
        <v>61654</v>
      </c>
      <c r="C144" s="5" t="str">
        <f aca="false">ITEM_MASTER_CLEAN!C144</f>
        <v>CANDY NERDS RAINBOW N390-100 2X5LB</v>
      </c>
      <c r="D144" s="5" t="str">
        <f aca="false">ITEM_MASTER_CLEAN!E144</f>
        <v>TR TOPPERS</v>
      </c>
      <c r="E144" s="12" t="n">
        <f aca="false">ITEM_MASTER_CLEAN!F144</f>
        <v>20.63</v>
      </c>
      <c r="F144" s="5" t="n">
        <f aca="false">IF(LowCashMode="ON",LOW_CASH_MODE!L144,REBALANCE_PLAN!Q144)</f>
        <v>6</v>
      </c>
      <c r="G144" s="5" t="n">
        <f aca="false">IF(LowCashMode="ON",LOW_CASH_MODE!M144,REBALANCE_PLAN!R144)</f>
        <v>2</v>
      </c>
      <c r="H144" s="5" t="n">
        <f aca="false">F144+G144</f>
        <v>8</v>
      </c>
      <c r="I144" s="12" t="n">
        <f aca="false">H144*E144</f>
        <v>165.04</v>
      </c>
      <c r="J144" s="5" t="str">
        <f aca="false">IF(H144=0,"—",IF(LowCashMode="ON",IF(LOW_CASH_MODE!R144="BUY NOW","BUY NOW","DEFER"),IF(REBALANCE_PLAN!M144&lt;&gt;"None","TRANSFER FIRST","BUY")))</f>
        <v>BUY</v>
      </c>
    </row>
    <row r="145" customFormat="false" ht="15" hidden="false" customHeight="false" outlineLevel="0" collapsed="false">
      <c r="A145" s="5" t="n">
        <f aca="false">ITEM_MASTER_CLEAN!A145</f>
        <v>144</v>
      </c>
      <c r="B145" s="5" t="n">
        <f aca="false">ITEM_MASTER_CLEAN!B145</f>
        <v>14624</v>
      </c>
      <c r="C145" s="5" t="str">
        <f aca="false">ITEM_MASTER_CLEAN!C145</f>
        <v>CRUMB GRAHAM DARE 5K</v>
      </c>
      <c r="D145" s="5" t="str">
        <f aca="false">ITEM_MASTER_CLEAN!E145</f>
        <v>DARE</v>
      </c>
      <c r="E145" s="12" t="n">
        <f aca="false">ITEM_MASTER_CLEAN!F145</f>
        <v>49.46</v>
      </c>
      <c r="F145" s="5" t="n">
        <f aca="false">IF(LowCashMode="ON",LOW_CASH_MODE!L145,REBALANCE_PLAN!Q145)</f>
        <v>0</v>
      </c>
      <c r="G145" s="5" t="n">
        <f aca="false">IF(LowCashMode="ON",LOW_CASH_MODE!M145,REBALANCE_PLAN!R145)</f>
        <v>4</v>
      </c>
      <c r="H145" s="5" t="n">
        <f aca="false">F145+G145</f>
        <v>4</v>
      </c>
      <c r="I145" s="12" t="n">
        <f aca="false">H145*E145</f>
        <v>197.84</v>
      </c>
      <c r="J145" s="5" t="str">
        <f aca="false">IF(H145=0,"—",IF(LowCashMode="ON",IF(LOW_CASH_MODE!R145="BUY NOW","BUY NOW","DEFER"),IF(REBALANCE_PLAN!M145&lt;&gt;"None","TRANSFER FIRST","BUY")))</f>
        <v>BUY</v>
      </c>
    </row>
    <row r="146" customFormat="false" ht="15" hidden="false" customHeight="false" outlineLevel="0" collapsed="false">
      <c r="A146" s="5" t="n">
        <f aca="false">ITEM_MASTER_CLEAN!A146</f>
        <v>145</v>
      </c>
      <c r="B146" s="5" t="n">
        <f aca="false">ITEM_MASTER_CLEAN!B146</f>
        <v>11692</v>
      </c>
      <c r="C146" s="5" t="str">
        <f aca="false">ITEM_MASTER_CLEAN!C146</f>
        <v>CHOC KIT KAT CRUSHED 4X907G</v>
      </c>
      <c r="D146" s="5" t="str">
        <f aca="false">ITEM_MASTER_CLEAN!E146</f>
        <v>KIT KAT</v>
      </c>
      <c r="E146" s="12" t="n">
        <f aca="false">ITEM_MASTER_CLEAN!F146</f>
        <v>62.22</v>
      </c>
      <c r="F146" s="5" t="n">
        <f aca="false">IF(LowCashMode="ON",LOW_CASH_MODE!L146,REBALANCE_PLAN!Q146)</f>
        <v>12</v>
      </c>
      <c r="G146" s="5" t="n">
        <f aca="false">IF(LowCashMode="ON",LOW_CASH_MODE!M146,REBALANCE_PLAN!R146)</f>
        <v>8</v>
      </c>
      <c r="H146" s="5" t="n">
        <f aca="false">F146+G146</f>
        <v>20</v>
      </c>
      <c r="I146" s="12" t="n">
        <f aca="false">H146*E146</f>
        <v>1244.4</v>
      </c>
      <c r="J146" s="5" t="str">
        <f aca="false">IF(H146=0,"—",IF(LowCashMode="ON",IF(LOW_CASH_MODE!R146="BUY NOW","BUY NOW","DEFER"),IF(REBALANCE_PLAN!M146&lt;&gt;"None","TRANSFER FIRST","BUY")))</f>
        <v>BUY</v>
      </c>
    </row>
    <row r="147" customFormat="false" ht="15" hidden="false" customHeight="false" outlineLevel="0" collapsed="false">
      <c r="A147" s="5" t="n">
        <f aca="false">ITEM_MASTER_CLEAN!A147</f>
        <v>146</v>
      </c>
      <c r="B147" s="5" t="n">
        <f aca="false">ITEM_MASTER_CLEAN!B147</f>
        <v>62812</v>
      </c>
      <c r="C147" s="5" t="str">
        <f aca="false">ITEM_MASTER_CLEAN!C147</f>
        <v>CHOC SKOR BITE BULK 413 4X1.36K</v>
      </c>
      <c r="D147" s="5" t="str">
        <f aca="false">ITEM_MASTER_CLEAN!E147</f>
        <v>CHIPITS</v>
      </c>
      <c r="E147" s="12" t="n">
        <f aca="false">ITEM_MASTER_CLEAN!F147</f>
        <v>16.6</v>
      </c>
      <c r="F147" s="5" t="n">
        <f aca="false">IF(LowCashMode="ON",LOW_CASH_MODE!L147,REBALANCE_PLAN!Q147)</f>
        <v>0</v>
      </c>
      <c r="G147" s="5" t="n">
        <f aca="false">IF(LowCashMode="ON",LOW_CASH_MODE!M147,REBALANCE_PLAN!R147)</f>
        <v>8</v>
      </c>
      <c r="H147" s="5" t="n">
        <f aca="false">F147+G147</f>
        <v>8</v>
      </c>
      <c r="I147" s="12" t="n">
        <f aca="false">H147*E147</f>
        <v>132.8</v>
      </c>
      <c r="J147" s="5" t="str">
        <f aca="false">IF(H147=0,"—",IF(LowCashMode="ON",IF(LOW_CASH_MODE!R147="BUY NOW","BUY NOW","DEFER"),IF(REBALANCE_PLAN!M147&lt;&gt;"None","TRANSFER FIRST","BUY")))</f>
        <v>BUY</v>
      </c>
    </row>
    <row r="148" customFormat="false" ht="15" hidden="false" customHeight="false" outlineLevel="0" collapsed="false">
      <c r="A148" s="5" t="n">
        <f aca="false">ITEM_MASTER_CLEAN!A148</f>
        <v>147</v>
      </c>
      <c r="B148" s="5" t="n">
        <f aca="false">ITEM_MASTER_CLEAN!B148</f>
        <v>44503</v>
      </c>
      <c r="C148" s="5" t="str">
        <f aca="false">ITEM_MASTER_CLEAN!C148</f>
        <v>CHOC SMARTIES CRUSHED BULK 10X1.1K</v>
      </c>
      <c r="D148" s="5" t="str">
        <f aca="false">ITEM_MASTER_CLEAN!E148</f>
        <v>SMARTIES</v>
      </c>
      <c r="E148" s="12" t="n">
        <f aca="false">ITEM_MASTER_CLEAN!F148</f>
        <v>33.76</v>
      </c>
      <c r="F148" s="5" t="n">
        <f aca="false">IF(LowCashMode="ON",LOW_CASH_MODE!L148,REBALANCE_PLAN!Q148)</f>
        <v>10</v>
      </c>
      <c r="G148" s="5" t="n">
        <f aca="false">IF(LowCashMode="ON",LOW_CASH_MODE!M148,REBALANCE_PLAN!R148)</f>
        <v>10</v>
      </c>
      <c r="H148" s="5" t="n">
        <f aca="false">F148+G148</f>
        <v>20</v>
      </c>
      <c r="I148" s="12" t="n">
        <f aca="false">H148*E148</f>
        <v>675.2</v>
      </c>
      <c r="J148" s="5" t="str">
        <f aca="false">IF(H148=0,"—",IF(LowCashMode="ON",IF(LOW_CASH_MODE!R148="BUY NOW","BUY NOW","DEFER"),IF(REBALANCE_PLAN!M148&lt;&gt;"None","TRANSFER FIRST","BUY")))</f>
        <v>BUY</v>
      </c>
    </row>
    <row r="149" customFormat="false" ht="15" hidden="false" customHeight="false" outlineLevel="0" collapsed="false">
      <c r="A149" s="5" t="n">
        <f aca="false">ITEM_MASTER_CLEAN!A149</f>
        <v>148</v>
      </c>
      <c r="B149" s="5" t="n">
        <f aca="false">ITEM_MASTER_CLEAN!B149</f>
        <v>37163</v>
      </c>
      <c r="C149" s="5" t="str">
        <f aca="false">ITEM_MASTER_CLEAN!C149</f>
        <v>MAPLE NUGGET SUGAR 4065 1X1K</v>
      </c>
      <c r="D149" s="5" t="str">
        <f aca="false">ITEM_MASTER_CLEAN!E149</f>
        <v>FRT.D'ERAB</v>
      </c>
      <c r="E149" s="12" t="n">
        <f aca="false">ITEM_MASTER_CLEAN!F149</f>
        <v>3.89</v>
      </c>
      <c r="F149" s="5" t="n">
        <f aca="false">IF(LowCashMode="ON",LOW_CASH_MODE!L149,REBALANCE_PLAN!Q149)</f>
        <v>8</v>
      </c>
      <c r="G149" s="5" t="n">
        <f aca="false">IF(LowCashMode="ON",LOW_CASH_MODE!M149,REBALANCE_PLAN!R149)</f>
        <v>2</v>
      </c>
      <c r="H149" s="5" t="n">
        <f aca="false">F149+G149</f>
        <v>10</v>
      </c>
      <c r="I149" s="12" t="n">
        <f aca="false">H149*E149</f>
        <v>38.9</v>
      </c>
      <c r="J149" s="5" t="str">
        <f aca="false">IF(H149=0,"—",IF(LowCashMode="ON",IF(LOW_CASH_MODE!R149="BUY NOW","BUY NOW","DEFER"),IF(REBALANCE_PLAN!M149&lt;&gt;"None","TRANSFER FIRST","BUY")))</f>
        <v>BUY</v>
      </c>
    </row>
    <row r="150" customFormat="false" ht="15" hidden="false" customHeight="false" outlineLevel="0" collapsed="false">
      <c r="A150" s="5" t="n">
        <f aca="false">ITEM_MASTER_CLEAN!A150</f>
        <v>149</v>
      </c>
      <c r="B150" s="5" t="n">
        <f aca="false">ITEM_MASTER_CLEAN!B150</f>
        <v>32978</v>
      </c>
      <c r="C150" s="5" t="str">
        <f aca="false">ITEM_MASTER_CLEAN!C150</f>
        <v>NUTS ALMOND DICED 10658 25LB</v>
      </c>
      <c r="D150" s="5" t="str">
        <f aca="false">ITEM_MASTER_CLEAN!E150</f>
        <v>TOOTSI</v>
      </c>
      <c r="E150" s="12" t="n">
        <f aca="false">ITEM_MASTER_CLEAN!F150</f>
        <v>16.6</v>
      </c>
      <c r="F150" s="5" t="n">
        <f aca="false">IF(LowCashMode="ON",LOW_CASH_MODE!L150,REBALANCE_PLAN!Q150)</f>
        <v>1</v>
      </c>
      <c r="G150" s="5" t="n">
        <f aca="false">IF(LowCashMode="ON",LOW_CASH_MODE!M150,REBALANCE_PLAN!R150)</f>
        <v>2</v>
      </c>
      <c r="H150" s="5" t="n">
        <f aca="false">F150+G150</f>
        <v>3</v>
      </c>
      <c r="I150" s="12" t="n">
        <f aca="false">H150*E150</f>
        <v>49.8</v>
      </c>
      <c r="J150" s="5" t="str">
        <f aca="false">IF(H150=0,"—",IF(LowCashMode="ON",IF(LOW_CASH_MODE!R150="BUY NOW","BUY NOW","DEFER"),IF(REBALANCE_PLAN!M150&lt;&gt;"None","TRANSFER FIRST","BUY")))</f>
        <v>BUY</v>
      </c>
    </row>
    <row r="151" customFormat="false" ht="15" hidden="false" customHeight="false" outlineLevel="0" collapsed="false">
      <c r="A151" s="5" t="n">
        <f aca="false">ITEM_MASTER_CLEAN!A151</f>
        <v>150</v>
      </c>
      <c r="B151" s="5" t="n">
        <f aca="false">ITEM_MASTER_CLEAN!B151</f>
        <v>61496</v>
      </c>
      <c r="C151" s="5" t="str">
        <f aca="false">ITEM_MASTER_CLEAN!C151</f>
        <v>NUTS PEANUT CRSHD RSTED 3X1K</v>
      </c>
      <c r="D151" s="5" t="str">
        <f aca="false">ITEM_MASTER_CLEAN!E151</f>
        <v>DÉL.FORÊT</v>
      </c>
      <c r="E151" s="12" t="n">
        <f aca="false">ITEM_MASTER_CLEAN!F151</f>
        <v>17.84</v>
      </c>
      <c r="F151" s="5" t="n">
        <f aca="false">IF(LowCashMode="ON",LOW_CASH_MODE!L151,REBALANCE_PLAN!Q151)</f>
        <v>3</v>
      </c>
      <c r="G151" s="5" t="n">
        <f aca="false">IF(LowCashMode="ON",LOW_CASH_MODE!M151,REBALANCE_PLAN!R151)</f>
        <v>3</v>
      </c>
      <c r="H151" s="5" t="n">
        <f aca="false">F151+G151</f>
        <v>6</v>
      </c>
      <c r="I151" s="12" t="n">
        <f aca="false">H151*E151</f>
        <v>107.04</v>
      </c>
      <c r="J151" s="5" t="str">
        <f aca="false">IF(H151=0,"—",IF(LowCashMode="ON",IF(LOW_CASH_MODE!R151="BUY NOW","BUY NOW","DEFER"),IF(REBALANCE_PLAN!M151&lt;&gt;"None","TRANSFER FIRST","BUY")))</f>
        <v>BUY</v>
      </c>
    </row>
    <row r="152" customFormat="false" ht="15" hidden="false" customHeight="false" outlineLevel="0" collapsed="false">
      <c r="A152" s="5" t="n">
        <f aca="false">ITEM_MASTER_CLEAN!A152</f>
        <v>151</v>
      </c>
      <c r="B152" s="5" t="n">
        <f aca="false">ITEM_MASTER_CLEAN!B152</f>
        <v>32981</v>
      </c>
      <c r="C152" s="5" t="str">
        <f aca="false">ITEM_MASTER_CLEAN!C152</f>
        <v>COCONUT SHREDDED SWEET 10780 25LB</v>
      </c>
      <c r="D152" s="5" t="str">
        <f aca="false">ITEM_MASTER_CLEAN!E152</f>
        <v>TOOTSI</v>
      </c>
      <c r="E152" s="12" t="n">
        <f aca="false">ITEM_MASTER_CLEAN!F152</f>
        <v>30.08</v>
      </c>
      <c r="F152" s="5" t="n">
        <f aca="false">IF(LowCashMode="ON",LOW_CASH_MODE!L152,REBALANCE_PLAN!Q152)</f>
        <v>7</v>
      </c>
      <c r="G152" s="5" t="n">
        <f aca="false">IF(LowCashMode="ON",LOW_CASH_MODE!M152,REBALANCE_PLAN!R152)</f>
        <v>2</v>
      </c>
      <c r="H152" s="5" t="n">
        <f aca="false">F152+G152</f>
        <v>9</v>
      </c>
      <c r="I152" s="12" t="n">
        <f aca="false">H152*E152</f>
        <v>270.72</v>
      </c>
      <c r="J152" s="5" t="str">
        <f aca="false">IF(H152=0,"—",IF(LowCashMode="ON",IF(LOW_CASH_MODE!R152="BUY NOW","BUY NOW","DEFER"),IF(REBALANCE_PLAN!M152&lt;&gt;"None","TRANSFER FIRST","BUY")))</f>
        <v>BUY</v>
      </c>
    </row>
    <row r="153" customFormat="false" ht="15" hidden="false" customHeight="false" outlineLevel="0" collapsed="false">
      <c r="A153" s="5" t="n">
        <f aca="false">ITEM_MASTER_CLEAN!A153</f>
        <v>152</v>
      </c>
      <c r="B153" s="5" t="n">
        <f aca="false">ITEM_MASTER_CLEAN!B153</f>
        <v>15058</v>
      </c>
      <c r="C153" s="5" t="str">
        <f aca="false">ITEM_MASTER_CLEAN!C153</f>
        <v>NUT HAZELNUT RSTD 3X1K</v>
      </c>
      <c r="D153" s="5" t="str">
        <f aca="false">ITEM_MASTER_CLEAN!E153</f>
        <v>PET GRAIN</v>
      </c>
      <c r="E153" s="12" t="n">
        <f aca="false">ITEM_MASTER_CLEAN!F153</f>
        <v>30.03</v>
      </c>
      <c r="F153" s="5" t="n">
        <f aca="false">IF(LowCashMode="ON",LOW_CASH_MODE!L153,REBALANCE_PLAN!Q153)</f>
        <v>6</v>
      </c>
      <c r="G153" s="5" t="n">
        <f aca="false">IF(LowCashMode="ON",LOW_CASH_MODE!M153,REBALANCE_PLAN!R153)</f>
        <v>6</v>
      </c>
      <c r="H153" s="5" t="n">
        <f aca="false">F153+G153</f>
        <v>12</v>
      </c>
      <c r="I153" s="12" t="n">
        <f aca="false">H153*E153</f>
        <v>360.36</v>
      </c>
      <c r="J153" s="5" t="str">
        <f aca="false">IF(H153=0,"—",IF(LowCashMode="ON",IF(LOW_CASH_MODE!R153="BUY NOW","BUY NOW","DEFER"),IF(REBALANCE_PLAN!M153&lt;&gt;"None","TRANSFER FIRST","BUY")))</f>
        <v>BUY</v>
      </c>
    </row>
    <row r="154" customFormat="false" ht="15" hidden="false" customHeight="false" outlineLevel="0" collapsed="false">
      <c r="A154" s="5" t="n">
        <f aca="false">ITEM_MASTER_CLEAN!A154</f>
        <v>153</v>
      </c>
      <c r="B154" s="5" t="n">
        <f aca="false">ITEM_MASTER_CLEAN!B154</f>
        <v>40251</v>
      </c>
      <c r="C154" s="5" t="str">
        <f aca="false">ITEM_MASTER_CLEAN!C154</f>
        <v>NUT PISTACHIO N/SHELL 1KG</v>
      </c>
      <c r="D154" s="5" t="str">
        <f aca="false">ITEM_MASTER_CLEAN!E154</f>
        <v>NOIX!NOIX!</v>
      </c>
      <c r="E154" s="12" t="n">
        <f aca="false">ITEM_MASTER_CLEAN!F154</f>
        <v>47.81</v>
      </c>
      <c r="F154" s="5" t="n">
        <f aca="false">IF(LowCashMode="ON",LOW_CASH_MODE!L154,REBALANCE_PLAN!Q154)</f>
        <v>0</v>
      </c>
      <c r="G154" s="5" t="n">
        <f aca="false">IF(LowCashMode="ON",LOW_CASH_MODE!M154,REBALANCE_PLAN!R154)</f>
        <v>0</v>
      </c>
      <c r="H154" s="5" t="n">
        <f aca="false">F154+G154</f>
        <v>0</v>
      </c>
      <c r="I154" s="12" t="n">
        <f aca="false">H154*E154</f>
        <v>0</v>
      </c>
      <c r="J154" s="5" t="str">
        <f aca="false">IF(H154=0,"—",IF(LowCashMode="ON",IF(LOW_CASH_MODE!R154="BUY NOW","BUY NOW","DEFER"),IF(REBALANCE_PLAN!M154&lt;&gt;"None","TRANSFER FIRST","BUY")))</f>
        <v>—</v>
      </c>
    </row>
    <row r="155" customFormat="false" ht="15" hidden="false" customHeight="false" outlineLevel="0" collapsed="false">
      <c r="A155" s="5" t="n">
        <f aca="false">ITEM_MASTER_CLEAN!A155</f>
        <v>154</v>
      </c>
      <c r="B155" s="5" t="n">
        <f aca="false">ITEM_MASTER_CLEAN!B155</f>
        <v>34732</v>
      </c>
      <c r="C155" s="5" t="str">
        <f aca="false">ITEM_MASTER_CLEAN!C155</f>
        <v>PRETZEL MINI PRT5204 20LB</v>
      </c>
      <c r="D155" s="5" t="str">
        <f aca="false">ITEM_MASTER_CLEAN!E155</f>
        <v>DEL FOREST</v>
      </c>
      <c r="E155" s="12" t="n">
        <f aca="false">ITEM_MASTER_CLEAN!F155</f>
        <v>54.35</v>
      </c>
      <c r="F155" s="5" t="n">
        <f aca="false">IF(LowCashMode="ON",LOW_CASH_MODE!L155,REBALANCE_PLAN!Q155)</f>
        <v>10</v>
      </c>
      <c r="G155" s="5" t="n">
        <f aca="false">IF(LowCashMode="ON",LOW_CASH_MODE!M155,REBALANCE_PLAN!R155)</f>
        <v>0</v>
      </c>
      <c r="H155" s="5" t="n">
        <f aca="false">F155+G155</f>
        <v>10</v>
      </c>
      <c r="I155" s="12" t="n">
        <f aca="false">H155*E155</f>
        <v>543.5</v>
      </c>
      <c r="J155" s="5" t="str">
        <f aca="false">IF(H155=0,"—",IF(LowCashMode="ON",IF(LOW_CASH_MODE!R155="BUY NOW","BUY NOW","DEFER"),IF(REBALANCE_PLAN!M155&lt;&gt;"None","TRANSFER FIRST","BUY")))</f>
        <v>BUY</v>
      </c>
    </row>
    <row r="156" customFormat="false" ht="15" hidden="false" customHeight="false" outlineLevel="0" collapsed="false">
      <c r="A156" s="5" t="n">
        <f aca="false">ITEM_MASTER_CLEAN!A156</f>
        <v>155</v>
      </c>
      <c r="B156" s="5" t="n">
        <f aca="false">ITEM_MASTER_CLEAN!B156</f>
        <v>61580</v>
      </c>
      <c r="C156" s="5" t="str">
        <f aca="false">ITEM_MASTER_CLEAN!C156</f>
        <v>SPRINKLES CHOCOLATE K 3K</v>
      </c>
      <c r="D156" s="5" t="str">
        <f aca="false">ITEM_MASTER_CLEAN!E156</f>
        <v>CSP</v>
      </c>
      <c r="E156" s="12" t="n">
        <f aca="false">ITEM_MASTER_CLEAN!F156</f>
        <v>35.72</v>
      </c>
      <c r="F156" s="5" t="n">
        <f aca="false">IF(LowCashMode="ON",LOW_CASH_MODE!L156,REBALANCE_PLAN!Q156)</f>
        <v>2</v>
      </c>
      <c r="G156" s="5" t="n">
        <f aca="false">IF(LowCashMode="ON",LOW_CASH_MODE!M156,REBALANCE_PLAN!R156)</f>
        <v>1</v>
      </c>
      <c r="H156" s="5" t="n">
        <f aca="false">F156+G156</f>
        <v>3</v>
      </c>
      <c r="I156" s="12" t="n">
        <f aca="false">H156*E156</f>
        <v>107.16</v>
      </c>
      <c r="J156" s="5" t="str">
        <f aca="false">IF(H156=0,"—",IF(LowCashMode="ON",IF(LOW_CASH_MODE!R156="BUY NOW","BUY NOW","DEFER"),IF(REBALANCE_PLAN!M156&lt;&gt;"None","TRANSFER FIRST","BUY")))</f>
        <v>BUY</v>
      </c>
    </row>
    <row r="157" customFormat="false" ht="15" hidden="false" customHeight="false" outlineLevel="0" collapsed="false">
      <c r="A157" s="5" t="n">
        <f aca="false">ITEM_MASTER_CLEAN!A157</f>
        <v>156</v>
      </c>
      <c r="B157" s="5" t="n">
        <f aca="false">ITEM_MASTER_CLEAN!B157</f>
        <v>61581</v>
      </c>
      <c r="C157" s="5" t="str">
        <f aca="false">ITEM_MASTER_CLEAN!C157</f>
        <v>SPRINKLES RAINBOW 3K</v>
      </c>
      <c r="D157" s="5" t="str">
        <f aca="false">ITEM_MASTER_CLEAN!E157</f>
        <v>DAWN FOODS</v>
      </c>
      <c r="E157" s="12" t="n">
        <f aca="false">ITEM_MASTER_CLEAN!F157</f>
        <v>50.1</v>
      </c>
      <c r="F157" s="5" t="n">
        <f aca="false">IF(LowCashMode="ON",LOW_CASH_MODE!L157,REBALANCE_PLAN!Q157)</f>
        <v>10</v>
      </c>
      <c r="G157" s="5" t="n">
        <f aca="false">IF(LowCashMode="ON",LOW_CASH_MODE!M157,REBALANCE_PLAN!R157)</f>
        <v>0</v>
      </c>
      <c r="H157" s="5" t="n">
        <f aca="false">F157+G157</f>
        <v>10</v>
      </c>
      <c r="I157" s="12" t="n">
        <f aca="false">H157*E157</f>
        <v>501</v>
      </c>
      <c r="J157" s="5" t="str">
        <f aca="false">IF(H157=0,"—",IF(LowCashMode="ON",IF(LOW_CASH_MODE!R157="BUY NOW","BUY NOW","DEFER"),IF(REBALANCE_PLAN!M157&lt;&gt;"None","TRANSFER FIRST","BUY")))</f>
        <v>BUY</v>
      </c>
    </row>
    <row r="158" customFormat="false" ht="15" hidden="false" customHeight="false" outlineLevel="0" collapsed="false">
      <c r="A158" s="5" t="n">
        <f aca="false">ITEM_MASTER_CLEAN!A158</f>
        <v>157</v>
      </c>
      <c r="B158" s="5" t="n">
        <f aca="false">ITEM_MASTER_CLEAN!B158</f>
        <v>67089</v>
      </c>
      <c r="C158" s="5" t="str">
        <f aca="false">ITEM_MASTER_CLEAN!C158</f>
        <v>SYRUP VANILLA MONIN K 750ML</v>
      </c>
      <c r="D158" s="5" t="str">
        <f aca="false">ITEM_MASTER_CLEAN!E158</f>
        <v>MONIN</v>
      </c>
      <c r="E158" s="12" t="n">
        <f aca="false">ITEM_MASTER_CLEAN!F158</f>
        <v>11.75</v>
      </c>
      <c r="F158" s="5" t="n">
        <f aca="false">IF(LowCashMode="ON",LOW_CASH_MODE!L158,REBALANCE_PLAN!Q158)</f>
        <v>1</v>
      </c>
      <c r="G158" s="5" t="n">
        <f aca="false">IF(LowCashMode="ON",LOW_CASH_MODE!M158,REBALANCE_PLAN!R158)</f>
        <v>1</v>
      </c>
      <c r="H158" s="5" t="n">
        <f aca="false">F158+G158</f>
        <v>2</v>
      </c>
      <c r="I158" s="12" t="n">
        <f aca="false">H158*E158</f>
        <v>23.5</v>
      </c>
      <c r="J158" s="5" t="str">
        <f aca="false">IF(H158=0,"—",IF(LowCashMode="ON",IF(LOW_CASH_MODE!R158="BUY NOW","BUY NOW","DEFER"),IF(REBALANCE_PLAN!M158&lt;&gt;"None","TRANSFER FIRST","BUY")))</f>
        <v>BUY</v>
      </c>
    </row>
    <row r="159" customFormat="false" ht="15" hidden="false" customHeight="false" outlineLevel="0" collapsed="false">
      <c r="A159" s="5" t="n">
        <f aca="false">ITEM_MASTER_CLEAN!A159</f>
        <v>158</v>
      </c>
      <c r="B159" s="5" t="n">
        <f aca="false">ITEM_MASTER_CLEAN!B159</f>
        <v>67123</v>
      </c>
      <c r="C159" s="5" t="str">
        <f aca="false">ITEM_MASTER_CLEAN!C159</f>
        <v>SYRUP PUR CANE SUG MONIN 750ML</v>
      </c>
      <c r="D159" s="5" t="str">
        <f aca="false">ITEM_MASTER_CLEAN!E159</f>
        <v>MONIN</v>
      </c>
      <c r="E159" s="12" t="n">
        <f aca="false">ITEM_MASTER_CLEAN!F159</f>
        <v>12.51</v>
      </c>
      <c r="F159" s="5" t="n">
        <f aca="false">IF(LowCashMode="ON",LOW_CASH_MODE!L159,REBALANCE_PLAN!Q159)</f>
        <v>4</v>
      </c>
      <c r="G159" s="5" t="n">
        <f aca="false">IF(LowCashMode="ON",LOW_CASH_MODE!M159,REBALANCE_PLAN!R159)</f>
        <v>2</v>
      </c>
      <c r="H159" s="5" t="n">
        <f aca="false">F159+G159</f>
        <v>6</v>
      </c>
      <c r="I159" s="12" t="n">
        <f aca="false">H159*E159</f>
        <v>75.06</v>
      </c>
      <c r="J159" s="5" t="str">
        <f aca="false">IF(H159=0,"—",IF(LowCashMode="ON",IF(LOW_CASH_MODE!R159="BUY NOW","BUY NOW","DEFER"),IF(REBALANCE_PLAN!M159&lt;&gt;"None","TRANSFER FIRST","BUY")))</f>
        <v>BUY</v>
      </c>
    </row>
    <row r="160" customFormat="false" ht="15" hidden="false" customHeight="false" outlineLevel="0" collapsed="false">
      <c r="A160" s="5" t="n">
        <f aca="false">ITEM_MASTER_CLEAN!A160</f>
        <v>159</v>
      </c>
      <c r="B160" s="5" t="n">
        <f aca="false">ITEM_MASTER_CLEAN!B160</f>
        <v>67121</v>
      </c>
      <c r="C160" s="5" t="str">
        <f aca="false">ITEM_MASTER_CLEAN!C160</f>
        <v>SYRUP MOJITO MONIN 750ML</v>
      </c>
      <c r="D160" s="5" t="str">
        <f aca="false">ITEM_MASTER_CLEAN!E160</f>
        <v>MONIN</v>
      </c>
      <c r="E160" s="12" t="n">
        <f aca="false">ITEM_MASTER_CLEAN!F160</f>
        <v>10.21</v>
      </c>
      <c r="F160" s="5" t="n">
        <f aca="false">IF(LowCashMode="ON",LOW_CASH_MODE!L160,REBALANCE_PLAN!Q160)</f>
        <v>5</v>
      </c>
      <c r="G160" s="5" t="n">
        <f aca="false">IF(LowCashMode="ON",LOW_CASH_MODE!M160,REBALANCE_PLAN!R160)</f>
        <v>4</v>
      </c>
      <c r="H160" s="5" t="n">
        <f aca="false">F160+G160</f>
        <v>9</v>
      </c>
      <c r="I160" s="12" t="n">
        <f aca="false">H160*E160</f>
        <v>91.89</v>
      </c>
      <c r="J160" s="5" t="str">
        <f aca="false">IF(H160=0,"—",IF(LowCashMode="ON",IF(LOW_CASH_MODE!R160="BUY NOW","BUY NOW","DEFER"),IF(REBALANCE_PLAN!M160&lt;&gt;"None","TRANSFER FIRST","BUY")))</f>
        <v>BUY</v>
      </c>
    </row>
    <row r="161" customFormat="false" ht="15" hidden="false" customHeight="false" outlineLevel="0" collapsed="false">
      <c r="A161" s="5" t="n">
        <f aca="false">ITEM_MASTER_CLEAN!A161</f>
        <v>160</v>
      </c>
      <c r="B161" s="5" t="n">
        <f aca="false">ITEM_MASTER_CLEAN!B161</f>
        <v>67094</v>
      </c>
      <c r="C161" s="5" t="str">
        <f aca="false">ITEM_MASTER_CLEAN!C161</f>
        <v>PUMP SYRUP MONIN 750ML(WHITE) 1</v>
      </c>
      <c r="D161" s="5" t="str">
        <f aca="false">ITEM_MASTER_CLEAN!E161</f>
        <v>MONIN</v>
      </c>
      <c r="E161" s="12" t="n">
        <f aca="false">ITEM_MASTER_CLEAN!F161</f>
        <v>7.01</v>
      </c>
      <c r="F161" s="5" t="n">
        <f aca="false">IF(LowCashMode="ON",LOW_CASH_MODE!L161,REBALANCE_PLAN!Q161)</f>
        <v>1</v>
      </c>
      <c r="G161" s="5" t="n">
        <f aca="false">IF(LowCashMode="ON",LOW_CASH_MODE!M161,REBALANCE_PLAN!R161)</f>
        <v>1</v>
      </c>
      <c r="H161" s="5" t="n">
        <f aca="false">F161+G161</f>
        <v>2</v>
      </c>
      <c r="I161" s="12" t="n">
        <f aca="false">H161*E161</f>
        <v>14.02</v>
      </c>
      <c r="J161" s="5" t="str">
        <f aca="false">IF(H161=0,"—",IF(LowCashMode="ON",IF(LOW_CASH_MODE!R161="BUY NOW","BUY NOW","DEFER"),IF(REBALANCE_PLAN!M161&lt;&gt;"None","TRANSFER FIRST","BUY")))</f>
        <v>BUY</v>
      </c>
    </row>
    <row r="162" customFormat="false" ht="23.85" hidden="false" customHeight="false" outlineLevel="0" collapsed="false">
      <c r="A162" s="5" t="n">
        <f aca="false">ITEM_MASTER_CLEAN!A162</f>
        <v>161</v>
      </c>
      <c r="B162" s="5" t="n">
        <f aca="false">ITEM_MASTER_CLEAN!B162</f>
        <v>67106</v>
      </c>
      <c r="C162" s="5" t="str">
        <f aca="false">ITEM_MASTER_CLEAN!C162</f>
        <v>COFF ICED CONCENTRATE M-FT216F 4X1L</v>
      </c>
      <c r="D162" s="5" t="str">
        <f aca="false">ITEM_MASTER_CLEAN!E162</f>
        <v>MONIN</v>
      </c>
      <c r="E162" s="12" t="n">
        <f aca="false">ITEM_MASTER_CLEAN!F162</f>
        <v>13.1</v>
      </c>
      <c r="F162" s="5" t="n">
        <f aca="false">IF(LowCashMode="ON",LOW_CASH_MODE!L162,REBALANCE_PLAN!Q162)</f>
        <v>4</v>
      </c>
      <c r="G162" s="5" t="n">
        <f aca="false">IF(LowCashMode="ON",LOW_CASH_MODE!M162,REBALANCE_PLAN!R162)</f>
        <v>4</v>
      </c>
      <c r="H162" s="5" t="n">
        <f aca="false">F162+G162</f>
        <v>8</v>
      </c>
      <c r="I162" s="12" t="n">
        <f aca="false">H162*E162</f>
        <v>104.8</v>
      </c>
      <c r="J162" s="5" t="str">
        <f aca="false">IF(H162=0,"—",IF(LowCashMode="ON",IF(LOW_CASH_MODE!R162="BUY NOW","BUY NOW","DEFER"),IF(REBALANCE_PLAN!M162&lt;&gt;"None","TRANSFER FIRST","BUY")))</f>
        <v>BUY</v>
      </c>
    </row>
    <row r="163" customFormat="false" ht="15" hidden="false" customHeight="false" outlineLevel="0" collapsed="false">
      <c r="A163" s="5" t="n">
        <f aca="false">ITEM_MASTER_CLEAN!A163</f>
        <v>162</v>
      </c>
      <c r="B163" s="5" t="n">
        <f aca="false">ITEM_MASTER_CLEAN!B163</f>
        <v>25645</v>
      </c>
      <c r="C163" s="5" t="str">
        <f aca="false">ITEM_MASTER_CLEAN!C163</f>
        <v>WATER ESKA NATURAL SPRING 24X500ML</v>
      </c>
      <c r="D163" s="5" t="str">
        <f aca="false">ITEM_MASTER_CLEAN!E163</f>
        <v>ESKA</v>
      </c>
      <c r="E163" s="12" t="n">
        <f aca="false">ITEM_MASTER_CLEAN!F163</f>
        <v>13.46</v>
      </c>
      <c r="F163" s="5" t="n">
        <f aca="false">IF(LowCashMode="ON",LOW_CASH_MODE!L163,REBALANCE_PLAN!Q163)</f>
        <v>24</v>
      </c>
      <c r="G163" s="5" t="n">
        <f aca="false">IF(LowCashMode="ON",LOW_CASH_MODE!M163,REBALANCE_PLAN!R163)</f>
        <v>24</v>
      </c>
      <c r="H163" s="5" t="n">
        <f aca="false">F163+G163</f>
        <v>48</v>
      </c>
      <c r="I163" s="12" t="n">
        <f aca="false">H163*E163</f>
        <v>646.08</v>
      </c>
      <c r="J163" s="5" t="str">
        <f aca="false">IF(H163=0,"—",IF(LowCashMode="ON",IF(LOW_CASH_MODE!R163="BUY NOW","BUY NOW","DEFER"),IF(REBALANCE_PLAN!M163&lt;&gt;"None","TRANSFER FIRST","BUY")))</f>
        <v>BUY</v>
      </c>
    </row>
    <row r="164" customFormat="false" ht="15" hidden="false" customHeight="false" outlineLevel="0" collapsed="false">
      <c r="A164" s="5" t="n">
        <f aca="false">ITEM_MASTER_CLEAN!A164</f>
        <v>163</v>
      </c>
      <c r="B164" s="5" t="n">
        <f aca="false">ITEM_MASTER_CLEAN!B164</f>
        <v>724574</v>
      </c>
      <c r="C164" s="5" t="str">
        <f aca="false">ITEM_MASTER_CLEAN!C164</f>
        <v>BEV RED BULL SUGAR FREE 24X250ML</v>
      </c>
      <c r="D164" s="5" t="str">
        <f aca="false">ITEM_MASTER_CLEAN!E164</f>
        <v>RED BULL</v>
      </c>
      <c r="E164" s="12" t="n">
        <f aca="false">ITEM_MASTER_CLEAN!F164</f>
        <v>54.25</v>
      </c>
      <c r="F164" s="5" t="n">
        <f aca="false">IF(LowCashMode="ON",LOW_CASH_MODE!L164,REBALANCE_PLAN!Q164)</f>
        <v>0</v>
      </c>
      <c r="G164" s="5" t="n">
        <f aca="false">IF(LowCashMode="ON",LOW_CASH_MODE!M164,REBALANCE_PLAN!R164)</f>
        <v>0</v>
      </c>
      <c r="H164" s="5" t="n">
        <f aca="false">F164+G164</f>
        <v>0</v>
      </c>
      <c r="I164" s="12" t="n">
        <f aca="false">H164*E164</f>
        <v>0</v>
      </c>
      <c r="J164" s="5" t="str">
        <f aca="false">IF(H164=0,"—",IF(LowCashMode="ON",IF(LOW_CASH_MODE!R164="BUY NOW","BUY NOW","DEFER"),IF(REBALANCE_PLAN!M164&lt;&gt;"None","TRANSFER FIRST","BUY")))</f>
        <v>—</v>
      </c>
    </row>
    <row r="165" customFormat="false" ht="15" hidden="false" customHeight="false" outlineLevel="0" collapsed="false">
      <c r="A165" s="5" t="n">
        <f aca="false">ITEM_MASTER_CLEAN!A165</f>
        <v>164</v>
      </c>
      <c r="B165" s="5" t="n">
        <f aca="false">ITEM_MASTER_CLEAN!B165</f>
        <v>724573</v>
      </c>
      <c r="C165" s="5" t="str">
        <f aca="false">ITEM_MASTER_CLEAN!C165</f>
        <v>BEV RED BULL 24X250ML</v>
      </c>
      <c r="D165" s="5" t="str">
        <f aca="false">ITEM_MASTER_CLEAN!E165</f>
        <v>RED BULL</v>
      </c>
      <c r="E165" s="12" t="n">
        <f aca="false">ITEM_MASTER_CLEAN!F165</f>
        <v>53.39</v>
      </c>
      <c r="F165" s="5" t="n">
        <f aca="false">IF(LowCashMode="ON",LOW_CASH_MODE!L165,REBALANCE_PLAN!Q165)</f>
        <v>24</v>
      </c>
      <c r="G165" s="5" t="n">
        <f aca="false">IF(LowCashMode="ON",LOW_CASH_MODE!M165,REBALANCE_PLAN!R165)</f>
        <v>24</v>
      </c>
      <c r="H165" s="5" t="n">
        <f aca="false">F165+G165</f>
        <v>48</v>
      </c>
      <c r="I165" s="12" t="n">
        <f aca="false">H165*E165</f>
        <v>2562.72</v>
      </c>
      <c r="J165" s="5" t="str">
        <f aca="false">IF(H165=0,"—",IF(LowCashMode="ON",IF(LOW_CASH_MODE!R165="BUY NOW","BUY NOW","DEFER"),IF(REBALANCE_PLAN!M165&lt;&gt;"None","TRANSFER FIRST","BUY")))</f>
        <v>BUY</v>
      </c>
    </row>
    <row r="166" customFormat="false" ht="15" hidden="false" customHeight="false" outlineLevel="0" collapsed="false">
      <c r="A166" s="5" t="n">
        <f aca="false">ITEM_MASTER_CLEAN!A166</f>
        <v>165</v>
      </c>
      <c r="B166" s="5" t="n">
        <f aca="false">ITEM_MASTER_CLEAN!B166</f>
        <v>724571</v>
      </c>
      <c r="C166" s="5" t="str">
        <f aca="false">ITEM_MASTER_CLEAN!C166</f>
        <v>BEV RED BULL WATERMELON 24X250ML</v>
      </c>
      <c r="D166" s="5" t="str">
        <f aca="false">ITEM_MASTER_CLEAN!E166</f>
        <v>RED BULL</v>
      </c>
      <c r="E166" s="12" t="n">
        <f aca="false">ITEM_MASTER_CLEAN!F166</f>
        <v>59.27</v>
      </c>
      <c r="F166" s="5" t="n">
        <f aca="false">IF(LowCashMode="ON",LOW_CASH_MODE!L166,REBALANCE_PLAN!Q166)</f>
        <v>0</v>
      </c>
      <c r="G166" s="5" t="n">
        <f aca="false">IF(LowCashMode="ON",LOW_CASH_MODE!M166,REBALANCE_PLAN!R166)</f>
        <v>0</v>
      </c>
      <c r="H166" s="5" t="n">
        <f aca="false">F166+G166</f>
        <v>0</v>
      </c>
      <c r="I166" s="12" t="n">
        <f aca="false">H166*E166</f>
        <v>0</v>
      </c>
      <c r="J166" s="5" t="str">
        <f aca="false">IF(H166=0,"—",IF(LowCashMode="ON",IF(LOW_CASH_MODE!R166="BUY NOW","BUY NOW","DEFER"),IF(REBALANCE_PLAN!M166&lt;&gt;"None","TRANSFER FIRST","BUY")))</f>
        <v>—</v>
      </c>
    </row>
    <row r="167" customFormat="false" ht="15" hidden="false" customHeight="false" outlineLevel="0" collapsed="false">
      <c r="A167" s="5" t="n">
        <f aca="false">ITEM_MASTER_CLEAN!A167</f>
        <v>166</v>
      </c>
      <c r="B167" s="5" t="n">
        <f aca="false">ITEM_MASTER_CLEAN!B167</f>
        <v>45164</v>
      </c>
      <c r="C167" s="5" t="str">
        <f aca="false">ITEM_MASTER_CLEAN!C167</f>
        <v>POPPING BOBBA MANGO 2X3.1K</v>
      </c>
      <c r="D167" s="5" t="str">
        <f aca="false">ITEM_MASTER_CLEAN!E167</f>
        <v>BOBBA INC</v>
      </c>
      <c r="E167" s="12" t="n">
        <f aca="false">ITEM_MASTER_CLEAN!F167</f>
        <v>28.94</v>
      </c>
      <c r="F167" s="5" t="n">
        <f aca="false">IF(LowCashMode="ON",LOW_CASH_MODE!L167,REBALANCE_PLAN!Q167)</f>
        <v>4</v>
      </c>
      <c r="G167" s="5" t="n">
        <f aca="false">IF(LowCashMode="ON",LOW_CASH_MODE!M167,REBALANCE_PLAN!R167)</f>
        <v>0</v>
      </c>
      <c r="H167" s="5" t="n">
        <f aca="false">F167+G167</f>
        <v>4</v>
      </c>
      <c r="I167" s="12" t="n">
        <f aca="false">H167*E167</f>
        <v>115.76</v>
      </c>
      <c r="J167" s="5" t="str">
        <f aca="false">IF(H167=0,"—",IF(LowCashMode="ON",IF(LOW_CASH_MODE!R167="BUY NOW","BUY NOW","DEFER"),IF(REBALANCE_PLAN!M167&lt;&gt;"None","TRANSFER FIRST","BUY")))</f>
        <v>BUY</v>
      </c>
    </row>
    <row r="168" customFormat="false" ht="15" hidden="false" customHeight="false" outlineLevel="0" collapsed="false">
      <c r="A168" s="5" t="n">
        <f aca="false">ITEM_MASTER_CLEAN!A168</f>
        <v>167</v>
      </c>
      <c r="B168" s="5" t="n">
        <f aca="false">ITEM_MASTER_CLEAN!B168</f>
        <v>52266</v>
      </c>
      <c r="C168" s="5" t="str">
        <f aca="false">ITEM_MASTER_CLEAN!C168</f>
        <v>POPPING BOBBA STRAWBERRY 2X3.1K</v>
      </c>
      <c r="D168" s="5" t="str">
        <f aca="false">ITEM_MASTER_CLEAN!E168</f>
        <v>BOBBA INC</v>
      </c>
      <c r="E168" s="12" t="n">
        <f aca="false">ITEM_MASTER_CLEAN!F168</f>
        <v>22.17</v>
      </c>
      <c r="F168" s="5" t="n">
        <f aca="false">IF(LowCashMode="ON",LOW_CASH_MODE!L168,REBALANCE_PLAN!Q168)</f>
        <v>2</v>
      </c>
      <c r="G168" s="5" t="n">
        <f aca="false">IF(LowCashMode="ON",LOW_CASH_MODE!M168,REBALANCE_PLAN!R168)</f>
        <v>2</v>
      </c>
      <c r="H168" s="5" t="n">
        <f aca="false">F168+G168</f>
        <v>4</v>
      </c>
      <c r="I168" s="12" t="n">
        <f aca="false">H168*E168</f>
        <v>88.68</v>
      </c>
      <c r="J168" s="5" t="str">
        <f aca="false">IF(H168=0,"—",IF(LowCashMode="ON",IF(LOW_CASH_MODE!R168="BUY NOW","BUY NOW","DEFER"),IF(REBALANCE_PLAN!M168&lt;&gt;"None","TRANSFER FIRST","BUY")))</f>
        <v>BUY</v>
      </c>
    </row>
    <row r="169" customFormat="false" ht="23.85" hidden="false" customHeight="false" outlineLevel="0" collapsed="false">
      <c r="A169" s="5" t="n">
        <f aca="false">ITEM_MASTER_CLEAN!A169</f>
        <v>168</v>
      </c>
      <c r="B169" s="5" t="n">
        <f aca="false">ITEM_MASTER_CLEAN!B169</f>
        <v>39813</v>
      </c>
      <c r="C169" s="5" t="str">
        <f aca="false">ITEM_MASTER_CLEAN!C169</f>
        <v>LADIP SMOOTH MAN/PCH(SUNRIZE)40X135</v>
      </c>
      <c r="D169" s="5" t="str">
        <f aca="false">ITEM_MASTER_CLEAN!E169</f>
        <v>EVIVE</v>
      </c>
      <c r="E169" s="12" t="n">
        <f aca="false">ITEM_MASTER_CLEAN!F169</f>
        <v>25.74</v>
      </c>
      <c r="F169" s="5" t="n">
        <f aca="false">IF(LowCashMode="ON",LOW_CASH_MODE!L169,REBALANCE_PLAN!Q169)</f>
        <v>0</v>
      </c>
      <c r="G169" s="5" t="n">
        <f aca="false">IF(LowCashMode="ON",LOW_CASH_MODE!M169,REBALANCE_PLAN!R169)</f>
        <v>0</v>
      </c>
      <c r="H169" s="5" t="n">
        <f aca="false">F169+G169</f>
        <v>0</v>
      </c>
      <c r="I169" s="12" t="n">
        <f aca="false">H169*E169</f>
        <v>0</v>
      </c>
      <c r="J169" s="5" t="str">
        <f aca="false">IF(H169=0,"—",IF(LowCashMode="ON",IF(LOW_CASH_MODE!R169="BUY NOW","BUY NOW","DEFER"),IF(REBALANCE_PLAN!M169&lt;&gt;"None","TRANSFER FIRST","BUY")))</f>
        <v>—</v>
      </c>
    </row>
    <row r="170" customFormat="false" ht="15" hidden="false" customHeight="false" outlineLevel="0" collapsed="false">
      <c r="A170" s="5" t="n">
        <f aca="false">ITEM_MASTER_CLEAN!A170</f>
        <v>169</v>
      </c>
      <c r="B170" s="5" t="n">
        <f aca="false">ITEM_MASTER_CLEAN!B170</f>
        <v>39814</v>
      </c>
      <c r="C170" s="5" t="str">
        <f aca="false">ITEM_MASTER_CLEAN!C170</f>
        <v>LADIP SMOOTHIE MAN/KIWI(AZUR)40X135</v>
      </c>
      <c r="D170" s="5" t="str">
        <f aca="false">ITEM_MASTER_CLEAN!E170</f>
        <v>EVIVE</v>
      </c>
      <c r="E170" s="12" t="n">
        <f aca="false">ITEM_MASTER_CLEAN!F170</f>
        <v>42.18</v>
      </c>
      <c r="F170" s="5" t="n">
        <f aca="false">IF(LowCashMode="ON",LOW_CASH_MODE!L170,REBALANCE_PLAN!Q170)</f>
        <v>40</v>
      </c>
      <c r="G170" s="5" t="n">
        <f aca="false">IF(LowCashMode="ON",LOW_CASH_MODE!M170,REBALANCE_PLAN!R170)</f>
        <v>40</v>
      </c>
      <c r="H170" s="5" t="n">
        <f aca="false">F170+G170</f>
        <v>80</v>
      </c>
      <c r="I170" s="12" t="n">
        <f aca="false">H170*E170</f>
        <v>3374.4</v>
      </c>
      <c r="J170" s="5" t="str">
        <f aca="false">IF(H170=0,"—",IF(LowCashMode="ON",IF(LOW_CASH_MODE!R170="BUY NOW","BUY NOW","DEFER"),IF(REBALANCE_PLAN!M170&lt;&gt;"None","TRANSFER FIRST","BUY")))</f>
        <v>BUY</v>
      </c>
    </row>
    <row r="171" customFormat="false" ht="15" hidden="false" customHeight="false" outlineLevel="0" collapsed="false">
      <c r="A171" s="5" t="n">
        <f aca="false">ITEM_MASTER_CLEAN!A171</f>
        <v>170</v>
      </c>
      <c r="B171" s="5" t="n">
        <f aca="false">ITEM_MASTER_CLEAN!B171</f>
        <v>32548</v>
      </c>
      <c r="C171" s="5" t="str">
        <f aca="false">ITEM_MASTER_CLEAN!C171</f>
        <v>JCE LEMON REALEMON K 2X3.8L</v>
      </c>
      <c r="D171" s="5" t="str">
        <f aca="false">ITEM_MASTER_CLEAN!E171</f>
        <v>REALMON</v>
      </c>
      <c r="E171" s="12" t="n">
        <f aca="false">ITEM_MASTER_CLEAN!F171</f>
        <v>39.86</v>
      </c>
      <c r="F171" s="5" t="n">
        <f aca="false">IF(LowCashMode="ON",LOW_CASH_MODE!L171,REBALANCE_PLAN!Q171)</f>
        <v>6</v>
      </c>
      <c r="G171" s="5" t="n">
        <f aca="false">IF(LowCashMode="ON",LOW_CASH_MODE!M171,REBALANCE_PLAN!R171)</f>
        <v>2</v>
      </c>
      <c r="H171" s="5" t="n">
        <f aca="false">F171+G171</f>
        <v>8</v>
      </c>
      <c r="I171" s="12" t="n">
        <f aca="false">H171*E171</f>
        <v>318.88</v>
      </c>
      <c r="J171" s="5" t="str">
        <f aca="false">IF(H171=0,"—",IF(LowCashMode="ON",IF(LOW_CASH_MODE!R171="BUY NOW","BUY NOW","DEFER"),IF(REBALANCE_PLAN!M171&lt;&gt;"None","TRANSFER FIRST","BUY")))</f>
        <v>BUY</v>
      </c>
    </row>
    <row r="172" customFormat="false" ht="15" hidden="false" customHeight="false" outlineLevel="0" collapsed="false">
      <c r="A172" s="5" t="n">
        <f aca="false">ITEM_MASTER_CLEAN!A172</f>
        <v>171</v>
      </c>
      <c r="B172" s="5" t="n">
        <f aca="false">ITEM_MASTER_CLEAN!B172</f>
        <v>67168</v>
      </c>
      <c r="C172" s="5" t="str">
        <f aca="false">ITEM_MASTER_CLEAN!C172</f>
        <v>SYRUP MANGO M-FR032F 1L</v>
      </c>
      <c r="D172" s="5" t="str">
        <f aca="false">ITEM_MASTER_CLEAN!E172</f>
        <v>MONIN</v>
      </c>
      <c r="E172" s="12" t="n">
        <f aca="false">ITEM_MASTER_CLEAN!F172</f>
        <v>10.26</v>
      </c>
      <c r="F172" s="5" t="n">
        <f aca="false">IF(LowCashMode="ON",LOW_CASH_MODE!L172,REBALANCE_PLAN!Q172)</f>
        <v>5</v>
      </c>
      <c r="G172" s="5" t="n">
        <f aca="false">IF(LowCashMode="ON",LOW_CASH_MODE!M172,REBALANCE_PLAN!R172)</f>
        <v>2</v>
      </c>
      <c r="H172" s="5" t="n">
        <f aca="false">F172+G172</f>
        <v>7</v>
      </c>
      <c r="I172" s="12" t="n">
        <f aca="false">H172*E172</f>
        <v>71.82</v>
      </c>
      <c r="J172" s="5" t="str">
        <f aca="false">IF(H172=0,"—",IF(LowCashMode="ON",IF(LOW_CASH_MODE!R172="BUY NOW","BUY NOW","DEFER"),IF(REBALANCE_PLAN!M172&lt;&gt;"None","TRANSFER FIRST","BUY")))</f>
        <v>BUY</v>
      </c>
    </row>
    <row r="173" customFormat="false" ht="15" hidden="false" customHeight="false" outlineLevel="0" collapsed="false">
      <c r="A173" s="5" t="n">
        <f aca="false">ITEM_MASTER_CLEAN!A173</f>
        <v>172</v>
      </c>
      <c r="B173" s="5" t="n">
        <f aca="false">ITEM_MASTER_CLEAN!B173</f>
        <v>67154</v>
      </c>
      <c r="C173" s="5" t="str">
        <f aca="false">ITEM_MASTER_CLEAN!C173</f>
        <v>SYRUP PASSION FRUIT 1L</v>
      </c>
      <c r="D173" s="5" t="str">
        <f aca="false">ITEM_MASTER_CLEAN!E173</f>
        <v>MONIN</v>
      </c>
      <c r="E173" s="12" t="n">
        <f aca="false">ITEM_MASTER_CLEAN!F173</f>
        <v>10.22</v>
      </c>
      <c r="F173" s="5" t="n">
        <f aca="false">IF(LowCashMode="ON",LOW_CASH_MODE!L173,REBALANCE_PLAN!Q173)</f>
        <v>5</v>
      </c>
      <c r="G173" s="5" t="n">
        <f aca="false">IF(LowCashMode="ON",LOW_CASH_MODE!M173,REBALANCE_PLAN!R173)</f>
        <v>0</v>
      </c>
      <c r="H173" s="5" t="n">
        <f aca="false">F173+G173</f>
        <v>5</v>
      </c>
      <c r="I173" s="12" t="n">
        <f aca="false">H173*E173</f>
        <v>51.1</v>
      </c>
      <c r="J173" s="5" t="str">
        <f aca="false">IF(H173=0,"—",IF(LowCashMode="ON",IF(LOW_CASH_MODE!R173="BUY NOW","BUY NOW","DEFER"),IF(REBALANCE_PLAN!M173&lt;&gt;"None","TRANSFER FIRST","BUY")))</f>
        <v>BUY</v>
      </c>
    </row>
    <row r="174" customFormat="false" ht="15" hidden="false" customHeight="false" outlineLevel="0" collapsed="false">
      <c r="A174" s="5" t="n">
        <f aca="false">ITEM_MASTER_CLEAN!A174</f>
        <v>173</v>
      </c>
      <c r="B174" s="5" t="n">
        <f aca="false">ITEM_MASTER_CLEAN!B174</f>
        <v>67132</v>
      </c>
      <c r="C174" s="5" t="str">
        <f aca="false">ITEM_MASTER_CLEAN!C174</f>
        <v>SYRUP BLUE CURACAO M-AR007A  750ML</v>
      </c>
      <c r="D174" s="5" t="str">
        <f aca="false">ITEM_MASTER_CLEAN!E174</f>
        <v>MONIN</v>
      </c>
      <c r="E174" s="12" t="n">
        <f aca="false">ITEM_MASTER_CLEAN!F174</f>
        <v>12.46</v>
      </c>
      <c r="F174" s="5" t="n">
        <f aca="false">IF(LowCashMode="ON",LOW_CASH_MODE!L174,REBALANCE_PLAN!Q174)</f>
        <v>4</v>
      </c>
      <c r="G174" s="5" t="n">
        <f aca="false">IF(LowCashMode="ON",LOW_CASH_MODE!M174,REBALANCE_PLAN!R174)</f>
        <v>3</v>
      </c>
      <c r="H174" s="5" t="n">
        <f aca="false">F174+G174</f>
        <v>7</v>
      </c>
      <c r="I174" s="12" t="n">
        <f aca="false">H174*E174</f>
        <v>87.22</v>
      </c>
      <c r="J174" s="5" t="str">
        <f aca="false">IF(H174=0,"—",IF(LowCashMode="ON",IF(LOW_CASH_MODE!R174="BUY NOW","BUY NOW","DEFER"),IF(REBALANCE_PLAN!M174&lt;&gt;"None","TRANSFER FIRST","BUY")))</f>
        <v>BUY</v>
      </c>
    </row>
    <row r="175" customFormat="false" ht="15" hidden="false" customHeight="false" outlineLevel="0" collapsed="false">
      <c r="A175" s="5" t="n">
        <f aca="false">ITEM_MASTER_CLEAN!A175</f>
        <v>174</v>
      </c>
      <c r="B175" s="5" t="n">
        <f aca="false">ITEM_MASTER_CLEAN!B175</f>
        <v>61661</v>
      </c>
      <c r="C175" s="5" t="str">
        <f aca="false">ITEM_MASTER_CLEAN!C175</f>
        <v>SYRUP RUBY RD GRFRUIT MONIN 1L</v>
      </c>
      <c r="D175" s="5" t="str">
        <f aca="false">ITEM_MASTER_CLEAN!E175</f>
        <v>MONIN</v>
      </c>
      <c r="E175" s="12" t="n">
        <f aca="false">ITEM_MASTER_CLEAN!F175</f>
        <v>14.81</v>
      </c>
      <c r="F175" s="5" t="n">
        <f aca="false">IF(LowCashMode="ON",LOW_CASH_MODE!L175,REBALANCE_PLAN!Q175)</f>
        <v>9</v>
      </c>
      <c r="G175" s="5" t="n">
        <f aca="false">IF(LowCashMode="ON",LOW_CASH_MODE!M175,REBALANCE_PLAN!R175)</f>
        <v>0</v>
      </c>
      <c r="H175" s="5" t="n">
        <f aca="false">F175+G175</f>
        <v>9</v>
      </c>
      <c r="I175" s="12" t="n">
        <f aca="false">H175*E175</f>
        <v>133.29</v>
      </c>
      <c r="J175" s="5" t="str">
        <f aca="false">IF(H175=0,"—",IF(LowCashMode="ON",IF(LOW_CASH_MODE!R175="BUY NOW","BUY NOW","DEFER"),IF(REBALANCE_PLAN!M175&lt;&gt;"None","TRANSFER FIRST","BUY")))</f>
        <v>BUY</v>
      </c>
    </row>
    <row r="176" customFormat="false" ht="15" hidden="false" customHeight="false" outlineLevel="0" collapsed="false">
      <c r="A176" s="5" t="n">
        <f aca="false">ITEM_MASTER_CLEAN!A176</f>
        <v>175</v>
      </c>
      <c r="B176" s="5" t="n">
        <f aca="false">ITEM_MASTER_CLEAN!B176</f>
        <v>67085</v>
      </c>
      <c r="C176" s="5" t="str">
        <f aca="false">ITEM_MASTER_CLEAN!C176</f>
        <v>SYRUP STRAWBERRY MONIN K 750ML</v>
      </c>
      <c r="D176" s="5" t="str">
        <f aca="false">ITEM_MASTER_CLEAN!E176</f>
        <v>MONIN</v>
      </c>
      <c r="E176" s="12" t="n">
        <f aca="false">ITEM_MASTER_CLEAN!F176</f>
        <v>25.18</v>
      </c>
      <c r="F176" s="5" t="n">
        <f aca="false">IF(LowCashMode="ON",LOW_CASH_MODE!L176,REBALANCE_PLAN!Q176)</f>
        <v>6</v>
      </c>
      <c r="G176" s="5" t="n">
        <f aca="false">IF(LowCashMode="ON",LOW_CASH_MODE!M176,REBALANCE_PLAN!R176)</f>
        <v>6</v>
      </c>
      <c r="H176" s="5" t="n">
        <f aca="false">F176+G176</f>
        <v>12</v>
      </c>
      <c r="I176" s="12" t="n">
        <f aca="false">H176*E176</f>
        <v>302.16</v>
      </c>
      <c r="J176" s="5" t="str">
        <f aca="false">IF(H176=0,"—",IF(LowCashMode="ON",IF(LOW_CASH_MODE!R176="BUY NOW","BUY NOW","DEFER"),IF(REBALANCE_PLAN!M176&lt;&gt;"None","TRANSFER FIRST","BUY")))</f>
        <v>BUY</v>
      </c>
    </row>
    <row r="177" customFormat="false" ht="15" hidden="false" customHeight="false" outlineLevel="0" collapsed="false">
      <c r="A177" s="5" t="n">
        <f aca="false">ITEM_MASTER_CLEAN!A177</f>
        <v>176</v>
      </c>
      <c r="B177" s="5" t="n">
        <f aca="false">ITEM_MASTER_CLEAN!B177</f>
        <v>67063</v>
      </c>
      <c r="C177" s="5" t="str">
        <f aca="false">ITEM_MASTER_CLEAN!C177</f>
        <v>SYRUP DRAGON FRUIT M-FR298F   1L</v>
      </c>
      <c r="D177" s="5" t="str">
        <f aca="false">ITEM_MASTER_CLEAN!E177</f>
        <v>MONIN</v>
      </c>
      <c r="E177" s="12" t="n">
        <f aca="false">ITEM_MASTER_CLEAN!F177</f>
        <v>11.65</v>
      </c>
      <c r="F177" s="5" t="n">
        <f aca="false">IF(LowCashMode="ON",LOW_CASH_MODE!L177,REBALANCE_PLAN!Q177)</f>
        <v>4</v>
      </c>
      <c r="G177" s="5" t="n">
        <f aca="false">IF(LowCashMode="ON",LOW_CASH_MODE!M177,REBALANCE_PLAN!R177)</f>
        <v>0</v>
      </c>
      <c r="H177" s="5" t="n">
        <f aca="false">F177+G177</f>
        <v>4</v>
      </c>
      <c r="I177" s="12" t="n">
        <f aca="false">H177*E177</f>
        <v>46.6</v>
      </c>
      <c r="J177" s="5" t="str">
        <f aca="false">IF(H177=0,"—",IF(LowCashMode="ON",IF(LOW_CASH_MODE!R177="BUY NOW","BUY NOW","DEFER"),IF(REBALANCE_PLAN!M177&lt;&gt;"None","TRANSFER FIRST","BUY")))</f>
        <v>BUY</v>
      </c>
    </row>
    <row r="178" customFormat="false" ht="15" hidden="false" customHeight="false" outlineLevel="0" collapsed="false">
      <c r="A178" s="5" t="n">
        <f aca="false">ITEM_MASTER_CLEAN!A178</f>
        <v>177</v>
      </c>
      <c r="B178" s="5" t="n">
        <f aca="false">ITEM_MASTER_CLEAN!B178</f>
        <v>61739</v>
      </c>
      <c r="C178" s="5" t="str">
        <f aca="false">ITEM_MASTER_CLEAN!C178</f>
        <v>SYRUP HIBISCUS MONIN 1L</v>
      </c>
      <c r="D178" s="5" t="str">
        <f aca="false">ITEM_MASTER_CLEAN!E178</f>
        <v>MONIN</v>
      </c>
      <c r="E178" s="12" t="n">
        <f aca="false">ITEM_MASTER_CLEAN!F178</f>
        <v>14.07</v>
      </c>
      <c r="F178" s="5" t="n">
        <f aca="false">IF(LowCashMode="ON",LOW_CASH_MODE!L178,REBALANCE_PLAN!Q178)</f>
        <v>3</v>
      </c>
      <c r="G178" s="5" t="n">
        <f aca="false">IF(LowCashMode="ON",LOW_CASH_MODE!M178,REBALANCE_PLAN!R178)</f>
        <v>1</v>
      </c>
      <c r="H178" s="5" t="n">
        <f aca="false">F178+G178</f>
        <v>4</v>
      </c>
      <c r="I178" s="12" t="n">
        <f aca="false">H178*E178</f>
        <v>56.28</v>
      </c>
      <c r="J178" s="5" t="str">
        <f aca="false">IF(H178=0,"—",IF(LowCashMode="ON",IF(LOW_CASH_MODE!R178="BUY NOW","BUY NOW","DEFER"),IF(REBALANCE_PLAN!M178&lt;&gt;"None","TRANSFER FIRST","BUY")))</f>
        <v>BUY</v>
      </c>
    </row>
    <row r="179" customFormat="false" ht="15" hidden="false" customHeight="false" outlineLevel="0" collapsed="false">
      <c r="A179" s="5" t="n">
        <f aca="false">ITEM_MASTER_CLEAN!A179</f>
        <v>178</v>
      </c>
      <c r="B179" s="5" t="n">
        <f aca="false">ITEM_MASTER_CLEAN!B179</f>
        <v>39817</v>
      </c>
      <c r="C179" s="5" t="str">
        <f aca="false">ITEM_MASTER_CLEAN!C179</f>
        <v>LADIP SMOOTH VANILLA/MAPLE 40X150G</v>
      </c>
      <c r="D179" s="5" t="str">
        <f aca="false">ITEM_MASTER_CLEAN!E179</f>
        <v>EVIVE</v>
      </c>
      <c r="E179" s="12" t="n">
        <f aca="false">ITEM_MASTER_CLEAN!F179</f>
        <v>8.55</v>
      </c>
      <c r="F179" s="5" t="n">
        <f aca="false">IF(LowCashMode="ON",LOW_CASH_MODE!L179,REBALANCE_PLAN!Q179)</f>
        <v>40</v>
      </c>
      <c r="G179" s="5" t="n">
        <f aca="false">IF(LowCashMode="ON",LOW_CASH_MODE!M179,REBALANCE_PLAN!R179)</f>
        <v>40</v>
      </c>
      <c r="H179" s="5" t="n">
        <f aca="false">F179+G179</f>
        <v>80</v>
      </c>
      <c r="I179" s="12" t="n">
        <f aca="false">H179*E179</f>
        <v>684</v>
      </c>
      <c r="J179" s="5" t="str">
        <f aca="false">IF(H179=0,"—",IF(LowCashMode="ON",IF(LOW_CASH_MODE!R179="BUY NOW","BUY NOW","DEFER"),IF(REBALANCE_PLAN!M179&lt;&gt;"None","TRANSFER FIRST","BUY")))</f>
        <v>BUY</v>
      </c>
    </row>
    <row r="180" customFormat="false" ht="15" hidden="false" customHeight="false" outlineLevel="0" collapsed="false">
      <c r="A180" s="5" t="n">
        <f aca="false">ITEM_MASTER_CLEAN!A180</f>
        <v>179</v>
      </c>
      <c r="B180" s="5" t="n">
        <f aca="false">ITEM_MASTER_CLEAN!B180</f>
        <v>67088</v>
      </c>
      <c r="C180" s="5" t="str">
        <f aca="false">ITEM_MASTER_CLEAN!C180</f>
        <v>SYRUP PEACH MONIN K 750ML</v>
      </c>
      <c r="D180" s="5" t="str">
        <f aca="false">ITEM_MASTER_CLEAN!E180</f>
        <v>MONIN</v>
      </c>
      <c r="E180" s="12" t="n">
        <f aca="false">ITEM_MASTER_CLEAN!F180</f>
        <v>10.39</v>
      </c>
      <c r="F180" s="5" t="n">
        <f aca="false">IF(LowCashMode="ON",LOW_CASH_MODE!L180,REBALANCE_PLAN!Q180)</f>
        <v>4</v>
      </c>
      <c r="G180" s="5" t="n">
        <f aca="false">IF(LowCashMode="ON",LOW_CASH_MODE!M180,REBALANCE_PLAN!R180)</f>
        <v>2</v>
      </c>
      <c r="H180" s="5" t="n">
        <f aca="false">F180+G180</f>
        <v>6</v>
      </c>
      <c r="I180" s="12" t="n">
        <f aca="false">H180*E180</f>
        <v>62.34</v>
      </c>
      <c r="J180" s="5" t="str">
        <f aca="false">IF(H180=0,"—",IF(LowCashMode="ON",IF(LOW_CASH_MODE!R180="BUY NOW","BUY NOW","DEFER"),IF(REBALANCE_PLAN!M180&lt;&gt;"None","TRANSFER FIRST","BUY")))</f>
        <v>BUY</v>
      </c>
    </row>
    <row r="181" customFormat="false" ht="15" hidden="false" customHeight="false" outlineLevel="0" collapsed="false">
      <c r="A181" s="5" t="n">
        <f aca="false">ITEM_MASTER_CLEAN!A181</f>
        <v>180</v>
      </c>
      <c r="B181" s="5" t="n">
        <f aca="false">ITEM_MASTER_CLEAN!B181</f>
        <v>67094</v>
      </c>
      <c r="C181" s="5" t="str">
        <f aca="false">ITEM_MASTER_CLEAN!C181</f>
        <v>PUMP SYRUP MONIN 750ML(WHITE) 1</v>
      </c>
      <c r="D181" s="5" t="str">
        <f aca="false">ITEM_MASTER_CLEAN!E181</f>
        <v>MONIN</v>
      </c>
      <c r="E181" s="12" t="n">
        <f aca="false">ITEM_MASTER_CLEAN!F181</f>
        <v>6.87</v>
      </c>
      <c r="F181" s="5" t="n">
        <f aca="false">IF(LowCashMode="ON",LOW_CASH_MODE!L181,REBALANCE_PLAN!Q181)</f>
        <v>9</v>
      </c>
      <c r="G181" s="5" t="n">
        <f aca="false">IF(LowCashMode="ON",LOW_CASH_MODE!M181,REBALANCE_PLAN!R181)</f>
        <v>0</v>
      </c>
      <c r="H181" s="5" t="n">
        <f aca="false">F181+G181</f>
        <v>9</v>
      </c>
      <c r="I181" s="12" t="n">
        <f aca="false">H181*E181</f>
        <v>61.83</v>
      </c>
      <c r="J181" s="5" t="str">
        <f aca="false">IF(H181=0,"—",IF(LowCashMode="ON",IF(LOW_CASH_MODE!R181="BUY NOW","BUY NOW","DEFER"),IF(REBALANCE_PLAN!M181&lt;&gt;"None","TRANSFER FIRST","BUY")))</f>
        <v>BUY</v>
      </c>
    </row>
    <row r="182" customFormat="false" ht="15" hidden="false" customHeight="false" outlineLevel="0" collapsed="false">
      <c r="A182" s="5" t="n">
        <f aca="false">ITEM_MASTER_CLEAN!A182</f>
        <v>181</v>
      </c>
      <c r="B182" s="5" t="n">
        <f aca="false">ITEM_MASTER_CLEAN!B182</f>
        <v>38527</v>
      </c>
      <c r="C182" s="5" t="str">
        <f aca="false">ITEM_MASTER_CLEAN!C182</f>
        <v>PUMP FOR SYRUP 1L X1</v>
      </c>
      <c r="D182" s="5" t="str">
        <f aca="false">ITEM_MASTER_CLEAN!E182</f>
        <v>MONIN</v>
      </c>
      <c r="E182" s="12" t="n">
        <f aca="false">ITEM_MASTER_CLEAN!F182</f>
        <v>5.23</v>
      </c>
      <c r="F182" s="5" t="n">
        <f aca="false">IF(LowCashMode="ON",LOW_CASH_MODE!L182,REBALANCE_PLAN!Q182)</f>
        <v>0</v>
      </c>
      <c r="G182" s="5" t="n">
        <f aca="false">IF(LowCashMode="ON",LOW_CASH_MODE!M182,REBALANCE_PLAN!R182)</f>
        <v>0</v>
      </c>
      <c r="H182" s="5" t="n">
        <f aca="false">F182+G182</f>
        <v>0</v>
      </c>
      <c r="I182" s="12" t="n">
        <f aca="false">H182*E182</f>
        <v>0</v>
      </c>
      <c r="J182" s="5" t="str">
        <f aca="false">IF(H182=0,"—",IF(LowCashMode="ON",IF(LOW_CASH_MODE!R182="BUY NOW","BUY NOW","DEFER"),IF(REBALANCE_PLAN!M182&lt;&gt;"None","TRANSFER FIRST","BUY")))</f>
        <v>—</v>
      </c>
    </row>
    <row r="183" customFormat="false" ht="23.85" hidden="false" customHeight="false" outlineLevel="0" collapsed="false">
      <c r="A183" s="5" t="n">
        <f aca="false">ITEM_MASTER_CLEAN!A183</f>
        <v>182</v>
      </c>
      <c r="B183" s="5" t="n">
        <f aca="false">ITEM_MASTER_CLEAN!B183</f>
        <v>67112</v>
      </c>
      <c r="C183" s="5" t="str">
        <f aca="false">ITEM_MASTER_CLEAN!C183</f>
        <v>SYRUP STRAWBERRY WILD MONIN 1L</v>
      </c>
      <c r="D183" s="5" t="str">
        <f aca="false">ITEM_MASTER_CLEAN!E183</f>
        <v>MONIN</v>
      </c>
      <c r="E183" s="12" t="n">
        <f aca="false">ITEM_MASTER_CLEAN!F183</f>
        <v>25.1</v>
      </c>
      <c r="F183" s="5" t="n">
        <f aca="false">IF(LowCashMode="ON",LOW_CASH_MODE!L183,REBALANCE_PLAN!Q183)</f>
        <v>0</v>
      </c>
      <c r="G183" s="5" t="n">
        <f aca="false">IF(LowCashMode="ON",LOW_CASH_MODE!M183,REBALANCE_PLAN!R183)</f>
        <v>1</v>
      </c>
      <c r="H183" s="5" t="n">
        <f aca="false">F183+G183</f>
        <v>1</v>
      </c>
      <c r="I183" s="12" t="n">
        <f aca="false">H183*E183</f>
        <v>25.1</v>
      </c>
      <c r="J183" s="5" t="str">
        <f aca="false">IF(H183=0,"—",IF(LowCashMode="ON",IF(LOW_CASH_MODE!R183="BUY NOW","BUY NOW","DEFER"),IF(REBALANCE_PLAN!M183&lt;&gt;"None","TRANSFER FIRST","BUY")))</f>
        <v>TRANSFER FIRST</v>
      </c>
    </row>
    <row r="184" customFormat="false" ht="15" hidden="false" customHeight="false" outlineLevel="0" collapsed="false">
      <c r="A184" s="5" t="n">
        <f aca="false">ITEM_MASTER_CLEAN!A184</f>
        <v>183</v>
      </c>
      <c r="B184" s="5" t="n">
        <f aca="false">ITEM_MASTER_CLEAN!B184</f>
        <v>61558</v>
      </c>
      <c r="C184" s="5" t="str">
        <f aca="false">ITEM_MASTER_CLEAN!C184</f>
        <v>STRAW 8.5" BBL/TEA 12MM WH/PAP 2M</v>
      </c>
      <c r="D184" s="5" t="str">
        <f aca="false">ITEM_MASTER_CLEAN!E184</f>
        <v>GREEN CIRC</v>
      </c>
      <c r="E184" s="12" t="n">
        <f aca="false">ITEM_MASTER_CLEAN!F184</f>
        <v>21.69</v>
      </c>
      <c r="F184" s="5" t="n">
        <f aca="false">IF(LowCashMode="ON",LOW_CASH_MODE!L184,REBALANCE_PLAN!Q184)</f>
        <v>2</v>
      </c>
      <c r="G184" s="5" t="n">
        <f aca="false">IF(LowCashMode="ON",LOW_CASH_MODE!M184,REBALANCE_PLAN!R184)</f>
        <v>1</v>
      </c>
      <c r="H184" s="5" t="n">
        <f aca="false">F184+G184</f>
        <v>3</v>
      </c>
      <c r="I184" s="12" t="n">
        <f aca="false">H184*E184</f>
        <v>65.07</v>
      </c>
      <c r="J184" s="5" t="str">
        <f aca="false">IF(H184=0,"—",IF(LowCashMode="ON",IF(LOW_CASH_MODE!R184="BUY NOW","BUY NOW","DEFER"),IF(REBALANCE_PLAN!M184&lt;&gt;"None","TRANSFER FIRST","BUY")))</f>
        <v>BUY</v>
      </c>
    </row>
    <row r="185" customFormat="false" ht="15" hidden="false" customHeight="false" outlineLevel="0" collapsed="false">
      <c r="A185" s="5" t="n">
        <f aca="false">ITEM_MASTER_CLEAN!A185</f>
        <v>184</v>
      </c>
      <c r="B185" s="5" t="n">
        <f aca="false">ITEM_MASTER_CLEAN!B185</f>
        <v>50046</v>
      </c>
      <c r="C185" s="5" t="str">
        <f aca="false">ITEM_MASTER_CLEAN!C185</f>
        <v>SLUSH BASE RTU 5+1 2X4L</v>
      </c>
      <c r="D185" s="5" t="str">
        <f aca="false">ITEM_MASTER_CLEAN!E185</f>
        <v>BERTHELET</v>
      </c>
      <c r="E185" s="12" t="n">
        <f aca="false">ITEM_MASTER_CLEAN!F185</f>
        <v>22.91</v>
      </c>
      <c r="F185" s="5" t="n">
        <f aca="false">IF(LowCashMode="ON",LOW_CASH_MODE!L185,REBALANCE_PLAN!Q185)</f>
        <v>2</v>
      </c>
      <c r="G185" s="5" t="n">
        <f aca="false">IF(LowCashMode="ON",LOW_CASH_MODE!M185,REBALANCE_PLAN!R185)</f>
        <v>2</v>
      </c>
      <c r="H185" s="5" t="n">
        <f aca="false">F185+G185</f>
        <v>4</v>
      </c>
      <c r="I185" s="12" t="n">
        <f aca="false">H185*E185</f>
        <v>91.64</v>
      </c>
      <c r="J185" s="5" t="str">
        <f aca="false">IF(H185=0,"—",IF(LowCashMode="ON",IF(LOW_CASH_MODE!R185="BUY NOW","BUY NOW","DEFER"),IF(REBALANCE_PLAN!M185&lt;&gt;"None","TRANSFER FIRST","BUY")))</f>
        <v>BUY</v>
      </c>
    </row>
    <row r="186" customFormat="false" ht="15" hidden="false" customHeight="false" outlineLevel="0" collapsed="false">
      <c r="A186" s="5" t="n">
        <f aca="false">ITEM_MASTER_CLEAN!A186</f>
        <v>185</v>
      </c>
      <c r="B186" s="5" t="n">
        <f aca="false">ITEM_MASTER_CLEAN!B186</f>
        <v>97477</v>
      </c>
      <c r="C186" s="5" t="str">
        <f aca="false">ITEM_MASTER_CLEAN!C186</f>
        <v>9 SLUSH CONC.BUBBLE GUM  2X4L</v>
      </c>
      <c r="D186" s="5" t="str">
        <f aca="false">ITEM_MASTER_CLEAN!E186</f>
        <v>BERTHELET</v>
      </c>
      <c r="E186" s="12" t="n">
        <f aca="false">ITEM_MASTER_CLEAN!F186</f>
        <v>28.54</v>
      </c>
      <c r="F186" s="5" t="n">
        <f aca="false">IF(LowCashMode="ON",LOW_CASH_MODE!L186,REBALANCE_PLAN!Q186)</f>
        <v>0</v>
      </c>
      <c r="G186" s="5" t="n">
        <f aca="false">IF(LowCashMode="ON",LOW_CASH_MODE!M186,REBALANCE_PLAN!R186)</f>
        <v>2</v>
      </c>
      <c r="H186" s="5" t="n">
        <f aca="false">F186+G186</f>
        <v>2</v>
      </c>
      <c r="I186" s="12" t="n">
        <f aca="false">H186*E186</f>
        <v>57.08</v>
      </c>
      <c r="J186" s="5" t="str">
        <f aca="false">IF(H186=0,"—",IF(LowCashMode="ON",IF(LOW_CASH_MODE!R186="BUY NOW","BUY NOW","DEFER"),IF(REBALANCE_PLAN!M186&lt;&gt;"None","TRANSFER FIRST","BUY")))</f>
        <v>BUY</v>
      </c>
    </row>
    <row r="187" customFormat="false" ht="15" hidden="false" customHeight="false" outlineLevel="0" collapsed="false">
      <c r="A187" s="5" t="n">
        <f aca="false">ITEM_MASTER_CLEAN!A187</f>
        <v>186</v>
      </c>
      <c r="B187" s="5" t="n">
        <f aca="false">ITEM_MASTER_CLEAN!B187</f>
        <v>50142</v>
      </c>
      <c r="C187" s="5" t="str">
        <f aca="false">ITEM_MASTER_CLEAN!C187</f>
        <v>9 SLUSH CONC.PEACH 3133024 2X4L</v>
      </c>
      <c r="D187" s="5" t="str">
        <f aca="false">ITEM_MASTER_CLEAN!E187</f>
        <v>BERTHELET</v>
      </c>
      <c r="E187" s="12" t="n">
        <f aca="false">ITEM_MASTER_CLEAN!F187</f>
        <v>21.87</v>
      </c>
      <c r="F187" s="5" t="n">
        <f aca="false">IF(LowCashMode="ON",LOW_CASH_MODE!L187,REBALANCE_PLAN!Q187)</f>
        <v>0</v>
      </c>
      <c r="G187" s="5" t="n">
        <f aca="false">IF(LowCashMode="ON",LOW_CASH_MODE!M187,REBALANCE_PLAN!R187)</f>
        <v>4</v>
      </c>
      <c r="H187" s="5" t="n">
        <f aca="false">F187+G187</f>
        <v>4</v>
      </c>
      <c r="I187" s="12" t="n">
        <f aca="false">H187*E187</f>
        <v>87.48</v>
      </c>
      <c r="J187" s="5" t="str">
        <f aca="false">IF(H187=0,"—",IF(LowCashMode="ON",IF(LOW_CASH_MODE!R187="BUY NOW","BUY NOW","DEFER"),IF(REBALANCE_PLAN!M187&lt;&gt;"None","TRANSFER FIRST","BUY")))</f>
        <v>BUY</v>
      </c>
    </row>
    <row r="188" customFormat="false" ht="23.85" hidden="false" customHeight="false" outlineLevel="0" collapsed="false">
      <c r="A188" s="5" t="n">
        <f aca="false">ITEM_MASTER_CLEAN!A188</f>
        <v>187</v>
      </c>
      <c r="B188" s="5" t="n">
        <f aca="false">ITEM_MASTER_CLEAN!B188</f>
        <v>43369</v>
      </c>
      <c r="C188" s="5" t="str">
        <f aca="false">ITEM_MASTER_CLEAN!C188</f>
        <v>DIPP BAG COOKIE GREASPRF  PTD 1M</v>
      </c>
      <c r="D188" s="5" t="str">
        <f aca="false">ITEM_MASTER_CLEAN!E188</f>
        <v>MPC PAPIER</v>
      </c>
      <c r="E188" s="12" t="n">
        <f aca="false">ITEM_MASTER_CLEAN!F188</f>
        <v>23.8</v>
      </c>
      <c r="F188" s="5" t="n">
        <f aca="false">IF(LowCashMode="ON",LOW_CASH_MODE!L188,REBALANCE_PLAN!Q188)</f>
        <v>2</v>
      </c>
      <c r="G188" s="5" t="n">
        <f aca="false">IF(LowCashMode="ON",LOW_CASH_MODE!M188,REBALANCE_PLAN!R188)</f>
        <v>0</v>
      </c>
      <c r="H188" s="5" t="n">
        <f aca="false">F188+G188</f>
        <v>2</v>
      </c>
      <c r="I188" s="12" t="n">
        <f aca="false">H188*E188</f>
        <v>47.6</v>
      </c>
      <c r="J188" s="5" t="str">
        <f aca="false">IF(H188=0,"—",IF(LowCashMode="ON",IF(LOW_CASH_MODE!R188="BUY NOW","BUY NOW","DEFER"),IF(REBALANCE_PLAN!M188&lt;&gt;"None","TRANSFER FIRST","BUY")))</f>
        <v>TRANSFER FIRST</v>
      </c>
    </row>
    <row r="189" customFormat="false" ht="15" hidden="false" customHeight="false" outlineLevel="0" collapsed="false">
      <c r="A189" s="5" t="n">
        <f aca="false">ITEM_MASTER_CLEAN!A189</f>
        <v>188</v>
      </c>
      <c r="B189" s="5" t="n">
        <f aca="false">ITEM_MASTER_CLEAN!B189</f>
        <v>61763</v>
      </c>
      <c r="C189" s="5" t="str">
        <f aca="false">ITEM_MASTER_CLEAN!C189</f>
        <v>DIP BOX BLUE/DONUT 25X15X10  125</v>
      </c>
      <c r="D189" s="5" t="str">
        <f aca="false">ITEM_MASTER_CLEAN!E189</f>
        <v>VIARGE VER</v>
      </c>
      <c r="E189" s="12" t="n">
        <f aca="false">ITEM_MASTER_CLEAN!F189</f>
        <v>38.02</v>
      </c>
      <c r="F189" s="5" t="n">
        <f aca="false">IF(LowCashMode="ON",LOW_CASH_MODE!L189,REBALANCE_PLAN!Q189)</f>
        <v>1</v>
      </c>
      <c r="G189" s="5" t="n">
        <f aca="false">IF(LowCashMode="ON",LOW_CASH_MODE!M189,REBALANCE_PLAN!R189)</f>
        <v>1</v>
      </c>
      <c r="H189" s="5" t="n">
        <f aca="false">F189+G189</f>
        <v>2</v>
      </c>
      <c r="I189" s="12" t="n">
        <f aca="false">H189*E189</f>
        <v>76.04</v>
      </c>
      <c r="J189" s="5" t="str">
        <f aca="false">IF(H189=0,"—",IF(LowCashMode="ON",IF(LOW_CASH_MODE!R189="BUY NOW","BUY NOW","DEFER"),IF(REBALANCE_PLAN!M189&lt;&gt;"None","TRANSFER FIRST","BUY")))</f>
        <v>BUY</v>
      </c>
    </row>
    <row r="190" customFormat="false" ht="15" hidden="false" customHeight="false" outlineLevel="0" collapsed="false">
      <c r="A190" s="5" t="n">
        <f aca="false">ITEM_MASTER_CLEAN!A190</f>
        <v>189</v>
      </c>
      <c r="B190" s="5" t="n">
        <f aca="false">ITEM_MASTER_CLEAN!B190</f>
        <v>35182</v>
      </c>
      <c r="C190" s="5" t="str">
        <f aca="false">ITEM_MASTER_CLEAN!C190</f>
        <v>DIPP BOWL 6 OZ S605T-168259 1M</v>
      </c>
      <c r="D190" s="5" t="str">
        <f aca="false">ITEM_MASTER_CLEAN!E190</f>
        <v>DART</v>
      </c>
      <c r="E190" s="12" t="n">
        <f aca="false">ITEM_MASTER_CLEAN!F190</f>
        <v>44.69</v>
      </c>
      <c r="F190" s="5" t="n">
        <f aca="false">IF(LowCashMode="ON",LOW_CASH_MODE!L190,REBALANCE_PLAN!Q190)</f>
        <v>3</v>
      </c>
      <c r="G190" s="5" t="n">
        <f aca="false">IF(LowCashMode="ON",LOW_CASH_MODE!M190,REBALANCE_PLAN!R190)</f>
        <v>4</v>
      </c>
      <c r="H190" s="5" t="n">
        <f aca="false">F190+G190</f>
        <v>7</v>
      </c>
      <c r="I190" s="12" t="n">
        <f aca="false">H190*E190</f>
        <v>312.83</v>
      </c>
      <c r="J190" s="5" t="str">
        <f aca="false">IF(H190=0,"—",IF(LowCashMode="ON",IF(LOW_CASH_MODE!R190="BUY NOW","BUY NOW","DEFER"),IF(REBALANCE_PLAN!M190&lt;&gt;"None","TRANSFER FIRST","BUY")))</f>
        <v>BUY</v>
      </c>
    </row>
    <row r="191" customFormat="false" ht="15" hidden="false" customHeight="false" outlineLevel="0" collapsed="false">
      <c r="A191" s="5" t="n">
        <f aca="false">ITEM_MASTER_CLEAN!A191</f>
        <v>190</v>
      </c>
      <c r="B191" s="5" t="n">
        <f aca="false">ITEM_MASTER_CLEAN!B191</f>
        <v>68687</v>
      </c>
      <c r="C191" s="5" t="str">
        <f aca="false">ITEM_MASTER_CLEAN!C191</f>
        <v>Couv 6oz</v>
      </c>
      <c r="D191" s="5" t="str">
        <f aca="false">ITEM_MASTER_CLEAN!E191</f>
        <v>GENPAK</v>
      </c>
      <c r="E191" s="12" t="n">
        <f aca="false">ITEM_MASTER_CLEAN!F191</f>
        <v>20.12</v>
      </c>
      <c r="F191" s="5" t="n">
        <f aca="false">IF(LowCashMode="ON",LOW_CASH_MODE!L191,REBALANCE_PLAN!Q191)</f>
        <v>0</v>
      </c>
      <c r="G191" s="5" t="n">
        <f aca="false">IF(LowCashMode="ON",LOW_CASH_MODE!M191,REBALANCE_PLAN!R191)</f>
        <v>0</v>
      </c>
      <c r="H191" s="5" t="n">
        <f aca="false">F191+G191</f>
        <v>0</v>
      </c>
      <c r="I191" s="12" t="n">
        <f aca="false">H191*E191</f>
        <v>0</v>
      </c>
      <c r="J191" s="5" t="str">
        <f aca="false">IF(H191=0,"—",IF(LowCashMode="ON",IF(LOW_CASH_MODE!R191="BUY NOW","BUY NOW","DEFER"),IF(REBALANCE_PLAN!M191&lt;&gt;"None","TRANSFER FIRST","BUY")))</f>
        <v>—</v>
      </c>
    </row>
    <row r="192" customFormat="false" ht="15" hidden="false" customHeight="false" outlineLevel="0" collapsed="false">
      <c r="A192" s="5" t="n">
        <f aca="false">ITEM_MASTER_CLEAN!A192</f>
        <v>191</v>
      </c>
      <c r="B192" s="5" t="n">
        <f aca="false">ITEM_MASTER_CLEAN!B192</f>
        <v>35171</v>
      </c>
      <c r="C192" s="5" t="str">
        <f aca="false">ITEM_MASTER_CLEAN!C192</f>
        <v>DIPP BOWL 8OZ VS608-168260 1M</v>
      </c>
      <c r="D192" s="5" t="str">
        <f aca="false">ITEM_MASTER_CLEAN!E192</f>
        <v>DART</v>
      </c>
      <c r="E192" s="12" t="n">
        <f aca="false">ITEM_MASTER_CLEAN!F192</f>
        <v>51.26</v>
      </c>
      <c r="F192" s="5" t="n">
        <f aca="false">IF(LowCashMode="ON",LOW_CASH_MODE!L192,REBALANCE_PLAN!Q192)</f>
        <v>6</v>
      </c>
      <c r="G192" s="5" t="n">
        <f aca="false">IF(LowCashMode="ON",LOW_CASH_MODE!M192,REBALANCE_PLAN!R192)</f>
        <v>5</v>
      </c>
      <c r="H192" s="5" t="n">
        <f aca="false">F192+G192</f>
        <v>11</v>
      </c>
      <c r="I192" s="12" t="n">
        <f aca="false">H192*E192</f>
        <v>563.86</v>
      </c>
      <c r="J192" s="5" t="str">
        <f aca="false">IF(H192=0,"—",IF(LowCashMode="ON",IF(LOW_CASH_MODE!R192="BUY NOW","BUY NOW","DEFER"),IF(REBALANCE_PLAN!M192&lt;&gt;"None","TRANSFER FIRST","BUY")))</f>
        <v>BUY</v>
      </c>
    </row>
    <row r="193" customFormat="false" ht="15" hidden="false" customHeight="false" outlineLevel="0" collapsed="false">
      <c r="A193" s="5" t="n">
        <f aca="false">ITEM_MASTER_CLEAN!A193</f>
        <v>192</v>
      </c>
      <c r="B193" s="5" t="n">
        <f aca="false">ITEM_MASTER_CLEAN!B193</f>
        <v>35176</v>
      </c>
      <c r="C193" s="5" t="str">
        <f aca="false">ITEM_MASTER_CLEAN!C193</f>
        <v>couv / Lid  8oz</v>
      </c>
      <c r="D193" s="5" t="str">
        <f aca="false">ITEM_MASTER_CLEAN!E193</f>
        <v>DART</v>
      </c>
      <c r="E193" s="12" t="n">
        <f aca="false">ITEM_MASTER_CLEAN!F193</f>
        <v>34.53</v>
      </c>
      <c r="F193" s="5" t="n">
        <f aca="false">IF(LowCashMode="ON",LOW_CASH_MODE!L193,REBALANCE_PLAN!Q193)</f>
        <v>7</v>
      </c>
      <c r="G193" s="5" t="n">
        <f aca="false">IF(LowCashMode="ON",LOW_CASH_MODE!M193,REBALANCE_PLAN!R193)</f>
        <v>8</v>
      </c>
      <c r="H193" s="5" t="n">
        <f aca="false">F193+G193</f>
        <v>15</v>
      </c>
      <c r="I193" s="12" t="n">
        <f aca="false">H193*E193</f>
        <v>517.95</v>
      </c>
      <c r="J193" s="5" t="str">
        <f aca="false">IF(H193=0,"—",IF(LowCashMode="ON",IF(LOW_CASH_MODE!R193="BUY NOW","BUY NOW","DEFER"),IF(REBALANCE_PLAN!M193&lt;&gt;"None","TRANSFER FIRST","BUY")))</f>
        <v>BUY</v>
      </c>
    </row>
    <row r="194" customFormat="false" ht="15" hidden="false" customHeight="false" outlineLevel="0" collapsed="false">
      <c r="A194" s="5" t="n">
        <f aca="false">ITEM_MASTER_CLEAN!A194</f>
        <v>193</v>
      </c>
      <c r="B194" s="5" t="n">
        <f aca="false">ITEM_MASTER_CLEAN!B194</f>
        <v>35026</v>
      </c>
      <c r="C194" s="5" t="str">
        <f aca="false">ITEM_MASTER_CLEAN!C194</f>
        <v>Dipp Bowl 12oz 1M</v>
      </c>
      <c r="D194" s="5" t="str">
        <f aca="false">ITEM_MASTER_CLEAN!E194</f>
        <v>DART</v>
      </c>
      <c r="E194" s="12" t="n">
        <f aca="false">ITEM_MASTER_CLEAN!F194</f>
        <v>29.98</v>
      </c>
      <c r="F194" s="5" t="n">
        <f aca="false">IF(LowCashMode="ON",LOW_CASH_MODE!L194,REBALANCE_PLAN!Q194)</f>
        <v>0</v>
      </c>
      <c r="G194" s="5" t="n">
        <f aca="false">IF(LowCashMode="ON",LOW_CASH_MODE!M194,REBALANCE_PLAN!R194)</f>
        <v>0</v>
      </c>
      <c r="H194" s="5" t="n">
        <f aca="false">F194+G194</f>
        <v>0</v>
      </c>
      <c r="I194" s="12" t="n">
        <f aca="false">H194*E194</f>
        <v>0</v>
      </c>
      <c r="J194" s="5" t="str">
        <f aca="false">IF(H194=0,"—",IF(LowCashMode="ON",IF(LOW_CASH_MODE!R194="BUY NOW","BUY NOW","DEFER"),IF(REBALANCE_PLAN!M194&lt;&gt;"None","TRANSFER FIRST","BUY")))</f>
        <v>—</v>
      </c>
    </row>
    <row r="195" customFormat="false" ht="15" hidden="false" customHeight="false" outlineLevel="0" collapsed="false">
      <c r="A195" s="5" t="n">
        <f aca="false">ITEM_MASTER_CLEAN!A195</f>
        <v>194</v>
      </c>
      <c r="B195" s="5" t="n">
        <f aca="false">ITEM_MASTER_CLEAN!B195</f>
        <v>35226</v>
      </c>
      <c r="C195" s="5" t="str">
        <f aca="false">ITEM_MASTER_CLEAN!C195</f>
        <v>Lid for 12oz Bowl</v>
      </c>
      <c r="D195" s="5" t="str">
        <f aca="false">ITEM_MASTER_CLEAN!E195</f>
        <v>DART</v>
      </c>
      <c r="E195" s="12" t="n">
        <f aca="false">ITEM_MASTER_CLEAN!F195</f>
        <v>21.95</v>
      </c>
      <c r="F195" s="5" t="n">
        <f aca="false">IF(LowCashMode="ON",LOW_CASH_MODE!L195,REBALANCE_PLAN!Q195)</f>
        <v>0</v>
      </c>
      <c r="G195" s="5" t="n">
        <f aca="false">IF(LowCashMode="ON",LOW_CASH_MODE!M195,REBALANCE_PLAN!R195)</f>
        <v>0</v>
      </c>
      <c r="H195" s="5" t="n">
        <f aca="false">F195+G195</f>
        <v>0</v>
      </c>
      <c r="I195" s="12" t="n">
        <f aca="false">H195*E195</f>
        <v>0</v>
      </c>
      <c r="J195" s="5" t="str">
        <f aca="false">IF(H195=0,"—",IF(LowCashMode="ON",IF(LOW_CASH_MODE!R195="BUY NOW","BUY NOW","DEFER"),IF(REBALANCE_PLAN!M195&lt;&gt;"None","TRANSFER FIRST","BUY")))</f>
        <v>—</v>
      </c>
    </row>
    <row r="196" customFormat="false" ht="15" hidden="false" customHeight="false" outlineLevel="0" collapsed="false">
      <c r="A196" s="5" t="n">
        <f aca="false">ITEM_MASTER_CLEAN!A196</f>
        <v>195</v>
      </c>
      <c r="B196" s="5" t="n">
        <f aca="false">ITEM_MASTER_CLEAN!B196</f>
        <v>33728</v>
      </c>
      <c r="C196" s="5" t="str">
        <f aca="false">ITEM_MASTER_CLEAN!C196</f>
        <v>DIPP CUP 10 OZ PAP RAZZLE PRT  1M</v>
      </c>
      <c r="D196" s="5" t="str">
        <f aca="false">ITEM_MASTER_CLEAN!E196</f>
        <v>511 FOODS</v>
      </c>
      <c r="E196" s="12" t="n">
        <f aca="false">ITEM_MASTER_CLEAN!F196</f>
        <v>40.71</v>
      </c>
      <c r="F196" s="5" t="n">
        <f aca="false">IF(LowCashMode="ON",LOW_CASH_MODE!L196,REBALANCE_PLAN!Q196)</f>
        <v>4</v>
      </c>
      <c r="G196" s="5" t="n">
        <f aca="false">IF(LowCashMode="ON",LOW_CASH_MODE!M196,REBALANCE_PLAN!R196)</f>
        <v>3</v>
      </c>
      <c r="H196" s="5" t="n">
        <f aca="false">F196+G196</f>
        <v>7</v>
      </c>
      <c r="I196" s="12" t="n">
        <f aca="false">H196*E196</f>
        <v>284.97</v>
      </c>
      <c r="J196" s="5" t="str">
        <f aca="false">IF(H196=0,"—",IF(LowCashMode="ON",IF(LOW_CASH_MODE!R196="BUY NOW","BUY NOW","DEFER"),IF(REBALANCE_PLAN!M196&lt;&gt;"None","TRANSFER FIRST","BUY")))</f>
        <v>BUY</v>
      </c>
    </row>
    <row r="197" customFormat="false" ht="15" hidden="false" customHeight="false" outlineLevel="0" collapsed="false">
      <c r="A197" s="5" t="n">
        <f aca="false">ITEM_MASTER_CLEAN!A197</f>
        <v>196</v>
      </c>
      <c r="B197" s="5" t="n">
        <f aca="false">ITEM_MASTER_CLEAN!B197</f>
        <v>33729</v>
      </c>
      <c r="C197" s="5" t="str">
        <f aca="false">ITEM_MASTER_CLEAN!C197</f>
        <v>Lid Razzle/Coffee  white 1000</v>
      </c>
      <c r="D197" s="5" t="str">
        <f aca="false">ITEM_MASTER_CLEAN!E197</f>
        <v>511 FOODS</v>
      </c>
      <c r="E197" s="12" t="n">
        <f aca="false">ITEM_MASTER_CLEAN!F197</f>
        <v>43.4</v>
      </c>
      <c r="F197" s="5" t="n">
        <f aca="false">IF(LowCashMode="ON",LOW_CASH_MODE!L197,REBALANCE_PLAN!Q197)</f>
        <v>0</v>
      </c>
      <c r="G197" s="5" t="n">
        <f aca="false">IF(LowCashMode="ON",LOW_CASH_MODE!M197,REBALANCE_PLAN!R197)</f>
        <v>0</v>
      </c>
      <c r="H197" s="5" t="n">
        <f aca="false">F197+G197</f>
        <v>0</v>
      </c>
      <c r="I197" s="12" t="n">
        <f aca="false">H197*E197</f>
        <v>0</v>
      </c>
      <c r="J197" s="5" t="str">
        <f aca="false">IF(H197=0,"—",IF(LowCashMode="ON",IF(LOW_CASH_MODE!R197="BUY NOW","BUY NOW","DEFER"),IF(REBALANCE_PLAN!M197&lt;&gt;"None","TRANSFER FIRST","BUY")))</f>
        <v>—</v>
      </c>
    </row>
    <row r="198" customFormat="false" ht="15" hidden="false" customHeight="false" outlineLevel="0" collapsed="false">
      <c r="A198" s="5" t="n">
        <f aca="false">ITEM_MASTER_CLEAN!A198</f>
        <v>197</v>
      </c>
      <c r="B198" s="5" t="n">
        <f aca="false">ITEM_MASTER_CLEAN!B198</f>
        <v>66985</v>
      </c>
      <c r="C198" s="5" t="str">
        <f aca="false">ITEM_MASTER_CLEAN!C198</f>
        <v>Lid Razzle Dome Clr 1000</v>
      </c>
      <c r="D198" s="5" t="str">
        <f aca="false">ITEM_MASTER_CLEAN!E198</f>
        <v>511 FOODS</v>
      </c>
      <c r="E198" s="12" t="n">
        <f aca="false">ITEM_MASTER_CLEAN!F198</f>
        <v>46.37</v>
      </c>
      <c r="F198" s="5" t="n">
        <f aca="false">IF(LowCashMode="ON",LOW_CASH_MODE!L198,REBALANCE_PLAN!Q198)</f>
        <v>4</v>
      </c>
      <c r="G198" s="5" t="n">
        <f aca="false">IF(LowCashMode="ON",LOW_CASH_MODE!M198,REBALANCE_PLAN!R198)</f>
        <v>2</v>
      </c>
      <c r="H198" s="5" t="n">
        <f aca="false">F198+G198</f>
        <v>6</v>
      </c>
      <c r="I198" s="12" t="n">
        <f aca="false">H198*E198</f>
        <v>278.22</v>
      </c>
      <c r="J198" s="5" t="str">
        <f aca="false">IF(H198=0,"—",IF(LowCashMode="ON",IF(LOW_CASH_MODE!R198="BUY NOW","BUY NOW","DEFER"),IF(REBALANCE_PLAN!M198&lt;&gt;"None","TRANSFER FIRST","BUY")))</f>
        <v>BUY</v>
      </c>
    </row>
    <row r="199" customFormat="false" ht="15" hidden="false" customHeight="false" outlineLevel="0" collapsed="false">
      <c r="A199" s="5" t="n">
        <f aca="false">ITEM_MASTER_CLEAN!A199</f>
        <v>198</v>
      </c>
      <c r="B199" s="5" t="n">
        <f aca="false">ITEM_MASTER_CLEAN!B199</f>
        <v>63343</v>
      </c>
      <c r="C199" s="5" t="str">
        <f aca="false">ITEM_MASTER_CLEAN!C199</f>
        <v>CAKE DOME COMBO CLR 10"X5" 100</v>
      </c>
      <c r="D199" s="5" t="str">
        <f aca="false">ITEM_MASTER_CLEAN!E199</f>
        <v>POLARPAK</v>
      </c>
      <c r="E199" s="12" t="n">
        <f aca="false">ITEM_MASTER_CLEAN!F199</f>
        <v>27.4</v>
      </c>
      <c r="F199" s="5" t="n">
        <f aca="false">IF(LowCashMode="ON",LOW_CASH_MODE!L199,REBALANCE_PLAN!Q199)</f>
        <v>4</v>
      </c>
      <c r="G199" s="5" t="n">
        <f aca="false">IF(LowCashMode="ON",LOW_CASH_MODE!M199,REBALANCE_PLAN!R199)</f>
        <v>7</v>
      </c>
      <c r="H199" s="5" t="n">
        <f aca="false">F199+G199</f>
        <v>11</v>
      </c>
      <c r="I199" s="12" t="n">
        <f aca="false">H199*E199</f>
        <v>301.4</v>
      </c>
      <c r="J199" s="5" t="str">
        <f aca="false">IF(H199=0,"—",IF(LowCashMode="ON",IF(LOW_CASH_MODE!R199="BUY NOW","BUY NOW","DEFER"),IF(REBALANCE_PLAN!M199&lt;&gt;"None","TRANSFER FIRST","BUY")))</f>
        <v>BUY</v>
      </c>
    </row>
    <row r="200" customFormat="false" ht="15" hidden="false" customHeight="false" outlineLevel="0" collapsed="false">
      <c r="A200" s="5" t="n">
        <f aca="false">ITEM_MASTER_CLEAN!A200</f>
        <v>199</v>
      </c>
      <c r="B200" s="5" t="n">
        <f aca="false">ITEM_MASTER_CLEAN!B200</f>
        <v>35113</v>
      </c>
      <c r="C200" s="5" t="str">
        <f aca="false">ITEM_MASTER_CLEAN!C200</f>
        <v>STICKS POPSICLE WOOD  1X1M</v>
      </c>
      <c r="D200" s="5" t="str">
        <f aca="false">ITEM_MASTER_CLEAN!E200</f>
        <v>JOHN LEWIS</v>
      </c>
      <c r="E200" s="12" t="n">
        <f aca="false">ITEM_MASTER_CLEAN!F200</f>
        <v>11.64</v>
      </c>
      <c r="F200" s="5" t="n">
        <f aca="false">IF(LowCashMode="ON",LOW_CASH_MODE!L200,REBALANCE_PLAN!Q200)</f>
        <v>8</v>
      </c>
      <c r="G200" s="5" t="n">
        <f aca="false">IF(LowCashMode="ON",LOW_CASH_MODE!M200,REBALANCE_PLAN!R200)</f>
        <v>4</v>
      </c>
      <c r="H200" s="5" t="n">
        <f aca="false">F200+G200</f>
        <v>12</v>
      </c>
      <c r="I200" s="12" t="n">
        <f aca="false">H200*E200</f>
        <v>139.68</v>
      </c>
      <c r="J200" s="5" t="str">
        <f aca="false">IF(H200=0,"—",IF(LowCashMode="ON",IF(LOW_CASH_MODE!R200="BUY NOW","BUY NOW","DEFER"),IF(REBALANCE_PLAN!M200&lt;&gt;"None","TRANSFER FIRST","BUY")))</f>
        <v>BUY</v>
      </c>
    </row>
    <row r="201" customFormat="false" ht="15" hidden="false" customHeight="false" outlineLevel="0" collapsed="false">
      <c r="A201" s="5" t="n">
        <f aca="false">ITEM_MASTER_CLEAN!A201</f>
        <v>200</v>
      </c>
      <c r="B201" s="5" t="n">
        <f aca="false">ITEM_MASTER_CLEAN!B201</f>
        <v>26324</v>
      </c>
      <c r="C201" s="5" t="str">
        <f aca="false">ITEM_MASTER_CLEAN!C201</f>
        <v>Cont Gauffre 6x6 500 units</v>
      </c>
      <c r="D201" s="5" t="str">
        <f aca="false">ITEM_MASTER_CLEAN!E201</f>
        <v>DORFIN</v>
      </c>
      <c r="E201" s="12" t="n">
        <f aca="false">ITEM_MASTER_CLEAN!F201</f>
        <v>13.28</v>
      </c>
      <c r="F201" s="5" t="n">
        <f aca="false">IF(LowCashMode="ON",LOW_CASH_MODE!L201,REBALANCE_PLAN!Q201)</f>
        <v>5</v>
      </c>
      <c r="G201" s="5" t="n">
        <f aca="false">IF(LowCashMode="ON",LOW_CASH_MODE!M201,REBALANCE_PLAN!R201)</f>
        <v>7</v>
      </c>
      <c r="H201" s="5" t="n">
        <f aca="false">F201+G201</f>
        <v>12</v>
      </c>
      <c r="I201" s="12" t="n">
        <f aca="false">H201*E201</f>
        <v>159.36</v>
      </c>
      <c r="J201" s="5" t="str">
        <f aca="false">IF(H201=0,"—",IF(LowCashMode="ON",IF(LOW_CASH_MODE!R201="BUY NOW","BUY NOW","DEFER"),IF(REBALANCE_PLAN!M201&lt;&gt;"None","TRANSFER FIRST","BUY")))</f>
        <v>BUY</v>
      </c>
    </row>
    <row r="202" customFormat="false" ht="15" hidden="false" customHeight="false" outlineLevel="0" collapsed="false">
      <c r="A202" s="5" t="n">
        <f aca="false">ITEM_MASTER_CLEAN!A202</f>
        <v>201</v>
      </c>
      <c r="B202" s="5" t="n">
        <f aca="false">ITEM_MASTER_CLEAN!B202</f>
        <v>26325</v>
      </c>
      <c r="C202" s="5" t="str">
        <f aca="false">ITEM_MASTER_CLEAN!C202</f>
        <v>Cont crepe 9"x6"x3"  250 units</v>
      </c>
      <c r="D202" s="5" t="str">
        <f aca="false">ITEM_MASTER_CLEAN!E202</f>
        <v>DORFIN</v>
      </c>
      <c r="E202" s="12" t="n">
        <f aca="false">ITEM_MASTER_CLEAN!F202</f>
        <v>24.89</v>
      </c>
      <c r="F202" s="5" t="n">
        <f aca="false">IF(LowCashMode="ON",LOW_CASH_MODE!L202,REBALANCE_PLAN!Q202)</f>
        <v>8</v>
      </c>
      <c r="G202" s="5" t="n">
        <f aca="false">IF(LowCashMode="ON",LOW_CASH_MODE!M202,REBALANCE_PLAN!R202)</f>
        <v>5</v>
      </c>
      <c r="H202" s="5" t="n">
        <f aca="false">F202+G202</f>
        <v>13</v>
      </c>
      <c r="I202" s="12" t="n">
        <f aca="false">H202*E202</f>
        <v>323.57</v>
      </c>
      <c r="J202" s="5" t="str">
        <f aca="false">IF(H202=0,"—",IF(LowCashMode="ON",IF(LOW_CASH_MODE!R202="BUY NOW","BUY NOW","DEFER"),IF(REBALANCE_PLAN!M202&lt;&gt;"None","TRANSFER FIRST","BUY")))</f>
        <v>BUY</v>
      </c>
    </row>
    <row r="203" customFormat="false" ht="15" hidden="false" customHeight="false" outlineLevel="0" collapsed="false">
      <c r="A203" s="5" t="n">
        <f aca="false">ITEM_MASTER_CLEAN!A203</f>
        <v>202</v>
      </c>
      <c r="B203" s="5" t="n">
        <f aca="false">ITEM_MASTER_CLEAN!B203</f>
        <v>17159</v>
      </c>
      <c r="C203" s="5" t="str">
        <f aca="false">ITEM_MASTER_CLEAN!C203</f>
        <v>Cont ChsCake slc tray 800un</v>
      </c>
      <c r="D203" s="5" t="str">
        <f aca="false">ITEM_MASTER_CLEAN!E203</f>
        <v>COV CAKES</v>
      </c>
      <c r="E203" s="12" t="n">
        <f aca="false">ITEM_MASTER_CLEAN!F203</f>
        <v>34.13</v>
      </c>
      <c r="F203" s="5" t="n">
        <f aca="false">IF(LowCashMode="ON",LOW_CASH_MODE!L203,REBALANCE_PLAN!Q203)</f>
        <v>9</v>
      </c>
      <c r="G203" s="5" t="n">
        <f aca="false">IF(LowCashMode="ON",LOW_CASH_MODE!M203,REBALANCE_PLAN!R203)</f>
        <v>4</v>
      </c>
      <c r="H203" s="5" t="n">
        <f aca="false">F203+G203</f>
        <v>13</v>
      </c>
      <c r="I203" s="12" t="n">
        <f aca="false">H203*E203</f>
        <v>443.69</v>
      </c>
      <c r="J203" s="5" t="str">
        <f aca="false">IF(H203=0,"—",IF(LowCashMode="ON",IF(LOW_CASH_MODE!R203="BUY NOW","BUY NOW","DEFER"),IF(REBALANCE_PLAN!M203&lt;&gt;"None","TRANSFER FIRST","BUY")))</f>
        <v>BUY</v>
      </c>
    </row>
    <row r="204" customFormat="false" ht="15" hidden="false" customHeight="false" outlineLevel="0" collapsed="false">
      <c r="A204" s="5" t="n">
        <f aca="false">ITEM_MASTER_CLEAN!A204</f>
        <v>203</v>
      </c>
      <c r="B204" s="5" t="n">
        <f aca="false">ITEM_MASTER_CLEAN!B204</f>
        <v>17160</v>
      </c>
      <c r="C204" s="5" t="str">
        <f aca="false">ITEM_MASTER_CLEAN!C204</f>
        <v>Lid  ChsCake slc 800un</v>
      </c>
      <c r="D204" s="5" t="str">
        <f aca="false">ITEM_MASTER_CLEAN!E204</f>
        <v>COV CAKES</v>
      </c>
      <c r="E204" s="12" t="n">
        <f aca="false">ITEM_MASTER_CLEAN!F204</f>
        <v>19.6</v>
      </c>
      <c r="F204" s="5" t="n">
        <f aca="false">IF(LowCashMode="ON",LOW_CASH_MODE!L204,REBALANCE_PLAN!Q204)</f>
        <v>0</v>
      </c>
      <c r="G204" s="5" t="n">
        <f aca="false">IF(LowCashMode="ON",LOW_CASH_MODE!M204,REBALANCE_PLAN!R204)</f>
        <v>0</v>
      </c>
      <c r="H204" s="5" t="n">
        <f aca="false">F204+G204</f>
        <v>0</v>
      </c>
      <c r="I204" s="12" t="n">
        <f aca="false">H204*E204</f>
        <v>0</v>
      </c>
      <c r="J204" s="5" t="str">
        <f aca="false">IF(H204=0,"—",IF(LowCashMode="ON",IF(LOW_CASH_MODE!R204="BUY NOW","BUY NOW","DEFER"),IF(REBALANCE_PLAN!M204&lt;&gt;"None","TRANSFER FIRST","BUY")))</f>
        <v>—</v>
      </c>
    </row>
    <row r="205" customFormat="false" ht="15" hidden="false" customHeight="false" outlineLevel="0" collapsed="false">
      <c r="A205" s="5" t="n">
        <f aca="false">ITEM_MASTER_CLEAN!A205</f>
        <v>204</v>
      </c>
      <c r="B205" s="5" t="n">
        <f aca="false">ITEM_MASTER_CLEAN!B205</f>
        <v>59752</v>
      </c>
      <c r="C205" s="5" t="str">
        <f aca="false">ITEM_MASTER_CLEAN!C205</f>
        <v>CONT CAKE SLICE PETE 6X6.3 X2.9 240</v>
      </c>
      <c r="D205" s="5" t="str">
        <f aca="false">ITEM_MASTER_CLEAN!E205</f>
        <v>POLAR PAK</v>
      </c>
      <c r="E205" s="12" t="n">
        <f aca="false">ITEM_MASTER_CLEAN!F205</f>
        <v>20.21</v>
      </c>
      <c r="F205" s="5" t="n">
        <f aca="false">IF(LowCashMode="ON",LOW_CASH_MODE!L205,REBALANCE_PLAN!Q205)</f>
        <v>0</v>
      </c>
      <c r="G205" s="5" t="n">
        <f aca="false">IF(LowCashMode="ON",LOW_CASH_MODE!M205,REBALANCE_PLAN!R205)</f>
        <v>8</v>
      </c>
      <c r="H205" s="5" t="n">
        <f aca="false">F205+G205</f>
        <v>8</v>
      </c>
      <c r="I205" s="12" t="n">
        <f aca="false">H205*E205</f>
        <v>161.68</v>
      </c>
      <c r="J205" s="5" t="str">
        <f aca="false">IF(H205=0,"—",IF(LowCashMode="ON",IF(LOW_CASH_MODE!R205="BUY NOW","BUY NOW","DEFER"),IF(REBALANCE_PLAN!M205&lt;&gt;"None","TRANSFER FIRST","BUY")))</f>
        <v>BUY</v>
      </c>
    </row>
    <row r="206" customFormat="false" ht="15" hidden="false" customHeight="false" outlineLevel="0" collapsed="false">
      <c r="A206" s="5" t="n">
        <f aca="false">ITEM_MASTER_CLEAN!A206</f>
        <v>205</v>
      </c>
      <c r="B206" s="5" t="n">
        <f aca="false">ITEM_MASTER_CLEAN!B206</f>
        <v>41216</v>
      </c>
      <c r="C206" s="5" t="str">
        <f aca="false">ITEM_MASTER_CLEAN!C206</f>
        <v>CONT PORT 2 OZ PLASTIC PP* 125UN</v>
      </c>
      <c r="D206" s="5" t="str">
        <f aca="false">ITEM_MASTER_CLEAN!E206</f>
        <v>DORFIN</v>
      </c>
      <c r="E206" s="12" t="n">
        <f aca="false">ITEM_MASTER_CLEAN!F206</f>
        <v>22.51</v>
      </c>
      <c r="F206" s="5" t="n">
        <f aca="false">IF(LowCashMode="ON",LOW_CASH_MODE!L206,REBALANCE_PLAN!Q206)</f>
        <v>5</v>
      </c>
      <c r="G206" s="5" t="n">
        <f aca="false">IF(LowCashMode="ON",LOW_CASH_MODE!M206,REBALANCE_PLAN!R206)</f>
        <v>3</v>
      </c>
      <c r="H206" s="5" t="n">
        <f aca="false">F206+G206</f>
        <v>8</v>
      </c>
      <c r="I206" s="12" t="n">
        <f aca="false">H206*E206</f>
        <v>180.08</v>
      </c>
      <c r="J206" s="5" t="str">
        <f aca="false">IF(H206=0,"—",IF(LowCashMode="ON",IF(LOW_CASH_MODE!R206="BUY NOW","BUY NOW","DEFER"),IF(REBALANCE_PLAN!M206&lt;&gt;"None","TRANSFER FIRST","BUY")))</f>
        <v>BUY</v>
      </c>
    </row>
    <row r="207" customFormat="false" ht="15" hidden="false" customHeight="false" outlineLevel="0" collapsed="false">
      <c r="A207" s="5" t="n">
        <f aca="false">ITEM_MASTER_CLEAN!A207</f>
        <v>206</v>
      </c>
      <c r="B207" s="5" t="n">
        <f aca="false">ITEM_MASTER_CLEAN!B207</f>
        <v>41217</v>
      </c>
      <c r="C207" s="5" t="str">
        <f aca="false">ITEM_MASTER_CLEAN!C207</f>
        <v>LID PORTION 2 OZ PL 125UN</v>
      </c>
      <c r="D207" s="5" t="str">
        <f aca="false">ITEM_MASTER_CLEAN!E207</f>
        <v>DORFIN</v>
      </c>
      <c r="E207" s="12" t="n">
        <f aca="false">ITEM_MASTER_CLEAN!F207</f>
        <v>28.07</v>
      </c>
      <c r="F207" s="5" t="n">
        <f aca="false">IF(LowCashMode="ON",LOW_CASH_MODE!L207,REBALANCE_PLAN!Q207)</f>
        <v>2</v>
      </c>
      <c r="G207" s="5" t="n">
        <f aca="false">IF(LowCashMode="ON",LOW_CASH_MODE!M207,REBALANCE_PLAN!R207)</f>
        <v>2</v>
      </c>
      <c r="H207" s="5" t="n">
        <f aca="false">F207+G207</f>
        <v>4</v>
      </c>
      <c r="I207" s="12" t="n">
        <f aca="false">H207*E207</f>
        <v>112.28</v>
      </c>
      <c r="J207" s="5" t="str">
        <f aca="false">IF(H207=0,"—",IF(LowCashMode="ON",IF(LOW_CASH_MODE!R207="BUY NOW","BUY NOW","DEFER"),IF(REBALANCE_PLAN!M207&lt;&gt;"None","TRANSFER FIRST","BUY")))</f>
        <v>BUY</v>
      </c>
    </row>
    <row r="208" customFormat="false" ht="15" hidden="false" customHeight="false" outlineLevel="0" collapsed="false">
      <c r="A208" s="5" t="n">
        <f aca="false">ITEM_MASTER_CLEAN!A208</f>
        <v>207</v>
      </c>
      <c r="B208" s="5" t="n">
        <f aca="false">ITEM_MASTER_CLEAN!B208</f>
        <v>66908</v>
      </c>
      <c r="C208" s="5" t="str">
        <f aca="false">ITEM_MASTER_CLEAN!C208</f>
        <v>CUTL KNIFE WOOD TI80691 1M</v>
      </c>
      <c r="D208" s="5" t="str">
        <f aca="false">ITEM_MASTER_CLEAN!E208</f>
        <v>TOUCH</v>
      </c>
      <c r="E208" s="12" t="n">
        <f aca="false">ITEM_MASTER_CLEAN!F208</f>
        <v>13.23</v>
      </c>
      <c r="F208" s="5" t="n">
        <f aca="false">IF(LowCashMode="ON",LOW_CASH_MODE!L208,REBALANCE_PLAN!Q208)</f>
        <v>0</v>
      </c>
      <c r="G208" s="5" t="n">
        <f aca="false">IF(LowCashMode="ON",LOW_CASH_MODE!M208,REBALANCE_PLAN!R208)</f>
        <v>0</v>
      </c>
      <c r="H208" s="5" t="n">
        <f aca="false">F208+G208</f>
        <v>0</v>
      </c>
      <c r="I208" s="12" t="n">
        <f aca="false">H208*E208</f>
        <v>0</v>
      </c>
      <c r="J208" s="5" t="str">
        <f aca="false">IF(H208=0,"—",IF(LowCashMode="ON",IF(LOW_CASH_MODE!R208="BUY NOW","BUY NOW","DEFER"),IF(REBALANCE_PLAN!M208&lt;&gt;"None","TRANSFER FIRST","BUY")))</f>
        <v>—</v>
      </c>
    </row>
    <row r="209" customFormat="false" ht="15" hidden="false" customHeight="false" outlineLevel="0" collapsed="false">
      <c r="A209" s="5" t="n">
        <f aca="false">ITEM_MASTER_CLEAN!A209</f>
        <v>208</v>
      </c>
      <c r="B209" s="5" t="n">
        <f aca="false">ITEM_MASTER_CLEAN!B209</f>
        <v>44099</v>
      </c>
      <c r="C209" s="5" t="str">
        <f aca="false">ITEM_MASTER_CLEAN!C209</f>
        <v>CUTLERY KNIVE POL WH MED PYL PP* 1M</v>
      </c>
      <c r="D209" s="5" t="str">
        <f aca="false">ITEM_MASTER_CLEAN!E209</f>
        <v>POLAR</v>
      </c>
      <c r="E209" s="12" t="n">
        <f aca="false">ITEM_MASTER_CLEAN!F209</f>
        <v>26.37</v>
      </c>
      <c r="F209" s="5" t="n">
        <f aca="false">IF(LowCashMode="ON",LOW_CASH_MODE!L209,REBALANCE_PLAN!Q209)</f>
        <v>0</v>
      </c>
      <c r="G209" s="5" t="n">
        <f aca="false">IF(LowCashMode="ON",LOW_CASH_MODE!M209,REBALANCE_PLAN!R209)</f>
        <v>0</v>
      </c>
      <c r="H209" s="5" t="n">
        <f aca="false">F209+G209</f>
        <v>0</v>
      </c>
      <c r="I209" s="12" t="n">
        <f aca="false">H209*E209</f>
        <v>0</v>
      </c>
      <c r="J209" s="5" t="str">
        <f aca="false">IF(H209=0,"—",IF(LowCashMode="ON",IF(LOW_CASH_MODE!R209="BUY NOW","BUY NOW","DEFER"),IF(REBALANCE_PLAN!M209&lt;&gt;"None","TRANSFER FIRST","BUY")))</f>
        <v>—</v>
      </c>
    </row>
    <row r="210" customFormat="false" ht="23.85" hidden="false" customHeight="false" outlineLevel="0" collapsed="false">
      <c r="A210" s="5" t="n">
        <f aca="false">ITEM_MASTER_CLEAN!A210</f>
        <v>209</v>
      </c>
      <c r="B210" s="5" t="n">
        <f aca="false">ITEM_MASTER_CLEAN!B210</f>
        <v>41623</v>
      </c>
      <c r="C210" s="5" t="str">
        <f aca="false">ITEM_MASTER_CLEAN!C210</f>
        <v>CUTLERY SPOON POL TEA WH PYL PP* 1M</v>
      </c>
      <c r="D210" s="5" t="str">
        <f aca="false">ITEM_MASTER_CLEAN!E210</f>
        <v>POLAR</v>
      </c>
      <c r="E210" s="12" t="n">
        <f aca="false">ITEM_MASTER_CLEAN!F210</f>
        <v>27.96</v>
      </c>
      <c r="F210" s="5" t="n">
        <f aca="false">IF(LowCashMode="ON",LOW_CASH_MODE!L210,REBALANCE_PLAN!Q210)</f>
        <v>1</v>
      </c>
      <c r="G210" s="5" t="n">
        <f aca="false">IF(LowCashMode="ON",LOW_CASH_MODE!M210,REBALANCE_PLAN!R210)</f>
        <v>2</v>
      </c>
      <c r="H210" s="5" t="n">
        <f aca="false">F210+G210</f>
        <v>3</v>
      </c>
      <c r="I210" s="12" t="n">
        <f aca="false">H210*E210</f>
        <v>83.88</v>
      </c>
      <c r="J210" s="5" t="str">
        <f aca="false">IF(H210=0,"—",IF(LowCashMode="ON",IF(LOW_CASH_MODE!R210="BUY NOW","BUY NOW","DEFER"),IF(REBALANCE_PLAN!M210&lt;&gt;"None","TRANSFER FIRST","BUY")))</f>
        <v>BUY</v>
      </c>
    </row>
    <row r="211" customFormat="false" ht="15" hidden="false" customHeight="false" outlineLevel="0" collapsed="false">
      <c r="A211" s="5" t="n">
        <f aca="false">ITEM_MASTER_CLEAN!A211</f>
        <v>210</v>
      </c>
      <c r="B211" s="5" t="n">
        <f aca="false">ITEM_MASTER_CLEAN!B211</f>
        <v>66910</v>
      </c>
      <c r="C211" s="5" t="str">
        <f aca="false">ITEM_MASTER_CLEAN!C211</f>
        <v>CUTL SPOON WOOD TI80692 1M</v>
      </c>
      <c r="D211" s="5" t="str">
        <f aca="false">ITEM_MASTER_CLEAN!E211</f>
        <v>TOUCH</v>
      </c>
      <c r="E211" s="12" t="n">
        <f aca="false">ITEM_MASTER_CLEAN!F211</f>
        <v>27.17</v>
      </c>
      <c r="F211" s="5" t="n">
        <f aca="false">IF(LowCashMode="ON",LOW_CASH_MODE!L211,REBALANCE_PLAN!Q211)</f>
        <v>10</v>
      </c>
      <c r="G211" s="5" t="n">
        <f aca="false">IF(LowCashMode="ON",LOW_CASH_MODE!M211,REBALANCE_PLAN!R211)</f>
        <v>0</v>
      </c>
      <c r="H211" s="5" t="n">
        <f aca="false">F211+G211</f>
        <v>10</v>
      </c>
      <c r="I211" s="12" t="n">
        <f aca="false">H211*E211</f>
        <v>271.7</v>
      </c>
      <c r="J211" s="5" t="str">
        <f aca="false">IF(H211=0,"—",IF(LowCashMode="ON",IF(LOW_CASH_MODE!R211="BUY NOW","BUY NOW","DEFER"),IF(REBALANCE_PLAN!M211&lt;&gt;"None","TRANSFER FIRST","BUY")))</f>
        <v>BUY</v>
      </c>
    </row>
    <row r="212" customFormat="false" ht="15" hidden="false" customHeight="false" outlineLevel="0" collapsed="false">
      <c r="A212" s="5" t="n">
        <f aca="false">ITEM_MASTER_CLEAN!A212</f>
        <v>211</v>
      </c>
      <c r="B212" s="5" t="n">
        <f aca="false">ITEM_MASTER_CLEAN!B212</f>
        <v>43703</v>
      </c>
      <c r="C212" s="5" t="str">
        <f aca="false">ITEM_MASTER_CLEAN!C212</f>
        <v>CUTLERY FORK POL WH MED PYL PP* 1M</v>
      </c>
      <c r="D212" s="5" t="str">
        <f aca="false">ITEM_MASTER_CLEAN!E212</f>
        <v>POLAR</v>
      </c>
      <c r="E212" s="12" t="n">
        <f aca="false">ITEM_MASTER_CLEAN!F212</f>
        <v>5.57</v>
      </c>
      <c r="F212" s="5" t="n">
        <f aca="false">IF(LowCashMode="ON",LOW_CASH_MODE!L212,REBALANCE_PLAN!Q212)</f>
        <v>10</v>
      </c>
      <c r="G212" s="5" t="n">
        <f aca="false">IF(LowCashMode="ON",LOW_CASH_MODE!M212,REBALANCE_PLAN!R212)</f>
        <v>0</v>
      </c>
      <c r="H212" s="5" t="n">
        <f aca="false">F212+G212</f>
        <v>10</v>
      </c>
      <c r="I212" s="12" t="n">
        <f aca="false">H212*E212</f>
        <v>55.7</v>
      </c>
      <c r="J212" s="5" t="str">
        <f aca="false">IF(H212=0,"—",IF(LowCashMode="ON",IF(LOW_CASH_MODE!R212="BUY NOW","BUY NOW","DEFER"),IF(REBALANCE_PLAN!M212&lt;&gt;"None","TRANSFER FIRST","BUY")))</f>
        <v>BUY</v>
      </c>
    </row>
    <row r="213" customFormat="false" ht="15" hidden="false" customHeight="false" outlineLevel="0" collapsed="false">
      <c r="A213" s="5" t="n">
        <f aca="false">ITEM_MASTER_CLEAN!A213</f>
        <v>212</v>
      </c>
      <c r="B213" s="5" t="n">
        <f aca="false">ITEM_MASTER_CLEAN!B213</f>
        <v>66909</v>
      </c>
      <c r="C213" s="5" t="str">
        <f aca="false">ITEM_MASTER_CLEAN!C213</f>
        <v>CUTL FORK WOOD TI80690 1M</v>
      </c>
      <c r="D213" s="5" t="str">
        <f aca="false">ITEM_MASTER_CLEAN!E213</f>
        <v>TOUCH</v>
      </c>
      <c r="E213" s="12" t="n">
        <f aca="false">ITEM_MASTER_CLEAN!F213</f>
        <v>21.06</v>
      </c>
      <c r="F213" s="5" t="n">
        <f aca="false">IF(LowCashMode="ON",LOW_CASH_MODE!L213,REBALANCE_PLAN!Q213)</f>
        <v>0</v>
      </c>
      <c r="G213" s="5" t="n">
        <f aca="false">IF(LowCashMode="ON",LOW_CASH_MODE!M213,REBALANCE_PLAN!R213)</f>
        <v>0</v>
      </c>
      <c r="H213" s="5" t="n">
        <f aca="false">F213+G213</f>
        <v>0</v>
      </c>
      <c r="I213" s="12" t="n">
        <f aca="false">H213*E213</f>
        <v>0</v>
      </c>
      <c r="J213" s="5" t="str">
        <f aca="false">IF(H213=0,"—",IF(LowCashMode="ON",IF(LOW_CASH_MODE!R213="BUY NOW","BUY NOW","DEFER"),IF(REBALANCE_PLAN!M213&lt;&gt;"None","TRANSFER FIRST","BUY")))</f>
        <v>—</v>
      </c>
    </row>
    <row r="214" customFormat="false" ht="15" hidden="false" customHeight="false" outlineLevel="0" collapsed="false">
      <c r="A214" s="5" t="n">
        <f aca="false">ITEM_MASTER_CLEAN!A214</f>
        <v>213</v>
      </c>
      <c r="B214" s="5" t="n">
        <f aca="false">ITEM_MASTER_CLEAN!B214</f>
        <v>12562</v>
      </c>
      <c r="C214" s="5" t="str">
        <f aca="false">ITEM_MASTER_CLEAN!C214</f>
        <v>SPOON WOOD TASTER WRP 1M</v>
      </c>
      <c r="D214" s="5" t="str">
        <f aca="false">ITEM_MASTER_CLEAN!E214</f>
        <v>511 FOODS</v>
      </c>
      <c r="E214" s="12" t="n">
        <f aca="false">ITEM_MASTER_CLEAN!F214</f>
        <v>12.9</v>
      </c>
      <c r="F214" s="5" t="n">
        <f aca="false">IF(LowCashMode="ON",LOW_CASH_MODE!L214,REBALANCE_PLAN!Q214)</f>
        <v>3</v>
      </c>
      <c r="G214" s="5" t="n">
        <f aca="false">IF(LowCashMode="ON",LOW_CASH_MODE!M214,REBALANCE_PLAN!R214)</f>
        <v>1</v>
      </c>
      <c r="H214" s="5" t="n">
        <f aca="false">F214+G214</f>
        <v>4</v>
      </c>
      <c r="I214" s="12" t="n">
        <f aca="false">H214*E214</f>
        <v>51.6</v>
      </c>
      <c r="J214" s="5" t="str">
        <f aca="false">IF(H214=0,"—",IF(LowCashMode="ON",IF(LOW_CASH_MODE!R214="BUY NOW","BUY NOW","DEFER"),IF(REBALANCE_PLAN!M214&lt;&gt;"None","TRANSFER FIRST","BUY")))</f>
        <v>BUY</v>
      </c>
    </row>
    <row r="215" customFormat="false" ht="23.85" hidden="false" customHeight="false" outlineLevel="0" collapsed="false">
      <c r="A215" s="5" t="n">
        <f aca="false">ITEM_MASTER_CLEAN!A215</f>
        <v>214</v>
      </c>
      <c r="B215" s="5" t="n">
        <f aca="false">ITEM_MASTER_CLEAN!B215</f>
        <v>66915</v>
      </c>
      <c r="C215" s="5" t="str">
        <f aca="false">ITEM_MASTER_CLEAN!C215</f>
        <v>MTY CUTLERY SPOON SODA 7.2" WOOD 1M</v>
      </c>
      <c r="D215" s="5" t="str">
        <f aca="false">ITEM_MASTER_CLEAN!E215</f>
        <v>MTY</v>
      </c>
      <c r="E215" s="12" t="n">
        <f aca="false">ITEM_MASTER_CLEAN!F215</f>
        <v>33.04</v>
      </c>
      <c r="F215" s="5" t="n">
        <f aca="false">IF(LowCashMode="ON",LOW_CASH_MODE!L215,REBALANCE_PLAN!Q215)</f>
        <v>2</v>
      </c>
      <c r="G215" s="5" t="n">
        <f aca="false">IF(LowCashMode="ON",LOW_CASH_MODE!M215,REBALANCE_PLAN!R215)</f>
        <v>2</v>
      </c>
      <c r="H215" s="5" t="n">
        <f aca="false">F215+G215</f>
        <v>4</v>
      </c>
      <c r="I215" s="12" t="n">
        <f aca="false">H215*E215</f>
        <v>132.16</v>
      </c>
      <c r="J215" s="5" t="str">
        <f aca="false">IF(H215=0,"—",IF(LowCashMode="ON",IF(LOW_CASH_MODE!R215="BUY NOW","BUY NOW","DEFER"),IF(REBALANCE_PLAN!M215&lt;&gt;"None","TRANSFER FIRST","BUY")))</f>
        <v>BUY</v>
      </c>
    </row>
    <row r="216" customFormat="false" ht="15" hidden="false" customHeight="false" outlineLevel="0" collapsed="false">
      <c r="A216" s="5" t="n">
        <f aca="false">ITEM_MASTER_CLEAN!A216</f>
        <v>215</v>
      </c>
      <c r="B216" s="5" t="n">
        <f aca="false">ITEM_MASTER_CLEAN!B216</f>
        <v>33725</v>
      </c>
      <c r="C216" s="5" t="str">
        <f aca="false">ITEM_MASTER_CLEAN!C216</f>
        <v>TRAY 4CUP CARRIER 8-32OZ  300</v>
      </c>
      <c r="D216" s="5" t="str">
        <f aca="false">ITEM_MASTER_CLEAN!E216</f>
        <v>511 FOODS</v>
      </c>
      <c r="E216" s="12" t="n">
        <f aca="false">ITEM_MASTER_CLEAN!F216</f>
        <v>30.73</v>
      </c>
      <c r="F216" s="5" t="n">
        <f aca="false">IF(LowCashMode="ON",LOW_CASH_MODE!L216,REBALANCE_PLAN!Q216)</f>
        <v>1</v>
      </c>
      <c r="G216" s="5" t="n">
        <f aca="false">IF(LowCashMode="ON",LOW_CASH_MODE!M216,REBALANCE_PLAN!R216)</f>
        <v>1</v>
      </c>
      <c r="H216" s="5" t="n">
        <f aca="false">F216+G216</f>
        <v>2</v>
      </c>
      <c r="I216" s="12" t="n">
        <f aca="false">H216*E216</f>
        <v>61.46</v>
      </c>
      <c r="J216" s="5" t="str">
        <f aca="false">IF(H216=0,"—",IF(LowCashMode="ON",IF(LOW_CASH_MODE!R216="BUY NOW","BUY NOW","DEFER"),IF(REBALANCE_PLAN!M216&lt;&gt;"None","TRANSFER FIRST","BUY")))</f>
        <v>BUY</v>
      </c>
    </row>
    <row r="217" customFormat="false" ht="15" hidden="false" customHeight="false" outlineLevel="0" collapsed="false">
      <c r="A217" s="5" t="n">
        <f aca="false">ITEM_MASTER_CLEAN!A217</f>
        <v>216</v>
      </c>
      <c r="B217" s="5" t="n">
        <f aca="false">ITEM_MASTER_CLEAN!B217</f>
        <v>47498</v>
      </c>
      <c r="C217" s="5" t="str">
        <f aca="false">ITEM_MASTER_CLEAN!C217</f>
        <v>ROLL CASH THERMAL 3 1/8 X 210'   50</v>
      </c>
      <c r="D217" s="5" t="str">
        <f aca="false">ITEM_MASTER_CLEAN!E217</f>
        <v>JL INC</v>
      </c>
      <c r="E217" s="12" t="n">
        <f aca="false">ITEM_MASTER_CLEAN!F217</f>
        <v>29.06</v>
      </c>
      <c r="F217" s="5" t="n">
        <f aca="false">IF(LowCashMode="ON",LOW_CASH_MODE!L217,REBALANCE_PLAN!Q217)</f>
        <v>0</v>
      </c>
      <c r="G217" s="5" t="n">
        <f aca="false">IF(LowCashMode="ON",LOW_CASH_MODE!M217,REBALANCE_PLAN!R217)</f>
        <v>50</v>
      </c>
      <c r="H217" s="5" t="n">
        <f aca="false">F217+G217</f>
        <v>50</v>
      </c>
      <c r="I217" s="12" t="n">
        <f aca="false">H217*E217</f>
        <v>1453</v>
      </c>
      <c r="J217" s="5" t="str">
        <f aca="false">IF(H217=0,"—",IF(LowCashMode="ON",IF(LOW_CASH_MODE!R217="BUY NOW","BUY NOW","DEFER"),IF(REBALANCE_PLAN!M217&lt;&gt;"None","TRANSFER FIRST","BUY")))</f>
        <v>BUY</v>
      </c>
    </row>
    <row r="218" customFormat="false" ht="15" hidden="false" customHeight="false" outlineLevel="0" collapsed="false">
      <c r="A218" s="5" t="n">
        <f aca="false">ITEM_MASTER_CLEAN!A218</f>
        <v>217</v>
      </c>
      <c r="B218" s="5" t="n">
        <f aca="false">ITEM_MASTER_CLEAN!B218</f>
        <v>12609</v>
      </c>
      <c r="C218" s="5" t="str">
        <f aca="false">ITEM_MASTER_CLEAN!C218</f>
        <v>BAGS GROCERY BROWN  8LB 500</v>
      </c>
      <c r="D218" s="5" t="str">
        <f aca="false">ITEM_MASTER_CLEAN!E218</f>
        <v>FRONTENAC</v>
      </c>
      <c r="E218" s="12" t="n">
        <f aca="false">ITEM_MASTER_CLEAN!F218</f>
        <v>9.86</v>
      </c>
      <c r="F218" s="5" t="n">
        <f aca="false">IF(LowCashMode="ON",LOW_CASH_MODE!L218,REBALANCE_PLAN!Q218)</f>
        <v>12</v>
      </c>
      <c r="G218" s="5" t="n">
        <f aca="false">IF(LowCashMode="ON",LOW_CASH_MODE!M218,REBALANCE_PLAN!R218)</f>
        <v>6</v>
      </c>
      <c r="H218" s="5" t="n">
        <f aca="false">F218+G218</f>
        <v>18</v>
      </c>
      <c r="I218" s="12" t="n">
        <f aca="false">H218*E218</f>
        <v>177.48</v>
      </c>
      <c r="J218" s="5" t="str">
        <f aca="false">IF(H218=0,"—",IF(LowCashMode="ON",IF(LOW_CASH_MODE!R218="BUY NOW","BUY NOW","DEFER"),IF(REBALANCE_PLAN!M218&lt;&gt;"None","TRANSFER FIRST","BUY")))</f>
        <v>BUY</v>
      </c>
    </row>
    <row r="219" customFormat="false" ht="15" hidden="false" customHeight="false" outlineLevel="0" collapsed="false">
      <c r="A219" s="5" t="n">
        <f aca="false">ITEM_MASTER_CLEAN!A219</f>
        <v>218</v>
      </c>
      <c r="B219" s="5" t="n">
        <f aca="false">ITEM_MASTER_CLEAN!B219</f>
        <v>12617</v>
      </c>
      <c r="C219" s="5" t="str">
        <f aca="false">ITEM_MASTER_CLEAN!C219</f>
        <v>BAGS GROCERY BROWN 10LB 500</v>
      </c>
      <c r="D219" s="5" t="str">
        <f aca="false">ITEM_MASTER_CLEAN!E219</f>
        <v>SERV-A</v>
      </c>
      <c r="E219" s="12" t="n">
        <f aca="false">ITEM_MASTER_CLEAN!F219</f>
        <v>12.28</v>
      </c>
      <c r="F219" s="5" t="n">
        <f aca="false">IF(LowCashMode="ON",LOW_CASH_MODE!L219,REBALANCE_PLAN!Q219)</f>
        <v>6</v>
      </c>
      <c r="G219" s="5" t="n">
        <f aca="false">IF(LowCashMode="ON",LOW_CASH_MODE!M219,REBALANCE_PLAN!R219)</f>
        <v>2</v>
      </c>
      <c r="H219" s="5" t="n">
        <f aca="false">F219+G219</f>
        <v>8</v>
      </c>
      <c r="I219" s="12" t="n">
        <f aca="false">H219*E219</f>
        <v>98.24</v>
      </c>
      <c r="J219" s="5" t="str">
        <f aca="false">IF(H219=0,"—",IF(LowCashMode="ON",IF(LOW_CASH_MODE!R219="BUY NOW","BUY NOW","DEFER"),IF(REBALANCE_PLAN!M219&lt;&gt;"None","TRANSFER FIRST","BUY")))</f>
        <v>BUY</v>
      </c>
    </row>
    <row r="220" customFormat="false" ht="15" hidden="false" customHeight="false" outlineLevel="0" collapsed="false">
      <c r="A220" s="5" t="n">
        <f aca="false">ITEM_MASTER_CLEAN!A220</f>
        <v>219</v>
      </c>
      <c r="B220" s="5" t="n">
        <f aca="false">ITEM_MASTER_CLEAN!B220</f>
        <v>12633</v>
      </c>
      <c r="C220" s="5" t="str">
        <f aca="false">ITEM_MASTER_CLEAN!C220</f>
        <v>BAGS GROCERY BROWN 14LB 500</v>
      </c>
      <c r="D220" s="5" t="str">
        <f aca="false">ITEM_MASTER_CLEAN!E220</f>
        <v>SERV-A</v>
      </c>
      <c r="E220" s="12" t="n">
        <f aca="false">ITEM_MASTER_CLEAN!F220</f>
        <v>11.84</v>
      </c>
      <c r="F220" s="5" t="n">
        <f aca="false">IF(LowCashMode="ON",LOW_CASH_MODE!L220,REBALANCE_PLAN!Q220)</f>
        <v>0</v>
      </c>
      <c r="G220" s="5" t="n">
        <f aca="false">IF(LowCashMode="ON",LOW_CASH_MODE!M220,REBALANCE_PLAN!R220)</f>
        <v>0</v>
      </c>
      <c r="H220" s="5" t="n">
        <f aca="false">F220+G220</f>
        <v>0</v>
      </c>
      <c r="I220" s="12" t="n">
        <f aca="false">H220*E220</f>
        <v>0</v>
      </c>
      <c r="J220" s="5" t="str">
        <f aca="false">IF(H220=0,"—",IF(LowCashMode="ON",IF(LOW_CASH_MODE!R220="BUY NOW","BUY NOW","DEFER"),IF(REBALANCE_PLAN!M220&lt;&gt;"None","TRANSFER FIRST","BUY")))</f>
        <v>—</v>
      </c>
    </row>
    <row r="221" customFormat="false" ht="15" hidden="false" customHeight="false" outlineLevel="0" collapsed="false">
      <c r="A221" s="5" t="n">
        <f aca="false">ITEM_MASTER_CLEAN!A221</f>
        <v>220</v>
      </c>
      <c r="B221" s="5" t="n">
        <f aca="false">ITEM_MASTER_CLEAN!B221</f>
        <v>12585</v>
      </c>
      <c r="C221" s="5" t="str">
        <f aca="false">ITEM_MASTER_CLEAN!C221</f>
        <v>BAGS GROCERY  30LB  DD50  500UN</v>
      </c>
      <c r="D221" s="5" t="str">
        <f aca="false">ITEM_MASTER_CLEAN!E221</f>
        <v>FRONTENAC</v>
      </c>
      <c r="E221" s="12" t="n">
        <f aca="false">ITEM_MASTER_CLEAN!F221</f>
        <v>9.18</v>
      </c>
      <c r="F221" s="5" t="n">
        <f aca="false">IF(LowCashMode="ON",LOW_CASH_MODE!L221,REBALANCE_PLAN!Q221)</f>
        <v>5</v>
      </c>
      <c r="G221" s="5" t="n">
        <f aca="false">IF(LowCashMode="ON",LOW_CASH_MODE!M221,REBALANCE_PLAN!R221)</f>
        <v>3</v>
      </c>
      <c r="H221" s="5" t="n">
        <f aca="false">F221+G221</f>
        <v>8</v>
      </c>
      <c r="I221" s="12" t="n">
        <f aca="false">H221*E221</f>
        <v>73.44</v>
      </c>
      <c r="J221" s="5" t="str">
        <f aca="false">IF(H221=0,"—",IF(LowCashMode="ON",IF(LOW_CASH_MODE!R221="BUY NOW","BUY NOW","DEFER"),IF(REBALANCE_PLAN!M221&lt;&gt;"None","TRANSFER FIRST","BUY")))</f>
        <v>BUY</v>
      </c>
    </row>
    <row r="222" customFormat="false" ht="15" hidden="false" customHeight="false" outlineLevel="0" collapsed="false">
      <c r="A222" s="5" t="n">
        <f aca="false">ITEM_MASTER_CLEAN!A222</f>
        <v>221</v>
      </c>
      <c r="B222" s="5" t="n">
        <f aca="false">ITEM_MASTER_CLEAN!B222</f>
        <v>22573</v>
      </c>
      <c r="C222" s="5" t="str">
        <f aca="false">ITEM_MASTER_CLEAN!C222</f>
        <v>BAG KFT W/HANDLE 14X10X16  200</v>
      </c>
      <c r="D222" s="5" t="str">
        <f aca="false">ITEM_MASTER_CLEAN!E222</f>
        <v>FRONTENAC</v>
      </c>
      <c r="E222" s="12" t="n">
        <f aca="false">ITEM_MASTER_CLEAN!F222</f>
        <v>7.64</v>
      </c>
      <c r="F222" s="5" t="n">
        <f aca="false">IF(LowCashMode="ON",LOW_CASH_MODE!L222,REBALANCE_PLAN!Q222)</f>
        <v>0</v>
      </c>
      <c r="G222" s="5" t="n">
        <f aca="false">IF(LowCashMode="ON",LOW_CASH_MODE!M222,REBALANCE_PLAN!R222)</f>
        <v>5</v>
      </c>
      <c r="H222" s="5" t="n">
        <f aca="false">F222+G222</f>
        <v>5</v>
      </c>
      <c r="I222" s="12" t="n">
        <f aca="false">H222*E222</f>
        <v>38.2</v>
      </c>
      <c r="J222" s="5" t="str">
        <f aca="false">IF(H222=0,"—",IF(LowCashMode="ON",IF(LOW_CASH_MODE!R222="BUY NOW","BUY NOW","DEFER"),IF(REBALANCE_PLAN!M222&lt;&gt;"None","TRANSFER FIRST","BUY")))</f>
        <v>BUY</v>
      </c>
    </row>
    <row r="223" customFormat="false" ht="15" hidden="false" customHeight="false" outlineLevel="0" collapsed="false">
      <c r="A223" s="5" t="n">
        <f aca="false">ITEM_MASTER_CLEAN!A223</f>
        <v>222</v>
      </c>
      <c r="B223" s="5" t="n">
        <f aca="false">ITEM_MASTER_CLEAN!B223</f>
        <v>28466</v>
      </c>
      <c r="C223" s="5" t="str">
        <f aca="false">ITEM_MASTER_CLEAN!C223</f>
        <v>NAPKIN COCTAIL 4M</v>
      </c>
      <c r="D223" s="5" t="str">
        <f aca="false">ITEM_MASTER_CLEAN!E223</f>
        <v>DORFIN</v>
      </c>
      <c r="E223" s="12" t="n">
        <f aca="false">ITEM_MASTER_CLEAN!F223</f>
        <v>13.49</v>
      </c>
      <c r="F223" s="5" t="n">
        <f aca="false">IF(LowCashMode="ON",LOW_CASH_MODE!L223,REBALANCE_PLAN!Q223)</f>
        <v>8</v>
      </c>
      <c r="G223" s="5" t="n">
        <f aca="false">IF(LowCashMode="ON",LOW_CASH_MODE!M223,REBALANCE_PLAN!R223)</f>
        <v>3</v>
      </c>
      <c r="H223" s="5" t="n">
        <f aca="false">F223+G223</f>
        <v>11</v>
      </c>
      <c r="I223" s="12" t="n">
        <f aca="false">H223*E223</f>
        <v>148.39</v>
      </c>
      <c r="J223" s="5" t="str">
        <f aca="false">IF(H223=0,"—",IF(LowCashMode="ON",IF(LOW_CASH_MODE!R223="BUY NOW","BUY NOW","DEFER"),IF(REBALANCE_PLAN!M223&lt;&gt;"None","TRANSFER FIRST","BUY")))</f>
        <v>BUY</v>
      </c>
    </row>
    <row r="224" customFormat="false" ht="15" hidden="false" customHeight="false" outlineLevel="0" collapsed="false">
      <c r="A224" s="5" t="n">
        <f aca="false">ITEM_MASTER_CLEAN!A224</f>
        <v>223</v>
      </c>
      <c r="B224" s="5" t="n">
        <f aca="false">ITEM_MASTER_CLEAN!B224</f>
        <v>31649</v>
      </c>
      <c r="C224" s="5" t="str">
        <f aca="false">ITEM_MASTER_CLEAN!C224</f>
        <v>NAPKIN MEALMATES 1PL KRAFT 12X300</v>
      </c>
      <c r="D224" s="5" t="str">
        <f aca="false">ITEM_MASTER_CLEAN!E224</f>
        <v>KRUGER</v>
      </c>
      <c r="E224" s="12" t="n">
        <f aca="false">ITEM_MASTER_CLEAN!F224</f>
        <v>9.12</v>
      </c>
      <c r="F224" s="5" t="n">
        <f aca="false">IF(LowCashMode="ON",LOW_CASH_MODE!L224,REBALANCE_PLAN!Q224)</f>
        <v>12</v>
      </c>
      <c r="G224" s="5" t="n">
        <f aca="false">IF(LowCashMode="ON",LOW_CASH_MODE!M224,REBALANCE_PLAN!R224)</f>
        <v>0</v>
      </c>
      <c r="H224" s="5" t="n">
        <f aca="false">F224+G224</f>
        <v>12</v>
      </c>
      <c r="I224" s="12" t="n">
        <f aca="false">H224*E224</f>
        <v>109.44</v>
      </c>
      <c r="J224" s="5" t="str">
        <f aca="false">IF(H224=0,"—",IF(LowCashMode="ON",IF(LOW_CASH_MODE!R224="BUY NOW","BUY NOW","DEFER"),IF(REBALANCE_PLAN!M224&lt;&gt;"None","TRANSFER FIRST","BUY")))</f>
        <v>BUY</v>
      </c>
    </row>
    <row r="225" customFormat="false" ht="15" hidden="false" customHeight="false" outlineLevel="0" collapsed="false">
      <c r="A225" s="5" t="n">
        <f aca="false">ITEM_MASTER_CLEAN!A225</f>
        <v>224</v>
      </c>
      <c r="B225" s="5" t="n">
        <f aca="false">ITEM_MASTER_CLEAN!B225</f>
        <v>66712</v>
      </c>
      <c r="C225" s="5" t="str">
        <f aca="false">ITEM_MASTER_CLEAN!C225</f>
        <v>SANITIZER STERA SHEEN 010425 1UN</v>
      </c>
      <c r="D225" s="5" t="str">
        <f aca="false">ITEM_MASTER_CLEAN!E225</f>
        <v>BAZINET TA</v>
      </c>
      <c r="E225" s="12" t="n">
        <f aca="false">ITEM_MASTER_CLEAN!F225</f>
        <v>18.63</v>
      </c>
      <c r="F225" s="5" t="n">
        <f aca="false">IF(LowCashMode="ON",LOW_CASH_MODE!L225,REBALANCE_PLAN!Q225)</f>
        <v>5</v>
      </c>
      <c r="G225" s="5" t="n">
        <f aca="false">IF(LowCashMode="ON",LOW_CASH_MODE!M225,REBALANCE_PLAN!R225)</f>
        <v>1</v>
      </c>
      <c r="H225" s="5" t="n">
        <f aca="false">F225+G225</f>
        <v>6</v>
      </c>
      <c r="I225" s="12" t="n">
        <f aca="false">H225*E225</f>
        <v>111.78</v>
      </c>
      <c r="J225" s="5" t="str">
        <f aca="false">IF(H225=0,"—",IF(LowCashMode="ON",IF(LOW_CASH_MODE!R225="BUY NOW","BUY NOW","DEFER"),IF(REBALANCE_PLAN!M225&lt;&gt;"None","TRANSFER FIRST","BUY")))</f>
        <v>BUY</v>
      </c>
    </row>
    <row r="226" customFormat="false" ht="15" hidden="false" customHeight="false" outlineLevel="0" collapsed="false">
      <c r="A226" s="5" t="n">
        <f aca="false">ITEM_MASTER_CLEAN!A226</f>
        <v>225</v>
      </c>
      <c r="B226" s="5" t="n">
        <f aca="false">ITEM_MASTER_CLEAN!B226</f>
        <v>66713</v>
      </c>
      <c r="C226" s="5" t="str">
        <f aca="false">ITEM_MASTER_CLEAN!C226</f>
        <v>LUBRICANT 047518 X1UN</v>
      </c>
      <c r="D226" s="5" t="str">
        <f aca="false">ITEM_MASTER_CLEAN!E226</f>
        <v>BAZINET TA</v>
      </c>
      <c r="E226" s="12" t="n">
        <f aca="false">ITEM_MASTER_CLEAN!F226</f>
        <v>12.28</v>
      </c>
      <c r="F226" s="5" t="n">
        <f aca="false">IF(LowCashMode="ON",LOW_CASH_MODE!L226,REBALANCE_PLAN!Q226)</f>
        <v>2</v>
      </c>
      <c r="G226" s="5" t="n">
        <f aca="false">IF(LowCashMode="ON",LOW_CASH_MODE!M226,REBALANCE_PLAN!R226)</f>
        <v>6</v>
      </c>
      <c r="H226" s="5" t="n">
        <f aca="false">F226+G226</f>
        <v>8</v>
      </c>
      <c r="I226" s="12" t="n">
        <f aca="false">H226*E226</f>
        <v>98.24</v>
      </c>
      <c r="J226" s="5" t="str">
        <f aca="false">IF(H226=0,"—",IF(LowCashMode="ON",IF(LOW_CASH_MODE!R226="BUY NOW","BUY NOW","DEFER"),IF(REBALANCE_PLAN!M226&lt;&gt;"None","TRANSFER FIRST","BUY")))</f>
        <v>BUY</v>
      </c>
    </row>
    <row r="227" customFormat="false" ht="15" hidden="false" customHeight="false" outlineLevel="0" collapsed="false">
      <c r="A227" s="5" t="n">
        <f aca="false">ITEM_MASTER_CLEAN!A227</f>
        <v>226</v>
      </c>
      <c r="B227" s="5" t="n">
        <f aca="false">ITEM_MASTER_CLEAN!B227</f>
        <v>49215</v>
      </c>
      <c r="C227" s="5" t="str">
        <f aca="false">ITEM_MASTER_CLEAN!C227</f>
        <v>TOWEL ROLL 8"X205' WHITE  24RL</v>
      </c>
      <c r="D227" s="5" t="str">
        <f aca="false">ITEM_MASTER_CLEAN!E227</f>
        <v>KRUGER</v>
      </c>
      <c r="E227" s="12" t="n">
        <f aca="false">ITEM_MASTER_CLEAN!F227</f>
        <v>18.84</v>
      </c>
      <c r="F227" s="5" t="n">
        <f aca="false">IF(LowCashMode="ON",LOW_CASH_MODE!L227,REBALANCE_PLAN!Q227)</f>
        <v>5</v>
      </c>
      <c r="G227" s="5" t="n">
        <f aca="false">IF(LowCashMode="ON",LOW_CASH_MODE!M227,REBALANCE_PLAN!R227)</f>
        <v>1</v>
      </c>
      <c r="H227" s="5" t="n">
        <f aca="false">F227+G227</f>
        <v>6</v>
      </c>
      <c r="I227" s="12" t="n">
        <f aca="false">H227*E227</f>
        <v>113.04</v>
      </c>
      <c r="J227" s="5" t="str">
        <f aca="false">IF(H227=0,"—",IF(LowCashMode="ON",IF(LOW_CASH_MODE!R227="BUY NOW","BUY NOW","DEFER"),IF(REBALANCE_PLAN!M227&lt;&gt;"None","TRANSFER FIRST","BUY")))</f>
        <v>BUY</v>
      </c>
    </row>
    <row r="228" customFormat="false" ht="15" hidden="false" customHeight="false" outlineLevel="0" collapsed="false">
      <c r="A228" s="5" t="n">
        <f aca="false">ITEM_MASTER_CLEAN!A228</f>
        <v>227</v>
      </c>
      <c r="B228" s="5" t="n">
        <f aca="false">ITEM_MASTER_CLEAN!B228</f>
        <v>62330</v>
      </c>
      <c r="C228" s="5" t="str">
        <f aca="false">ITEM_MASTER_CLEAN!C228</f>
        <v>TOWEL ROLL WHITE 2 PLY 24X1RL</v>
      </c>
      <c r="D228" s="5" t="str">
        <f aca="false">ITEM_MASTER_CLEAN!E228</f>
        <v>SNOWSOFT</v>
      </c>
      <c r="E228" s="12" t="n">
        <f aca="false">ITEM_MASTER_CLEAN!F228</f>
        <v>23.89</v>
      </c>
      <c r="F228" s="5" t="n">
        <f aca="false">IF(LowCashMode="ON",LOW_CASH_MODE!L228,REBALANCE_PLAN!Q228)</f>
        <v>24</v>
      </c>
      <c r="G228" s="5" t="n">
        <f aca="false">IF(LowCashMode="ON",LOW_CASH_MODE!M228,REBALANCE_PLAN!R228)</f>
        <v>24</v>
      </c>
      <c r="H228" s="5" t="n">
        <f aca="false">F228+G228</f>
        <v>48</v>
      </c>
      <c r="I228" s="12" t="n">
        <f aca="false">H228*E228</f>
        <v>1146.72</v>
      </c>
      <c r="J228" s="5" t="str">
        <f aca="false">IF(H228=0,"—",IF(LowCashMode="ON",IF(LOW_CASH_MODE!R228="BUY NOW","BUY NOW","DEFER"),IF(REBALANCE_PLAN!M228&lt;&gt;"None","TRANSFER FIRST","BUY")))</f>
        <v>BUY</v>
      </c>
    </row>
    <row r="229" customFormat="false" ht="15" hidden="false" customHeight="false" outlineLevel="0" collapsed="false">
      <c r="A229" s="5" t="n">
        <f aca="false">ITEM_MASTER_CLEAN!A229</f>
        <v>228</v>
      </c>
      <c r="B229" s="5" t="n">
        <f aca="false">ITEM_MASTER_CLEAN!B229</f>
        <v>63324</v>
      </c>
      <c r="C229" s="5" t="str">
        <f aca="false">ITEM_MASTER_CLEAN!C229</f>
        <v>NET FOR BEARD BROWN POLYESTER 100</v>
      </c>
      <c r="D229" s="5" t="str">
        <f aca="false">ITEM_MASTER_CLEAN!E229</f>
        <v>CARROUSEL</v>
      </c>
      <c r="E229" s="12" t="n">
        <f aca="false">ITEM_MASTER_CLEAN!F229</f>
        <v>7.27</v>
      </c>
      <c r="F229" s="5" t="n">
        <f aca="false">IF(LowCashMode="ON",LOW_CASH_MODE!L229,REBALANCE_PLAN!Q229)</f>
        <v>1</v>
      </c>
      <c r="G229" s="5" t="n">
        <f aca="false">IF(LowCashMode="ON",LOW_CASH_MODE!M229,REBALANCE_PLAN!R229)</f>
        <v>5</v>
      </c>
      <c r="H229" s="5" t="n">
        <f aca="false">F229+G229</f>
        <v>6</v>
      </c>
      <c r="I229" s="12" t="n">
        <f aca="false">H229*E229</f>
        <v>43.62</v>
      </c>
      <c r="J229" s="5" t="str">
        <f aca="false">IF(H229=0,"—",IF(LowCashMode="ON",IF(LOW_CASH_MODE!R229="BUY NOW","BUY NOW","DEFER"),IF(REBALANCE_PLAN!M229&lt;&gt;"None","TRANSFER FIRST","BUY")))</f>
        <v>BUY</v>
      </c>
    </row>
    <row r="230" customFormat="false" ht="15" hidden="false" customHeight="false" outlineLevel="0" collapsed="false">
      <c r="A230" s="5" t="n">
        <f aca="false">ITEM_MASTER_CLEAN!A230</f>
        <v>229</v>
      </c>
      <c r="B230" s="5" t="n">
        <f aca="false">ITEM_MASTER_CLEAN!B230</f>
        <v>63341</v>
      </c>
      <c r="C230" s="5" t="str">
        <f aca="false">ITEM_MASTER_CLEAN!C230</f>
        <v>HAIRNET INVISIBLE 89-420 1X144UN</v>
      </c>
      <c r="D230" s="5" t="str">
        <f aca="false">ITEM_MASTER_CLEAN!E230</f>
        <v>TOUCH</v>
      </c>
      <c r="E230" s="12" t="n">
        <f aca="false">ITEM_MASTER_CLEAN!F230</f>
        <v>4.11</v>
      </c>
      <c r="F230" s="5" t="n">
        <f aca="false">IF(LowCashMode="ON",LOW_CASH_MODE!L230,REBALANCE_PLAN!Q230)</f>
        <v>0</v>
      </c>
      <c r="G230" s="5" t="n">
        <f aca="false">IF(LowCashMode="ON",LOW_CASH_MODE!M230,REBALANCE_PLAN!R230)</f>
        <v>0</v>
      </c>
      <c r="H230" s="5" t="n">
        <f aca="false">F230+G230</f>
        <v>0</v>
      </c>
      <c r="I230" s="12" t="n">
        <f aca="false">H230*E230</f>
        <v>0</v>
      </c>
      <c r="J230" s="5" t="str">
        <f aca="false">IF(H230=0,"—",IF(LowCashMode="ON",IF(LOW_CASH_MODE!R230="BUY NOW","BUY NOW","DEFER"),IF(REBALANCE_PLAN!M230&lt;&gt;"None","TRANSFER FIRST","BUY")))</f>
        <v>—</v>
      </c>
    </row>
    <row r="231" customFormat="false" ht="15" hidden="false" customHeight="false" outlineLevel="0" collapsed="false">
      <c r="A231" s="5" t="n">
        <f aca="false">ITEM_MASTER_CLEAN!A231</f>
        <v>230</v>
      </c>
      <c r="B231" s="5" t="n">
        <f aca="false">ITEM_MASTER_CLEAN!B231</f>
        <v>62749</v>
      </c>
      <c r="C231" s="5" t="str">
        <f aca="false">ITEM_MASTER_CLEAN!C231</f>
        <v>MASK DISP BLUE MEDICAL DISTECH 50UN</v>
      </c>
      <c r="D231" s="5" t="str">
        <f aca="false">ITEM_MASTER_CLEAN!E231</f>
        <v>MEDICOM</v>
      </c>
      <c r="E231" s="12" t="n">
        <f aca="false">ITEM_MASTER_CLEAN!F231</f>
        <v>6.38</v>
      </c>
      <c r="F231" s="5" t="n">
        <f aca="false">IF(LowCashMode="ON",LOW_CASH_MODE!L231,REBALANCE_PLAN!Q231)</f>
        <v>50</v>
      </c>
      <c r="G231" s="5" t="n">
        <f aca="false">IF(LowCashMode="ON",LOW_CASH_MODE!M231,REBALANCE_PLAN!R231)</f>
        <v>50</v>
      </c>
      <c r="H231" s="5" t="n">
        <f aca="false">F231+G231</f>
        <v>100</v>
      </c>
      <c r="I231" s="12" t="n">
        <f aca="false">H231*E231</f>
        <v>638</v>
      </c>
      <c r="J231" s="5" t="str">
        <f aca="false">IF(H231=0,"—",IF(LowCashMode="ON",IF(LOW_CASH_MODE!R231="BUY NOW","BUY NOW","DEFER"),IF(REBALANCE_PLAN!M231&lt;&gt;"None","TRANSFER FIRST","BUY")))</f>
        <v>BUY</v>
      </c>
    </row>
    <row r="232" customFormat="false" ht="15" hidden="false" customHeight="false" outlineLevel="0" collapsed="false">
      <c r="A232" s="5" t="n">
        <f aca="false">ITEM_MASTER_CLEAN!A232</f>
        <v>231</v>
      </c>
      <c r="B232" s="5" t="n">
        <f aca="false">ITEM_MASTER_CLEAN!B232</f>
        <v>62819</v>
      </c>
      <c r="C232" s="5" t="str">
        <f aca="false">ITEM_MASTER_CLEAN!C232</f>
        <v>GLOVES TPE CLR PDR FREE SM 100UN</v>
      </c>
      <c r="D232" s="5" t="str">
        <f aca="false">ITEM_MASTER_CLEAN!E232</f>
        <v>DORFIN</v>
      </c>
      <c r="E232" s="12" t="n">
        <f aca="false">ITEM_MASTER_CLEAN!F232</f>
        <v>6.54</v>
      </c>
      <c r="F232" s="5" t="n">
        <f aca="false">IF(LowCashMode="ON",LOW_CASH_MODE!L232,REBALANCE_PLAN!Q232)</f>
        <v>4</v>
      </c>
      <c r="G232" s="5" t="n">
        <f aca="false">IF(LowCashMode="ON",LOW_CASH_MODE!M232,REBALANCE_PLAN!R232)</f>
        <v>6</v>
      </c>
      <c r="H232" s="5" t="n">
        <f aca="false">F232+G232</f>
        <v>10</v>
      </c>
      <c r="I232" s="12" t="n">
        <f aca="false">H232*E232</f>
        <v>65.4</v>
      </c>
      <c r="J232" s="5" t="str">
        <f aca="false">IF(H232=0,"—",IF(LowCashMode="ON",IF(LOW_CASH_MODE!R232="BUY NOW","BUY NOW","DEFER"),IF(REBALANCE_PLAN!M232&lt;&gt;"None","TRANSFER FIRST","BUY")))</f>
        <v>BUY</v>
      </c>
    </row>
    <row r="233" customFormat="false" ht="15" hidden="false" customHeight="false" outlineLevel="0" collapsed="false">
      <c r="A233" s="5" t="n">
        <f aca="false">ITEM_MASTER_CLEAN!A233</f>
        <v>232</v>
      </c>
      <c r="B233" s="5" t="n">
        <f aca="false">ITEM_MASTER_CLEAN!B233</f>
        <v>62844</v>
      </c>
      <c r="C233" s="5" t="str">
        <f aca="false">ITEM_MASTER_CLEAN!C233</f>
        <v>GLOVE TPE CLR PDF FREE MED 100UN</v>
      </c>
      <c r="D233" s="5" t="str">
        <f aca="false">ITEM_MASTER_CLEAN!E233</f>
        <v>DORFIN</v>
      </c>
      <c r="E233" s="12" t="n">
        <f aca="false">ITEM_MASTER_CLEAN!F233</f>
        <v>12.21</v>
      </c>
      <c r="F233" s="5" t="n">
        <f aca="false">IF(LowCashMode="ON",LOW_CASH_MODE!L233,REBALANCE_PLAN!Q233)</f>
        <v>5</v>
      </c>
      <c r="G233" s="5" t="n">
        <f aca="false">IF(LowCashMode="ON",LOW_CASH_MODE!M233,REBALANCE_PLAN!R233)</f>
        <v>1</v>
      </c>
      <c r="H233" s="5" t="n">
        <f aca="false">F233+G233</f>
        <v>6</v>
      </c>
      <c r="I233" s="12" t="n">
        <f aca="false">H233*E233</f>
        <v>73.26</v>
      </c>
      <c r="J233" s="5" t="str">
        <f aca="false">IF(H233=0,"—",IF(LowCashMode="ON",IF(LOW_CASH_MODE!R233="BUY NOW","BUY NOW","DEFER"),IF(REBALANCE_PLAN!M233&lt;&gt;"None","TRANSFER FIRST","BUY")))</f>
        <v>BUY</v>
      </c>
    </row>
    <row r="234" customFormat="false" ht="15" hidden="false" customHeight="false" outlineLevel="0" collapsed="false">
      <c r="A234" s="5" t="n">
        <f aca="false">ITEM_MASTER_CLEAN!A234</f>
        <v>233</v>
      </c>
      <c r="B234" s="5" t="n">
        <f aca="false">ITEM_MASTER_CLEAN!B234</f>
        <v>62816</v>
      </c>
      <c r="C234" s="5" t="str">
        <f aca="false">ITEM_MASTER_CLEAN!C234</f>
        <v>GLOVES TPE CLR PDR FREE LG 100</v>
      </c>
      <c r="D234" s="5" t="str">
        <f aca="false">ITEM_MASTER_CLEAN!E234</f>
        <v>DORFIN</v>
      </c>
      <c r="E234" s="12" t="n">
        <f aca="false">ITEM_MASTER_CLEAN!F234</f>
        <v>12.55</v>
      </c>
      <c r="F234" s="5" t="n">
        <f aca="false">IF(LowCashMode="ON",LOW_CASH_MODE!L234,REBALANCE_PLAN!Q234)</f>
        <v>5</v>
      </c>
      <c r="G234" s="5" t="n">
        <f aca="false">IF(LowCashMode="ON",LOW_CASH_MODE!M234,REBALANCE_PLAN!R234)</f>
        <v>1</v>
      </c>
      <c r="H234" s="5" t="n">
        <f aca="false">F234+G234</f>
        <v>6</v>
      </c>
      <c r="I234" s="12" t="n">
        <f aca="false">H234*E234</f>
        <v>75.3</v>
      </c>
      <c r="J234" s="5" t="str">
        <f aca="false">IF(H234=0,"—",IF(LowCashMode="ON",IF(LOW_CASH_MODE!R234="BUY NOW","BUY NOW","DEFER"),IF(REBALANCE_PLAN!M234&lt;&gt;"None","TRANSFER FIRST","BUY")))</f>
        <v>BUY</v>
      </c>
    </row>
    <row r="235" customFormat="false" ht="15" hidden="false" customHeight="false" outlineLevel="0" collapsed="false">
      <c r="A235" s="5" t="n">
        <f aca="false">ITEM_MASTER_CLEAN!A235</f>
        <v>234</v>
      </c>
      <c r="B235" s="5" t="n">
        <f aca="false">ITEM_MASTER_CLEAN!B235</f>
        <v>62815</v>
      </c>
      <c r="C235" s="5" t="str">
        <f aca="false">ITEM_MASTER_CLEAN!C235</f>
        <v>GLOVES TPE CLR PDR FREE XL 100</v>
      </c>
      <c r="D235" s="5" t="str">
        <f aca="false">ITEM_MASTER_CLEAN!E235</f>
        <v>DORFIN</v>
      </c>
      <c r="E235" s="12" t="n">
        <f aca="false">ITEM_MASTER_CLEAN!F235</f>
        <v>10.73</v>
      </c>
      <c r="F235" s="5" t="n">
        <f aca="false">IF(LowCashMode="ON",LOW_CASH_MODE!L235,REBALANCE_PLAN!Q235)</f>
        <v>0</v>
      </c>
      <c r="G235" s="5" t="n">
        <f aca="false">IF(LowCashMode="ON",LOW_CASH_MODE!M235,REBALANCE_PLAN!R235)</f>
        <v>6</v>
      </c>
      <c r="H235" s="5" t="n">
        <f aca="false">F235+G235</f>
        <v>6</v>
      </c>
      <c r="I235" s="12" t="n">
        <f aca="false">H235*E235</f>
        <v>64.38</v>
      </c>
      <c r="J235" s="5" t="str">
        <f aca="false">IF(H235=0,"—",IF(LowCashMode="ON",IF(LOW_CASH_MODE!R235="BUY NOW","BUY NOW","DEFER"),IF(REBALANCE_PLAN!M235&lt;&gt;"None","TRANSFER FIRST","BUY")))</f>
        <v>BUY</v>
      </c>
    </row>
    <row r="236" customFormat="false" ht="15" hidden="false" customHeight="false" outlineLevel="0" collapsed="false">
      <c r="A236" s="5" t="n">
        <f aca="false">ITEM_MASTER_CLEAN!A236</f>
        <v>235</v>
      </c>
      <c r="B236" s="5" t="n">
        <f aca="false">ITEM_MASTER_CLEAN!B236</f>
        <v>38234</v>
      </c>
      <c r="C236" s="5" t="str">
        <f aca="false">ITEM_MASTER_CLEAN!C236</f>
        <v>GLOVES POLY DISP SM 9945B 500</v>
      </c>
      <c r="D236" s="5" t="str">
        <f aca="false">ITEM_MASTER_CLEAN!E236</f>
        <v>AMD MEDICO</v>
      </c>
      <c r="E236" s="12" t="n">
        <f aca="false">ITEM_MASTER_CLEAN!F236</f>
        <v>12.29</v>
      </c>
      <c r="F236" s="5" t="n">
        <f aca="false">IF(LowCashMode="ON",LOW_CASH_MODE!L236,REBALANCE_PLAN!Q236)</f>
        <v>2</v>
      </c>
      <c r="G236" s="5" t="n">
        <f aca="false">IF(LowCashMode="ON",LOW_CASH_MODE!M236,REBALANCE_PLAN!R236)</f>
        <v>4</v>
      </c>
      <c r="H236" s="5" t="n">
        <f aca="false">F236+G236</f>
        <v>6</v>
      </c>
      <c r="I236" s="12" t="n">
        <f aca="false">H236*E236</f>
        <v>73.74</v>
      </c>
      <c r="J236" s="5" t="str">
        <f aca="false">IF(H236=0,"—",IF(LowCashMode="ON",IF(LOW_CASH_MODE!R236="BUY NOW","BUY NOW","DEFER"),IF(REBALANCE_PLAN!M236&lt;&gt;"None","TRANSFER FIRST","BUY")))</f>
        <v>BUY</v>
      </c>
    </row>
    <row r="237" customFormat="false" ht="15" hidden="false" customHeight="false" outlineLevel="0" collapsed="false">
      <c r="A237" s="5" t="n">
        <f aca="false">ITEM_MASTER_CLEAN!A237</f>
        <v>236</v>
      </c>
      <c r="B237" s="5" t="n">
        <f aca="false">ITEM_MASTER_CLEAN!B237</f>
        <v>34246</v>
      </c>
      <c r="C237" s="5" t="str">
        <f aca="false">ITEM_MASTER_CLEAN!C237</f>
        <v>GLOVES POLY DISP MED 9945C 1X500</v>
      </c>
      <c r="D237" s="5" t="str">
        <f aca="false">ITEM_MASTER_CLEAN!E237</f>
        <v>AMD MEDICO</v>
      </c>
      <c r="E237" s="12" t="n">
        <f aca="false">ITEM_MASTER_CLEAN!F237</f>
        <v>8.41</v>
      </c>
      <c r="F237" s="5" t="n">
        <f aca="false">IF(LowCashMode="ON",LOW_CASH_MODE!L237,REBALANCE_PLAN!Q237)</f>
        <v>1</v>
      </c>
      <c r="G237" s="5" t="n">
        <f aca="false">IF(LowCashMode="ON",LOW_CASH_MODE!M237,REBALANCE_PLAN!R237)</f>
        <v>5</v>
      </c>
      <c r="H237" s="5" t="n">
        <f aca="false">F237+G237</f>
        <v>6</v>
      </c>
      <c r="I237" s="12" t="n">
        <f aca="false">H237*E237</f>
        <v>50.46</v>
      </c>
      <c r="J237" s="5" t="str">
        <f aca="false">IF(H237=0,"—",IF(LowCashMode="ON",IF(LOW_CASH_MODE!R237="BUY NOW","BUY NOW","DEFER"),IF(REBALANCE_PLAN!M237&lt;&gt;"None","TRANSFER FIRST","BUY")))</f>
        <v>BUY</v>
      </c>
    </row>
    <row r="238" customFormat="false" ht="15" hidden="false" customHeight="false" outlineLevel="0" collapsed="false">
      <c r="A238" s="5" t="n">
        <f aca="false">ITEM_MASTER_CLEAN!A238</f>
        <v>237</v>
      </c>
      <c r="B238" s="5" t="n">
        <f aca="false">ITEM_MASTER_CLEAN!B238</f>
        <v>62734</v>
      </c>
      <c r="C238" s="5" t="str">
        <f aca="false">ITEM_MASTER_CLEAN!C238</f>
        <v>GLOVES POLY DISP LRG 9945D 500</v>
      </c>
      <c r="D238" s="5" t="str">
        <f aca="false">ITEM_MASTER_CLEAN!E238</f>
        <v>TOUCH</v>
      </c>
      <c r="E238" s="12" t="n">
        <f aca="false">ITEM_MASTER_CLEAN!F238</f>
        <v>7.94</v>
      </c>
      <c r="F238" s="5" t="n">
        <f aca="false">IF(LowCashMode="ON",LOW_CASH_MODE!L238,REBALANCE_PLAN!Q238)</f>
        <v>6</v>
      </c>
      <c r="G238" s="5" t="n">
        <f aca="false">IF(LowCashMode="ON",LOW_CASH_MODE!M238,REBALANCE_PLAN!R238)</f>
        <v>2</v>
      </c>
      <c r="H238" s="5" t="n">
        <f aca="false">F238+G238</f>
        <v>8</v>
      </c>
      <c r="I238" s="12" t="n">
        <f aca="false">H238*E238</f>
        <v>63.52</v>
      </c>
      <c r="J238" s="5" t="str">
        <f aca="false">IF(H238=0,"—",IF(LowCashMode="ON",IF(LOW_CASH_MODE!R238="BUY NOW","BUY NOW","DEFER"),IF(REBALANCE_PLAN!M238&lt;&gt;"None","TRANSFER FIRST","BUY")))</f>
        <v>BUY</v>
      </c>
    </row>
    <row r="239" customFormat="false" ht="15" hidden="false" customHeight="false" outlineLevel="0" collapsed="false">
      <c r="A239" s="5" t="n">
        <f aca="false">ITEM_MASTER_CLEAN!A239</f>
        <v>238</v>
      </c>
      <c r="B239" s="5" t="n">
        <f aca="false">ITEM_MASTER_CLEAN!B239</f>
        <v>64410</v>
      </c>
      <c r="C239" s="5" t="str">
        <f aca="false">ITEM_MASTER_CLEAN!C239</f>
        <v>CLOTH JCHIX BLUE 12X24" 6279 1X100</v>
      </c>
      <c r="D239" s="5" t="str">
        <f aca="false">ITEM_MASTER_CLEAN!E239</f>
        <v>CHICOPEE</v>
      </c>
      <c r="E239" s="12" t="n">
        <f aca="false">ITEM_MASTER_CLEAN!F239</f>
        <v>13.39</v>
      </c>
      <c r="F239" s="5" t="n">
        <f aca="false">IF(LowCashMode="ON",LOW_CASH_MODE!L239,REBALANCE_PLAN!Q239)</f>
        <v>2</v>
      </c>
      <c r="G239" s="5" t="n">
        <f aca="false">IF(LowCashMode="ON",LOW_CASH_MODE!M239,REBALANCE_PLAN!R239)</f>
        <v>5</v>
      </c>
      <c r="H239" s="5" t="n">
        <f aca="false">F239+G239</f>
        <v>7</v>
      </c>
      <c r="I239" s="12" t="n">
        <f aca="false">H239*E239</f>
        <v>93.73</v>
      </c>
      <c r="J239" s="5" t="str">
        <f aca="false">IF(H239=0,"—",IF(LowCashMode="ON",IF(LOW_CASH_MODE!R239="BUY NOW","BUY NOW","DEFER"),IF(REBALANCE_PLAN!M239&lt;&gt;"None","TRANSFER FIRST","BUY")))</f>
        <v>BUY</v>
      </c>
    </row>
    <row r="240" customFormat="false" ht="15" hidden="false" customHeight="false" outlineLevel="0" collapsed="false">
      <c r="A240" s="5" t="n">
        <f aca="false">ITEM_MASTER_CLEAN!A240</f>
        <v>239</v>
      </c>
      <c r="B240" s="5" t="n">
        <f aca="false">ITEM_MASTER_CLEAN!B240</f>
        <v>26781</v>
      </c>
      <c r="C240" s="5" t="str">
        <f aca="false">ITEM_MASTER_CLEAN!C240</f>
        <v>MOP HEAD 650G 1</v>
      </c>
      <c r="D240" s="5" t="str">
        <f aca="false">ITEM_MASTER_CLEAN!E240</f>
        <v>AZ TRADING</v>
      </c>
      <c r="E240" s="12" t="n">
        <f aca="false">ITEM_MASTER_CLEAN!F240</f>
        <v>11.22</v>
      </c>
      <c r="F240" s="5" t="n">
        <f aca="false">IF(LowCashMode="ON",LOW_CASH_MODE!L240,REBALANCE_PLAN!Q240)</f>
        <v>2</v>
      </c>
      <c r="G240" s="5" t="n">
        <f aca="false">IF(LowCashMode="ON",LOW_CASH_MODE!M240,REBALANCE_PLAN!R240)</f>
        <v>0</v>
      </c>
      <c r="H240" s="5" t="n">
        <f aca="false">F240+G240</f>
        <v>2</v>
      </c>
      <c r="I240" s="12" t="n">
        <f aca="false">H240*E240</f>
        <v>22.44</v>
      </c>
      <c r="J240" s="5" t="str">
        <f aca="false">IF(H240=0,"—",IF(LowCashMode="ON",IF(LOW_CASH_MODE!R240="BUY NOW","BUY NOW","DEFER"),IF(REBALANCE_PLAN!M240&lt;&gt;"None","TRANSFER FIRST","BUY")))</f>
        <v>BUY</v>
      </c>
    </row>
    <row r="241" customFormat="false" ht="15" hidden="false" customHeight="false" outlineLevel="0" collapsed="false">
      <c r="A241" s="5" t="n">
        <f aca="false">ITEM_MASTER_CLEAN!A241</f>
        <v>240</v>
      </c>
      <c r="B241" s="5" t="n">
        <f aca="false">ITEM_MASTER_CLEAN!B241</f>
        <v>49219</v>
      </c>
      <c r="C241" s="5" t="str">
        <f aca="false">ITEM_MASTER_CLEAN!C241</f>
        <v>TOILET PAP 2PL METRO 48X500S</v>
      </c>
      <c r="D241" s="5" t="str">
        <f aca="false">ITEM_MASTER_CLEAN!E241</f>
        <v>METRO</v>
      </c>
      <c r="E241" s="12" t="n">
        <f aca="false">ITEM_MASTER_CLEAN!F241</f>
        <v>36.46</v>
      </c>
      <c r="F241" s="5" t="n">
        <f aca="false">IF(LowCashMode="ON",LOW_CASH_MODE!L241,REBALANCE_PLAN!Q241)</f>
        <v>48</v>
      </c>
      <c r="G241" s="5" t="n">
        <f aca="false">IF(LowCashMode="ON",LOW_CASH_MODE!M241,REBALANCE_PLAN!R241)</f>
        <v>48</v>
      </c>
      <c r="H241" s="5" t="n">
        <f aca="false">F241+G241</f>
        <v>96</v>
      </c>
      <c r="I241" s="12" t="n">
        <f aca="false">H241*E241</f>
        <v>3500.16</v>
      </c>
      <c r="J241" s="5" t="str">
        <f aca="false">IF(H241=0,"—",IF(LowCashMode="ON",IF(LOW_CASH_MODE!R241="BUY NOW","BUY NOW","DEFER"),IF(REBALANCE_PLAN!M241&lt;&gt;"None","TRANSFER FIRST","BUY")))</f>
        <v>BUY</v>
      </c>
    </row>
    <row r="242" customFormat="false" ht="15" hidden="false" customHeight="false" outlineLevel="0" collapsed="false">
      <c r="A242" s="5" t="n">
        <f aca="false">ITEM_MASTER_CLEAN!A242</f>
        <v>241</v>
      </c>
      <c r="B242" s="5" t="n">
        <f aca="false">ITEM_MASTER_CLEAN!B242</f>
        <v>28376</v>
      </c>
      <c r="C242" s="5" t="str">
        <f aca="false">ITEM_MASTER_CLEAN!C242</f>
        <v>BAGS GARBAGE 35X50 X-STG BLK 100</v>
      </c>
      <c r="D242" s="5" t="str">
        <f aca="false">ITEM_MASTER_CLEAN!E242</f>
        <v>GOULD</v>
      </c>
      <c r="E242" s="12" t="n">
        <f aca="false">ITEM_MASTER_CLEAN!F242</f>
        <v>10.62</v>
      </c>
      <c r="F242" s="5" t="n">
        <f aca="false">IF(LowCashMode="ON",LOW_CASH_MODE!L242,REBALANCE_PLAN!Q242)</f>
        <v>3</v>
      </c>
      <c r="G242" s="5" t="n">
        <f aca="false">IF(LowCashMode="ON",LOW_CASH_MODE!M242,REBALANCE_PLAN!R242)</f>
        <v>2</v>
      </c>
      <c r="H242" s="5" t="n">
        <f aca="false">F242+G242</f>
        <v>5</v>
      </c>
      <c r="I242" s="12" t="n">
        <f aca="false">H242*E242</f>
        <v>53.1</v>
      </c>
      <c r="J242" s="5" t="str">
        <f aca="false">IF(H242=0,"—",IF(LowCashMode="ON",IF(LOW_CASH_MODE!R242="BUY NOW","BUY NOW","DEFER"),IF(REBALANCE_PLAN!M242&lt;&gt;"None","TRANSFER FIRST","BUY")))</f>
        <v>BUY</v>
      </c>
    </row>
    <row r="243" customFormat="false" ht="15" hidden="false" customHeight="false" outlineLevel="0" collapsed="false">
      <c r="A243" s="5" t="n">
        <f aca="false">ITEM_MASTER_CLEAN!A243</f>
        <v>242</v>
      </c>
      <c r="B243" s="5" t="n">
        <f aca="false">ITEM_MASTER_CLEAN!B243</f>
        <v>28671</v>
      </c>
      <c r="C243" s="5" t="str">
        <f aca="false">ITEM_MASTER_CLEAN!C243</f>
        <v>PAD SCOUR #97 GRN 6"X9"   X10UN</v>
      </c>
      <c r="D243" s="5" t="str">
        <f aca="false">ITEM_MASTER_CLEAN!E243</f>
        <v>3M</v>
      </c>
      <c r="E243" s="12" t="n">
        <f aca="false">ITEM_MASTER_CLEAN!F243</f>
        <v>10.5</v>
      </c>
      <c r="F243" s="5" t="n">
        <f aca="false">IF(LowCashMode="ON",LOW_CASH_MODE!L243,REBALANCE_PLAN!Q243)</f>
        <v>5</v>
      </c>
      <c r="G243" s="5" t="n">
        <f aca="false">IF(LowCashMode="ON",LOW_CASH_MODE!M243,REBALANCE_PLAN!R243)</f>
        <v>2</v>
      </c>
      <c r="H243" s="5" t="n">
        <f aca="false">F243+G243</f>
        <v>7</v>
      </c>
      <c r="I243" s="12" t="n">
        <f aca="false">H243*E243</f>
        <v>73.5</v>
      </c>
      <c r="J243" s="5" t="str">
        <f aca="false">IF(H243=0,"—",IF(LowCashMode="ON",IF(LOW_CASH_MODE!R243="BUY NOW","BUY NOW","DEFER"),IF(REBALANCE_PLAN!M243&lt;&gt;"None","TRANSFER FIRST","BUY")))</f>
        <v>BUY</v>
      </c>
    </row>
    <row r="244" customFormat="false" ht="15" hidden="false" customHeight="false" outlineLevel="0" collapsed="false">
      <c r="A244" s="5" t="n">
        <f aca="false">ITEM_MASTER_CLEAN!A244</f>
        <v>243</v>
      </c>
      <c r="B244" s="5" t="n">
        <f aca="false">ITEM_MASTER_CLEAN!B244</f>
        <v>27499</v>
      </c>
      <c r="C244" s="5" t="str">
        <f aca="false">ITEM_MASTER_CLEAN!C244</f>
        <v>MTY SOAP HAND FM ALLPUR 6X1.3L</v>
      </c>
      <c r="D244" s="5" t="str">
        <f aca="false">ITEM_MASTER_CLEAN!E244</f>
        <v>DIVERSEY</v>
      </c>
      <c r="E244" s="12" t="n">
        <f aca="false">ITEM_MASTER_CLEAN!F244</f>
        <v>40.44</v>
      </c>
      <c r="F244" s="5" t="n">
        <f aca="false">IF(LowCashMode="ON",LOW_CASH_MODE!L244,REBALANCE_PLAN!Q244)</f>
        <v>6</v>
      </c>
      <c r="G244" s="5" t="n">
        <f aca="false">IF(LowCashMode="ON",LOW_CASH_MODE!M244,REBALANCE_PLAN!R244)</f>
        <v>6</v>
      </c>
      <c r="H244" s="5" t="n">
        <f aca="false">F244+G244</f>
        <v>12</v>
      </c>
      <c r="I244" s="12" t="n">
        <f aca="false">H244*E244</f>
        <v>485.28</v>
      </c>
      <c r="J244" s="5" t="str">
        <f aca="false">IF(H244=0,"—",IF(LowCashMode="ON",IF(LOW_CASH_MODE!R244="BUY NOW","BUY NOW","DEFER"),IF(REBALANCE_PLAN!M244&lt;&gt;"None","TRANSFER FIRST","BUY")))</f>
        <v>BUY</v>
      </c>
    </row>
    <row r="245" customFormat="false" ht="15" hidden="false" customHeight="false" outlineLevel="0" collapsed="false">
      <c r="A245" s="5" t="n">
        <f aca="false">ITEM_MASTER_CLEAN!A245</f>
        <v>244</v>
      </c>
      <c r="B245" s="5" t="n">
        <f aca="false">ITEM_MASTER_CLEAN!B245</f>
        <v>28528</v>
      </c>
      <c r="C245" s="5" t="str">
        <f aca="false">ITEM_MASTER_CLEAN!C245</f>
        <v>9 MTY CLNR GLASS LITE TCH RTU12X946</v>
      </c>
      <c r="D245" s="5" t="str">
        <f aca="false">ITEM_MASTER_CLEAN!E245</f>
        <v>DIVERSEY</v>
      </c>
      <c r="E245" s="12" t="n">
        <f aca="false">ITEM_MASTER_CLEAN!F245</f>
        <v>52.06</v>
      </c>
      <c r="F245" s="5" t="n">
        <f aca="false">IF(LowCashMode="ON",LOW_CASH_MODE!L245,REBALANCE_PLAN!Q245)</f>
        <v>12</v>
      </c>
      <c r="G245" s="5" t="n">
        <f aca="false">IF(LowCashMode="ON",LOW_CASH_MODE!M245,REBALANCE_PLAN!R245)</f>
        <v>12</v>
      </c>
      <c r="H245" s="5" t="n">
        <f aca="false">F245+G245</f>
        <v>24</v>
      </c>
      <c r="I245" s="12" t="n">
        <f aca="false">H245*E245</f>
        <v>1249.44</v>
      </c>
      <c r="J245" s="5" t="str">
        <f aca="false">IF(H245=0,"—",IF(LowCashMode="ON",IF(LOW_CASH_MODE!R245="BUY NOW","BUY NOW","DEFER"),IF(REBALANCE_PLAN!M245&lt;&gt;"None","TRANSFER FIRST","BUY")))</f>
        <v>BUY</v>
      </c>
    </row>
    <row r="246" customFormat="false" ht="15" hidden="false" customHeight="false" outlineLevel="0" collapsed="false">
      <c r="A246" s="5" t="n">
        <f aca="false">ITEM_MASTER_CLEAN!A246</f>
        <v>245</v>
      </c>
      <c r="B246" s="5" t="n">
        <f aca="false">ITEM_MASTER_CLEAN!B246</f>
        <v>27497</v>
      </c>
      <c r="C246" s="5" t="str">
        <f aca="false">ITEM_MASTER_CLEAN!C246</f>
        <v>MTY DEGREASR ORANG STUFF  2X3.78L</v>
      </c>
      <c r="D246" s="5" t="str">
        <f aca="false">ITEM_MASTER_CLEAN!E246</f>
        <v>DIVERSEY</v>
      </c>
      <c r="E246" s="12" t="n">
        <f aca="false">ITEM_MASTER_CLEAN!F246</f>
        <v>21.31</v>
      </c>
      <c r="F246" s="5" t="n">
        <f aca="false">IF(LowCashMode="ON",LOW_CASH_MODE!L246,REBALANCE_PLAN!Q246)</f>
        <v>6</v>
      </c>
      <c r="G246" s="5" t="n">
        <f aca="false">IF(LowCashMode="ON",LOW_CASH_MODE!M246,REBALANCE_PLAN!R246)</f>
        <v>2</v>
      </c>
      <c r="H246" s="5" t="n">
        <f aca="false">F246+G246</f>
        <v>8</v>
      </c>
      <c r="I246" s="12" t="n">
        <f aca="false">H246*E246</f>
        <v>170.48</v>
      </c>
      <c r="J246" s="5" t="str">
        <f aca="false">IF(H246=0,"—",IF(LowCashMode="ON",IF(LOW_CASH_MODE!R246="BUY NOW","BUY NOW","DEFER"),IF(REBALANCE_PLAN!M246&lt;&gt;"None","TRANSFER FIRST","BUY")))</f>
        <v>BUY</v>
      </c>
    </row>
    <row r="247" customFormat="false" ht="15" hidden="false" customHeight="false" outlineLevel="0" collapsed="false">
      <c r="A247" s="5" t="n">
        <f aca="false">ITEM_MASTER_CLEAN!A247</f>
        <v>246</v>
      </c>
      <c r="B247" s="5" t="n">
        <f aca="false">ITEM_MASTER_CLEAN!B247</f>
        <v>27496</v>
      </c>
      <c r="C247" s="5" t="str">
        <f aca="false">ITEM_MASTER_CLEAN!C247</f>
        <v>MTY SANITI SANI-STUFF CONC 2X3.78L</v>
      </c>
      <c r="D247" s="5" t="str">
        <f aca="false">ITEM_MASTER_CLEAN!E247</f>
        <v>DIVERSEY</v>
      </c>
      <c r="E247" s="12" t="n">
        <f aca="false">ITEM_MASTER_CLEAN!F247</f>
        <v>46.63</v>
      </c>
      <c r="F247" s="5" t="n">
        <f aca="false">IF(LowCashMode="ON",LOW_CASH_MODE!L247,REBALANCE_PLAN!Q247)</f>
        <v>6</v>
      </c>
      <c r="G247" s="5" t="n">
        <f aca="false">IF(LowCashMode="ON",LOW_CASH_MODE!M247,REBALANCE_PLAN!R247)</f>
        <v>6</v>
      </c>
      <c r="H247" s="5" t="n">
        <f aca="false">F247+G247</f>
        <v>12</v>
      </c>
      <c r="I247" s="12" t="n">
        <f aca="false">H247*E247</f>
        <v>559.56</v>
      </c>
      <c r="J247" s="5" t="str">
        <f aca="false">IF(H247=0,"—",IF(LowCashMode="ON",IF(LOW_CASH_MODE!R247="BUY NOW","BUY NOW","DEFER"),IF(REBALANCE_PLAN!M247&lt;&gt;"None","TRANSFER FIRST","BUY")))</f>
        <v>BUY</v>
      </c>
    </row>
    <row r="248" customFormat="false" ht="15" hidden="false" customHeight="false" outlineLevel="0" collapsed="false">
      <c r="A248" s="5" t="n">
        <f aca="false">ITEM_MASTER_CLEAN!A248</f>
        <v>247</v>
      </c>
      <c r="B248" s="5" t="n">
        <f aca="false">ITEM_MASTER_CLEAN!B248</f>
        <v>27498</v>
      </c>
      <c r="C248" s="5" t="str">
        <f aca="false">ITEM_MASTER_CLEAN!C248</f>
        <v>MTY DET YELLOW STUFF POT/PAN 2X3.78</v>
      </c>
      <c r="D248" s="5" t="str">
        <f aca="false">ITEM_MASTER_CLEAN!E248</f>
        <v>DIVERSEY</v>
      </c>
      <c r="E248" s="12" t="n">
        <f aca="false">ITEM_MASTER_CLEAN!F248</f>
        <v>39.77</v>
      </c>
      <c r="F248" s="5" t="n">
        <f aca="false">IF(LowCashMode="ON",LOW_CASH_MODE!L248,REBALANCE_PLAN!Q248)</f>
        <v>6</v>
      </c>
      <c r="G248" s="5" t="n">
        <f aca="false">IF(LowCashMode="ON",LOW_CASH_MODE!M248,REBALANCE_PLAN!R248)</f>
        <v>6</v>
      </c>
      <c r="H248" s="5" t="n">
        <f aca="false">F248+G248</f>
        <v>12</v>
      </c>
      <c r="I248" s="12" t="n">
        <f aca="false">H248*E248</f>
        <v>477.24</v>
      </c>
      <c r="J248" s="5" t="str">
        <f aca="false">IF(H248=0,"—",IF(LowCashMode="ON",IF(LOW_CASH_MODE!R248="BUY NOW","BUY NOW","DEFER"),IF(REBALANCE_PLAN!M248&lt;&gt;"None","TRANSFER FIRST","BUY")))</f>
        <v>BUY</v>
      </c>
    </row>
    <row r="249" customFormat="false" ht="23.85" hidden="false" customHeight="false" outlineLevel="0" collapsed="false">
      <c r="A249" s="5" t="n">
        <f aca="false">ITEM_MASTER_CLEAN!A249</f>
        <v>248</v>
      </c>
      <c r="B249" s="5" t="n">
        <f aca="false">ITEM_MASTER_CLEAN!B249</f>
        <v>28527</v>
      </c>
      <c r="C249" s="5" t="str">
        <f aca="false">ITEM_MASTER_CLEAN!C249</f>
        <v>9 MTY OVEN CLEANGEL HOTSTUF 6X946ML</v>
      </c>
      <c r="D249" s="5" t="str">
        <f aca="false">ITEM_MASTER_CLEAN!E249</f>
        <v>DIVERSEY</v>
      </c>
      <c r="E249" s="12" t="n">
        <f aca="false">ITEM_MASTER_CLEAN!F249</f>
        <v>28.13</v>
      </c>
      <c r="F249" s="5" t="n">
        <f aca="false">IF(LowCashMode="ON",LOW_CASH_MODE!L249,REBALANCE_PLAN!Q249)</f>
        <v>6</v>
      </c>
      <c r="G249" s="5" t="n">
        <f aca="false">IF(LowCashMode="ON",LOW_CASH_MODE!M249,REBALANCE_PLAN!R249)</f>
        <v>6</v>
      </c>
      <c r="H249" s="5" t="n">
        <f aca="false">F249+G249</f>
        <v>12</v>
      </c>
      <c r="I249" s="12" t="n">
        <f aca="false">H249*E249</f>
        <v>337.56</v>
      </c>
      <c r="J249" s="5" t="str">
        <f aca="false">IF(H249=0,"—",IF(LowCashMode="ON",IF(LOW_CASH_MODE!R249="BUY NOW","BUY NOW","DEFER"),IF(REBALANCE_PLAN!M249&lt;&gt;"None","TRANSFER FIRST","BUY")))</f>
        <v>BUY</v>
      </c>
    </row>
    <row r="250" customFormat="false" ht="15" hidden="false" customHeight="false" outlineLevel="0" collapsed="false">
      <c r="A250" s="5" t="n">
        <f aca="false">ITEM_MASTER_CLEAN!A250</f>
        <v>249</v>
      </c>
      <c r="B250" s="5" t="n">
        <f aca="false">ITEM_MASTER_CLEAN!B250</f>
        <v>28524</v>
      </c>
      <c r="C250" s="5" t="str">
        <f aca="false">ITEM_MASTER_CLEAN!C250</f>
        <v>9 MTY SANI-STUFF NO RINSE 6X946ML</v>
      </c>
      <c r="D250" s="5" t="str">
        <f aca="false">ITEM_MASTER_CLEAN!E250</f>
        <v>DIVERSEY</v>
      </c>
      <c r="E250" s="12" t="n">
        <f aca="false">ITEM_MASTER_CLEAN!F250</f>
        <v>53.83</v>
      </c>
      <c r="F250" s="5" t="n">
        <f aca="false">IF(LowCashMode="ON",LOW_CASH_MODE!L250,REBALANCE_PLAN!Q250)</f>
        <v>6</v>
      </c>
      <c r="G250" s="5" t="n">
        <f aca="false">IF(LowCashMode="ON",LOW_CASH_MODE!M250,REBALANCE_PLAN!R250)</f>
        <v>6</v>
      </c>
      <c r="H250" s="5" t="n">
        <f aca="false">F250+G250</f>
        <v>12</v>
      </c>
      <c r="I250" s="12" t="n">
        <f aca="false">H250*E250</f>
        <v>645.96</v>
      </c>
      <c r="J250" s="5" t="str">
        <f aca="false">IF(H250=0,"—",IF(LowCashMode="ON",IF(LOW_CASH_MODE!R250="BUY NOW","BUY NOW","DEFER"),IF(REBALANCE_PLAN!M250&lt;&gt;"None","TRANSFER FIRST","BUY")))</f>
        <v>BUY</v>
      </c>
    </row>
    <row r="251" customFormat="false" ht="15" hidden="false" customHeight="false" outlineLevel="0" collapsed="false">
      <c r="A251" s="5" t="n">
        <f aca="false">ITEM_MASTER_CLEAN!A251</f>
        <v>250</v>
      </c>
      <c r="B251" s="5" t="n">
        <f aca="false">ITEM_MASTER_CLEAN!B251</f>
        <v>28531</v>
      </c>
      <c r="C251" s="5" t="str">
        <f aca="false">ITEM_MASTER_CLEAN!C251</f>
        <v>9 MTY QUAT TEST PAP SANIT QT-10 X1</v>
      </c>
      <c r="D251" s="5" t="str">
        <f aca="false">ITEM_MASTER_CLEAN!E251</f>
        <v>DIVERSEY</v>
      </c>
      <c r="E251" s="12" t="n">
        <f aca="false">ITEM_MASTER_CLEAN!F251</f>
        <v>16.15</v>
      </c>
      <c r="F251" s="5" t="n">
        <f aca="false">IF(LowCashMode="ON",LOW_CASH_MODE!L251,REBALANCE_PLAN!Q251)</f>
        <v>1</v>
      </c>
      <c r="G251" s="5" t="n">
        <f aca="false">IF(LowCashMode="ON",LOW_CASH_MODE!M251,REBALANCE_PLAN!R251)</f>
        <v>1</v>
      </c>
      <c r="H251" s="5" t="n">
        <f aca="false">F251+G251</f>
        <v>2</v>
      </c>
      <c r="I251" s="12" t="n">
        <f aca="false">H251*E251</f>
        <v>32.3</v>
      </c>
      <c r="J251" s="5" t="str">
        <f aca="false">IF(H251=0,"—",IF(LowCashMode="ON",IF(LOW_CASH_MODE!R251="BUY NOW","BUY NOW","DEFER"),IF(REBALANCE_PLAN!M251&lt;&gt;"None","TRANSFER FIRST","BUY")))</f>
        <v>BUY</v>
      </c>
    </row>
    <row r="252" customFormat="false" ht="15" hidden="false" customHeight="false" outlineLevel="0" collapsed="false">
      <c r="A252" s="5" t="n">
        <f aca="false">ITEM_MASTER_CLEAN!A252</f>
        <v>251</v>
      </c>
      <c r="B252" s="5" t="n">
        <f aca="false">ITEM_MASTER_CLEAN!B252</f>
        <v>27495</v>
      </c>
      <c r="C252" s="5" t="str">
        <f aca="false">ITEM_MASTER_CLEAN!C252</f>
        <v>MTY RED SANITIZER STAT PAIL 6QT X1</v>
      </c>
      <c r="D252" s="5" t="str">
        <f aca="false">ITEM_MASTER_CLEAN!E252</f>
        <v>DIVERSEY</v>
      </c>
      <c r="E252" s="12" t="n">
        <f aca="false">ITEM_MASTER_CLEAN!F252</f>
        <v>16.28</v>
      </c>
      <c r="F252" s="5" t="n">
        <f aca="false">IF(LowCashMode="ON",LOW_CASH_MODE!L252,REBALANCE_PLAN!Q252)</f>
        <v>6</v>
      </c>
      <c r="G252" s="5" t="n">
        <f aca="false">IF(LowCashMode="ON",LOW_CASH_MODE!M252,REBALANCE_PLAN!R252)</f>
        <v>6</v>
      </c>
      <c r="H252" s="5" t="n">
        <f aca="false">F252+G252</f>
        <v>12</v>
      </c>
      <c r="I252" s="12" t="n">
        <f aca="false">H252*E252</f>
        <v>195.36</v>
      </c>
      <c r="J252" s="5" t="str">
        <f aca="false">IF(H252=0,"—",IF(LowCashMode="ON",IF(LOW_CASH_MODE!R252="BUY NOW","BUY NOW","DEFER"),IF(REBALANCE_PLAN!M252&lt;&gt;"None","TRANSFER FIRST","BUY")))</f>
        <v>BUY</v>
      </c>
    </row>
    <row r="253" customFormat="false" ht="15" hidden="false" customHeight="false" outlineLevel="0" collapsed="false">
      <c r="A253" s="5" t="n">
        <f aca="false">ITEM_MASTER_CLEAN!A253</f>
        <v>252</v>
      </c>
      <c r="B253" s="5" t="n">
        <f aca="false">ITEM_MASTER_CLEAN!B253</f>
        <v>27002</v>
      </c>
      <c r="C253" s="5" t="str">
        <f aca="false">ITEM_MASTER_CLEAN!C253</f>
        <v>MTY BTL SPRAYER D6044848 1UN</v>
      </c>
      <c r="D253" s="5" t="str">
        <f aca="false">ITEM_MASTER_CLEAN!E253</f>
        <v>DIVERSY</v>
      </c>
      <c r="E253" s="12" t="n">
        <f aca="false">ITEM_MASTER_CLEAN!F253</f>
        <v>5.17</v>
      </c>
      <c r="F253" s="5" t="n">
        <f aca="false">IF(LowCashMode="ON",LOW_CASH_MODE!L253,REBALANCE_PLAN!Q253)</f>
        <v>1</v>
      </c>
      <c r="G253" s="5" t="n">
        <f aca="false">IF(LowCashMode="ON",LOW_CASH_MODE!M253,REBALANCE_PLAN!R253)</f>
        <v>5</v>
      </c>
      <c r="H253" s="5" t="n">
        <f aca="false">F253+G253</f>
        <v>6</v>
      </c>
      <c r="I253" s="12" t="n">
        <f aca="false">H253*E253</f>
        <v>31.02</v>
      </c>
      <c r="J253" s="5" t="str">
        <f aca="false">IF(H253=0,"—",IF(LowCashMode="ON",IF(LOW_CASH_MODE!R253="BUY NOW","BUY NOW","DEFER"),IF(REBALANCE_PLAN!M253&lt;&gt;"None","TRANSFER FIRST","BUY")))</f>
        <v>BUY</v>
      </c>
    </row>
    <row r="254" customFormat="false" ht="15" hidden="false" customHeight="false" outlineLevel="0" collapsed="false">
      <c r="A254" s="5" t="n">
        <f aca="false">ITEM_MASTER_CLEAN!A254</f>
        <v>253</v>
      </c>
      <c r="B254" s="5" t="n">
        <f aca="false">ITEM_MASTER_CLEAN!B254</f>
        <v>27003</v>
      </c>
      <c r="C254" s="5" t="str">
        <f aca="false">ITEM_MASTER_CLEAN!C254</f>
        <v>MTY TRIGGER SPRAYER HEAD 1UN</v>
      </c>
      <c r="D254" s="5" t="str">
        <f aca="false">ITEM_MASTER_CLEAN!E254</f>
        <v>DIVERSY</v>
      </c>
      <c r="E254" s="12" t="n">
        <f aca="false">ITEM_MASTER_CLEAN!F254</f>
        <v>4.36</v>
      </c>
      <c r="F254" s="5" t="n">
        <f aca="false">IF(LowCashMode="ON",LOW_CASH_MODE!L254,REBALANCE_PLAN!Q254)</f>
        <v>5</v>
      </c>
      <c r="G254" s="5" t="n">
        <f aca="false">IF(LowCashMode="ON",LOW_CASH_MODE!M254,REBALANCE_PLAN!R254)</f>
        <v>1</v>
      </c>
      <c r="H254" s="5" t="n">
        <f aca="false">F254+G254</f>
        <v>6</v>
      </c>
      <c r="I254" s="12" t="n">
        <f aca="false">H254*E254</f>
        <v>26.16</v>
      </c>
      <c r="J254" s="5" t="str">
        <f aca="false">IF(H254=0,"—",IF(LowCashMode="ON",IF(LOW_CASH_MODE!R254="BUY NOW","BUY NOW","DEFER"),IF(REBALANCE_PLAN!M254&lt;&gt;"None","TRANSFER FIRST","BUY")))</f>
        <v>BUY</v>
      </c>
    </row>
    <row r="255" customFormat="false" ht="23.85" hidden="false" customHeight="false" outlineLevel="0" collapsed="false">
      <c r="A255" s="5" t="n">
        <f aca="false">ITEM_MASTER_CLEAN!A255</f>
        <v>254</v>
      </c>
      <c r="B255" s="5" t="n">
        <f aca="false">ITEM_MASTER_CLEAN!B255</f>
        <v>28530</v>
      </c>
      <c r="C255" s="5" t="str">
        <f aca="false">ITEM_MASTER_CLEAN!C255</f>
        <v>9 MTY DOSAGE PUMP HAND 4LJUG 1OZ X1</v>
      </c>
      <c r="D255" s="5" t="str">
        <f aca="false">ITEM_MASTER_CLEAN!E255</f>
        <v>DIVERSEY</v>
      </c>
      <c r="E255" s="12" t="n">
        <f aca="false">ITEM_MASTER_CLEAN!F255</f>
        <v>5.94</v>
      </c>
      <c r="F255" s="5" t="n">
        <f aca="false">IF(LowCashMode="ON",LOW_CASH_MODE!L255,REBALANCE_PLAN!Q255)</f>
        <v>2</v>
      </c>
      <c r="G255" s="5" t="n">
        <f aca="false">IF(LowCashMode="ON",LOW_CASH_MODE!M255,REBALANCE_PLAN!R255)</f>
        <v>1</v>
      </c>
      <c r="H255" s="5" t="n">
        <f aca="false">F255+G255</f>
        <v>3</v>
      </c>
      <c r="I255" s="12" t="n">
        <f aca="false">H255*E255</f>
        <v>17.82</v>
      </c>
      <c r="J255" s="5" t="str">
        <f aca="false">IF(H255=0,"—",IF(LowCashMode="ON",IF(LOW_CASH_MODE!R255="BUY NOW","BUY NOW","DEFER"),IF(REBALANCE_PLAN!M255&lt;&gt;"None","TRANSFER FIRST","BUY")))</f>
        <v>BUY</v>
      </c>
    </row>
    <row r="256" customFormat="false" ht="15" hidden="false" customHeight="false" outlineLevel="0" collapsed="false">
      <c r="A256" s="5" t="n">
        <f aca="false">ITEM_MASTER_CLEAN!A256</f>
        <v>255</v>
      </c>
      <c r="B256" s="5" t="n">
        <f aca="false">ITEM_MASTER_CLEAN!B256</f>
        <v>28529</v>
      </c>
      <c r="C256" s="5" t="str">
        <f aca="false">ITEM_MASTER_CLEAN!C256</f>
        <v>9 MTY DOSAGE PUMP 1/8 OZ GAL X1</v>
      </c>
      <c r="D256" s="5" t="str">
        <f aca="false">ITEM_MASTER_CLEAN!E256</f>
        <v>DIVERSEY</v>
      </c>
      <c r="E256" s="12" t="n">
        <f aca="false">ITEM_MASTER_CLEAN!F256</f>
        <v>5.7</v>
      </c>
      <c r="F256" s="5" t="n">
        <f aca="false">IF(LowCashMode="ON",LOW_CASH_MODE!L256,REBALANCE_PLAN!Q256)</f>
        <v>0</v>
      </c>
      <c r="G256" s="5" t="n">
        <f aca="false">IF(LowCashMode="ON",LOW_CASH_MODE!M256,REBALANCE_PLAN!R256)</f>
        <v>6</v>
      </c>
      <c r="H256" s="5" t="n">
        <f aca="false">F256+G256</f>
        <v>6</v>
      </c>
      <c r="I256" s="12" t="n">
        <f aca="false">H256*E256</f>
        <v>34.2</v>
      </c>
      <c r="J256" s="5" t="str">
        <f aca="false">IF(H256=0,"—",IF(LowCashMode="ON",IF(LOW_CASH_MODE!R256="BUY NOW","BUY NOW","DEFER"),IF(REBALANCE_PLAN!M256&lt;&gt;"None","TRANSFER FIRST","BUY")))</f>
        <v>BUY</v>
      </c>
    </row>
    <row r="257" customFormat="false" ht="15" hidden="false" customHeight="false" outlineLevel="0" collapsed="false">
      <c r="A257" s="5" t="n">
        <f aca="false">ITEM_MASTER_CLEAN!A257</f>
        <v>256</v>
      </c>
      <c r="B257" s="5" t="n">
        <f aca="false">ITEM_MASTER_CLEAN!B257</f>
        <v>29153</v>
      </c>
      <c r="C257" s="5" t="str">
        <f aca="false">ITEM_MASTER_CLEAN!C257</f>
        <v>BEV P.LEAF GRN TEA/HONEY 12X547ML</v>
      </c>
      <c r="D257" s="5" t="str">
        <f aca="false">ITEM_MASTER_CLEAN!E257</f>
        <v>PURE LEAF</v>
      </c>
      <c r="E257" s="12" t="n">
        <f aca="false">ITEM_MASTER_CLEAN!F257</f>
        <v>24.81</v>
      </c>
      <c r="F257" s="5" t="n">
        <f aca="false">IF(LowCashMode="ON",LOW_CASH_MODE!L257,REBALANCE_PLAN!Q257)</f>
        <v>12</v>
      </c>
      <c r="G257" s="5" t="n">
        <f aca="false">IF(LowCashMode="ON",LOW_CASH_MODE!M257,REBALANCE_PLAN!R257)</f>
        <v>12</v>
      </c>
      <c r="H257" s="5" t="n">
        <f aca="false">F257+G257</f>
        <v>24</v>
      </c>
      <c r="I257" s="12" t="n">
        <f aca="false">H257*E257</f>
        <v>595.44</v>
      </c>
      <c r="J257" s="5" t="str">
        <f aca="false">IF(H257=0,"—",IF(LowCashMode="ON",IF(LOW_CASH_MODE!R257="BUY NOW","BUY NOW","DEFER"),IF(REBALANCE_PLAN!M257&lt;&gt;"None","TRANSFER FIRST","BUY")))</f>
        <v>BUY</v>
      </c>
    </row>
    <row r="258" customFormat="false" ht="15" hidden="false" customHeight="false" outlineLevel="0" collapsed="false">
      <c r="A258" s="5" t="n">
        <f aca="false">ITEM_MASTER_CLEAN!A258</f>
        <v>257</v>
      </c>
      <c r="B258" s="5" t="n">
        <f aca="false">ITEM_MASTER_CLEAN!B258</f>
        <v>29154</v>
      </c>
      <c r="C258" s="5" t="str">
        <f aca="false">ITEM_MASTER_CLEAN!C258</f>
        <v>BEV P.LEAF LEMON TEA  12X547ML</v>
      </c>
      <c r="D258" s="5" t="str">
        <f aca="false">ITEM_MASTER_CLEAN!E258</f>
        <v>PEPSI-COLA</v>
      </c>
      <c r="E258" s="12" t="n">
        <f aca="false">ITEM_MASTER_CLEAN!F258</f>
        <v>36.82</v>
      </c>
      <c r="F258" s="5" t="n">
        <f aca="false">IF(LowCashMode="ON",LOW_CASH_MODE!L258,REBALANCE_PLAN!Q258)</f>
        <v>0</v>
      </c>
      <c r="G258" s="5" t="n">
        <f aca="false">IF(LowCashMode="ON",LOW_CASH_MODE!M258,REBALANCE_PLAN!R258)</f>
        <v>0</v>
      </c>
      <c r="H258" s="5" t="n">
        <f aca="false">F258+G258</f>
        <v>0</v>
      </c>
      <c r="I258" s="12" t="n">
        <f aca="false">H258*E258</f>
        <v>0</v>
      </c>
      <c r="J258" s="5" t="str">
        <f aca="false">IF(H258=0,"—",IF(LowCashMode="ON",IF(LOW_CASH_MODE!R258="BUY NOW","BUY NOW","DEFER"),IF(REBALANCE_PLAN!M258&lt;&gt;"None","TRANSFER FIRST","BUY")))</f>
        <v>—</v>
      </c>
    </row>
    <row r="259" customFormat="false" ht="23.85" hidden="false" customHeight="false" outlineLevel="0" collapsed="false">
      <c r="A259" s="5" t="n">
        <f aca="false">ITEM_MASTER_CLEAN!A259</f>
        <v>258</v>
      </c>
      <c r="B259" s="5" t="n">
        <f aca="false">ITEM_MASTER_CLEAN!B259</f>
        <v>14130</v>
      </c>
      <c r="C259" s="5" t="str">
        <f aca="false">ITEM_MASTER_CLEAN!C259</f>
        <v>9 BEV STARBKS TRP SHOT MOCHA 12X444</v>
      </c>
      <c r="D259" s="5" t="str">
        <f aca="false">ITEM_MASTER_CLEAN!E259</f>
        <v>PEPSICO</v>
      </c>
      <c r="E259" s="12" t="n">
        <f aca="false">ITEM_MASTER_CLEAN!F259</f>
        <v>32.26</v>
      </c>
      <c r="F259" s="5" t="n">
        <f aca="false">IF(LowCashMode="ON",LOW_CASH_MODE!L259,REBALANCE_PLAN!Q259)</f>
        <v>12</v>
      </c>
      <c r="G259" s="5" t="n">
        <f aca="false">IF(LowCashMode="ON",LOW_CASH_MODE!M259,REBALANCE_PLAN!R259)</f>
        <v>12</v>
      </c>
      <c r="H259" s="5" t="n">
        <f aca="false">F259+G259</f>
        <v>24</v>
      </c>
      <c r="I259" s="12" t="n">
        <f aca="false">H259*E259</f>
        <v>774.24</v>
      </c>
      <c r="J259" s="5" t="str">
        <f aca="false">IF(H259=0,"—",IF(LowCashMode="ON",IF(LOW_CASH_MODE!R259="BUY NOW","BUY NOW","DEFER"),IF(REBALANCE_PLAN!M259&lt;&gt;"None","TRANSFER FIRST","BUY")))</f>
        <v>BUY</v>
      </c>
    </row>
    <row r="260" customFormat="false" ht="15" hidden="false" customHeight="false" outlineLevel="0" collapsed="false">
      <c r="A260" s="5" t="n">
        <f aca="false">ITEM_MASTER_CLEAN!A260</f>
        <v>259</v>
      </c>
      <c r="B260" s="5" t="n">
        <f aca="false">ITEM_MASTER_CLEAN!B260</f>
        <v>14131</v>
      </c>
      <c r="C260" s="5" t="str">
        <f aca="false">ITEM_MASTER_CLEAN!C260</f>
        <v>9 BEV STARBUCKS DBL SHOT VAN 12X444</v>
      </c>
      <c r="D260" s="5" t="str">
        <f aca="false">ITEM_MASTER_CLEAN!E260</f>
        <v>PEPSICO</v>
      </c>
      <c r="E260" s="12" t="n">
        <f aca="false">ITEM_MASTER_CLEAN!F260</f>
        <v>20.13</v>
      </c>
      <c r="F260" s="5" t="n">
        <f aca="false">IF(LowCashMode="ON",LOW_CASH_MODE!L260,REBALANCE_PLAN!Q260)</f>
        <v>0</v>
      </c>
      <c r="G260" s="5" t="n">
        <f aca="false">IF(LowCashMode="ON",LOW_CASH_MODE!M260,REBALANCE_PLAN!R260)</f>
        <v>12</v>
      </c>
      <c r="H260" s="5" t="n">
        <f aca="false">F260+G260</f>
        <v>12</v>
      </c>
      <c r="I260" s="12" t="n">
        <f aca="false">H260*E260</f>
        <v>241.56</v>
      </c>
      <c r="J260" s="5" t="str">
        <f aca="false">IF(H260=0,"—",IF(LowCashMode="ON",IF(LOW_CASH_MODE!R260="BUY NOW","BUY NOW","DEFER"),IF(REBALANCE_PLAN!M260&lt;&gt;"None","TRANSFER FIRST","BUY")))</f>
        <v>BUY</v>
      </c>
    </row>
    <row r="261" customFormat="false" ht="15" hidden="false" customHeight="false" outlineLevel="0" collapsed="false">
      <c r="A261" s="5" t="n">
        <f aca="false">ITEM_MASTER_CLEAN!A261</f>
        <v>260</v>
      </c>
      <c r="B261" s="5" t="n">
        <f aca="false">ITEM_MASTER_CLEAN!B261</f>
        <v>52342</v>
      </c>
      <c r="C261" s="5" t="str">
        <f aca="false">ITEM_MASTER_CLEAN!C261</f>
        <v>BEV ROOT BEER MUG CAN 12X355ML</v>
      </c>
      <c r="D261" s="5" t="str">
        <f aca="false">ITEM_MASTER_CLEAN!E261</f>
        <v>PEPSICO</v>
      </c>
      <c r="E261" s="12" t="n">
        <f aca="false">ITEM_MASTER_CLEAN!F261</f>
        <v>28.25</v>
      </c>
      <c r="F261" s="5" t="n">
        <f aca="false">IF(LowCashMode="ON",LOW_CASH_MODE!L261,REBALANCE_PLAN!Q261)</f>
        <v>12</v>
      </c>
      <c r="G261" s="5" t="n">
        <f aca="false">IF(LowCashMode="ON",LOW_CASH_MODE!M261,REBALANCE_PLAN!R261)</f>
        <v>12</v>
      </c>
      <c r="H261" s="5" t="n">
        <f aca="false">F261+G261</f>
        <v>24</v>
      </c>
      <c r="I261" s="12" t="n">
        <f aca="false">H261*E261</f>
        <v>678</v>
      </c>
      <c r="J261" s="5" t="str">
        <f aca="false">IF(H261=0,"—",IF(LowCashMode="ON",IF(LOW_CASH_MODE!R261="BUY NOW","BUY NOW","DEFER"),IF(REBALANCE_PLAN!M261&lt;&gt;"None","TRANSFER FIRST","BUY")))</f>
        <v>BUY</v>
      </c>
    </row>
    <row r="262" customFormat="false" ht="15" hidden="false" customHeight="false" outlineLevel="0" collapsed="false">
      <c r="A262" s="5" t="n">
        <f aca="false">ITEM_MASTER_CLEAN!A262</f>
        <v>261</v>
      </c>
      <c r="B262" s="5" t="n">
        <f aca="false">ITEM_MASTER_CLEAN!B262</f>
        <v>52349</v>
      </c>
      <c r="C262" s="5" t="str">
        <f aca="false">ITEM_MASTER_CLEAN!C262</f>
        <v>BEV ORANGE CRUSH CAN 12X355ML</v>
      </c>
      <c r="D262" s="5" t="str">
        <f aca="false">ITEM_MASTER_CLEAN!E262</f>
        <v>PEPSICO</v>
      </c>
      <c r="E262" s="12" t="n">
        <f aca="false">ITEM_MASTER_CLEAN!F262</f>
        <v>18.25</v>
      </c>
      <c r="F262" s="5" t="n">
        <f aca="false">IF(LowCashMode="ON",LOW_CASH_MODE!L262,REBALANCE_PLAN!Q262)</f>
        <v>12</v>
      </c>
      <c r="G262" s="5" t="n">
        <f aca="false">IF(LowCashMode="ON",LOW_CASH_MODE!M262,REBALANCE_PLAN!R262)</f>
        <v>0</v>
      </c>
      <c r="H262" s="5" t="n">
        <f aca="false">F262+G262</f>
        <v>12</v>
      </c>
      <c r="I262" s="12" t="n">
        <f aca="false">H262*E262</f>
        <v>219</v>
      </c>
      <c r="J262" s="5" t="str">
        <f aca="false">IF(H262=0,"—",IF(LowCashMode="ON",IF(LOW_CASH_MODE!R262="BUY NOW","BUY NOW","DEFER"),IF(REBALANCE_PLAN!M262&lt;&gt;"None","TRANSFER FIRST","BUY")))</f>
        <v>BUY</v>
      </c>
    </row>
    <row r="263" customFormat="false" ht="15" hidden="false" customHeight="false" outlineLevel="0" collapsed="false">
      <c r="A263" s="5" t="n">
        <f aca="false">ITEM_MASTER_CLEAN!A263</f>
        <v>262</v>
      </c>
      <c r="B263" s="5" t="n">
        <f aca="false">ITEM_MASTER_CLEAN!B263</f>
        <v>61804</v>
      </c>
      <c r="C263" s="5" t="str">
        <f aca="false">ITEM_MASTER_CLEAN!C263</f>
        <v>LADIP BOX POPCORN 6X2.75X8.5  100</v>
      </c>
      <c r="D263" s="5" t="str">
        <f aca="false">ITEM_MASTER_CLEAN!E263</f>
        <v>VIRAGE VER</v>
      </c>
      <c r="E263" s="12" t="n">
        <f aca="false">ITEM_MASTER_CLEAN!F263</f>
        <v>16.46</v>
      </c>
      <c r="F263" s="5" t="n">
        <f aca="false">IF(LowCashMode="ON",LOW_CASH_MODE!L263,REBALANCE_PLAN!Q263)</f>
        <v>5</v>
      </c>
      <c r="G263" s="5" t="n">
        <f aca="false">IF(LowCashMode="ON",LOW_CASH_MODE!M263,REBALANCE_PLAN!R263)</f>
        <v>1</v>
      </c>
      <c r="H263" s="5" t="n">
        <f aca="false">F263+G263</f>
        <v>6</v>
      </c>
      <c r="I263" s="12" t="n">
        <f aca="false">H263*E263</f>
        <v>98.76</v>
      </c>
      <c r="J263" s="5" t="str">
        <f aca="false">IF(H263=0,"—",IF(LowCashMode="ON",IF(LOW_CASH_MODE!R263="BUY NOW","BUY NOW","DEFER"),IF(REBALANCE_PLAN!M263&lt;&gt;"None","TRANSFER FIRST","BUY")))</f>
        <v>BUY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P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16" min="4" style="0" width="14"/>
  </cols>
  <sheetData>
    <row r="1" customFormat="false" ht="39.5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495</v>
      </c>
      <c r="E1" s="4" t="s">
        <v>556</v>
      </c>
      <c r="F1" s="4" t="s">
        <v>557</v>
      </c>
      <c r="G1" s="4" t="s">
        <v>575</v>
      </c>
      <c r="H1" s="4" t="s">
        <v>576</v>
      </c>
      <c r="I1" s="4" t="s">
        <v>653</v>
      </c>
      <c r="J1" s="4" t="s">
        <v>654</v>
      </c>
      <c r="K1" s="4" t="s">
        <v>655</v>
      </c>
      <c r="L1" s="4" t="s">
        <v>656</v>
      </c>
      <c r="M1" s="4" t="s">
        <v>657</v>
      </c>
      <c r="N1" s="4" t="s">
        <v>658</v>
      </c>
      <c r="O1" s="4" t="s">
        <v>659</v>
      </c>
      <c r="P1" s="4" t="s">
        <v>660</v>
      </c>
    </row>
    <row r="2" customFormat="false" ht="15" hidden="false" customHeight="false" outlineLevel="0" collapsed="false">
      <c r="A2" s="5" t="n">
        <f aca="false">ITEM_MASTER_CLEAN!A2</f>
        <v>1</v>
      </c>
      <c r="B2" s="5" t="n">
        <f aca="false">ITEM_MASTER_CLEAN!B2</f>
        <v>62966</v>
      </c>
      <c r="C2" s="5" t="str">
        <f aca="false">ITEM_MASTER_CLEAN!C2</f>
        <v>9 CAKE WHITE LAYER 8" 24X354G</v>
      </c>
      <c r="D2" s="12" t="n">
        <f aca="false">ITEM_MASTER_CLEAN!F2</f>
        <v>60.84</v>
      </c>
      <c r="E2" s="5" t="n">
        <f aca="false">ITEM_MASTER_CLEAN!H2</f>
        <v>1</v>
      </c>
      <c r="F2" s="5" t="n">
        <f aca="false">ITEM_MASTER_CLEAN!I2</f>
        <v>5</v>
      </c>
      <c r="G2" s="5" t="n">
        <f aca="false">PAR_LEVELS!J2</f>
        <v>1.85714285714286</v>
      </c>
      <c r="H2" s="5" t="n">
        <f aca="false">PAR_LEVELS!K2</f>
        <v>5.57142857142857</v>
      </c>
      <c r="I2" s="12" t="n">
        <f aca="false">E2*D2</f>
        <v>60.84</v>
      </c>
      <c r="J2" s="12" t="n">
        <f aca="false">F2*D2</f>
        <v>304.2</v>
      </c>
      <c r="K2" s="12" t="n">
        <f aca="false">MAX(E2-G2,0)*D2</f>
        <v>0</v>
      </c>
      <c r="L2" s="12" t="n">
        <f aca="false">MAX(F2-H2,0)*D2</f>
        <v>0</v>
      </c>
      <c r="M2" s="12" t="n">
        <f aca="false">MAX(G2-E2,0)*D2</f>
        <v>52.1485714285714</v>
      </c>
      <c r="N2" s="12" t="n">
        <f aca="false">MAX(H2-F2,0)*D2</f>
        <v>34.7657142857143</v>
      </c>
      <c r="O2" s="26" t="n">
        <f aca="false">IFERROR(E2/DEMAND_MODEL!K2,999)</f>
        <v>7</v>
      </c>
      <c r="P2" s="26" t="n">
        <f aca="false">IFERROR(F2/DEMAND_MODEL!L2,999)</f>
        <v>11.6666666666667</v>
      </c>
    </row>
    <row r="3" customFormat="false" ht="15" hidden="false" customHeight="false" outlineLevel="0" collapsed="false">
      <c r="A3" s="5" t="n">
        <f aca="false">ITEM_MASTER_CLEAN!A3</f>
        <v>2</v>
      </c>
      <c r="B3" s="5" t="n">
        <f aca="false">ITEM_MASTER_CLEAN!B3</f>
        <v>62967</v>
      </c>
      <c r="C3" s="5" t="str">
        <f aca="false">ITEM_MASTER_CLEAN!C3</f>
        <v>9 CAKE CHOC LAYER 8" 24X354G</v>
      </c>
      <c r="D3" s="12" t="n">
        <f aca="false">ITEM_MASTER_CLEAN!F3</f>
        <v>23.82</v>
      </c>
      <c r="E3" s="5" t="n">
        <f aca="false">ITEM_MASTER_CLEAN!H3</f>
        <v>11</v>
      </c>
      <c r="F3" s="5" t="n">
        <f aca="false">ITEM_MASTER_CLEAN!I3</f>
        <v>0</v>
      </c>
      <c r="G3" s="5" t="n">
        <f aca="false">PAR_LEVELS!J3</f>
        <v>7.42857142857143</v>
      </c>
      <c r="H3" s="5" t="n">
        <f aca="false">PAR_LEVELS!K3</f>
        <v>1.85714285714286</v>
      </c>
      <c r="I3" s="12" t="n">
        <f aca="false">E3*D3</f>
        <v>262.02</v>
      </c>
      <c r="J3" s="12" t="n">
        <f aca="false">F3*D3</f>
        <v>0</v>
      </c>
      <c r="K3" s="12" t="n">
        <f aca="false">MAX(E3-G3,0)*D3</f>
        <v>85.0714285714286</v>
      </c>
      <c r="L3" s="12" t="n">
        <f aca="false">MAX(F3-H3,0)*D3</f>
        <v>0</v>
      </c>
      <c r="M3" s="12" t="n">
        <f aca="false">MAX(G3-E3,0)*D3</f>
        <v>0</v>
      </c>
      <c r="N3" s="12" t="n">
        <f aca="false">MAX(H3-F3,0)*D3</f>
        <v>44.2371428571429</v>
      </c>
      <c r="O3" s="26" t="n">
        <f aca="false">IFERROR(E3/DEMAND_MODEL!K3,999)</f>
        <v>19.25</v>
      </c>
      <c r="P3" s="26" t="n">
        <f aca="false">IFERROR(F3/DEMAND_MODEL!L3,999)</f>
        <v>0</v>
      </c>
    </row>
    <row r="4" customFormat="false" ht="15" hidden="false" customHeight="false" outlineLevel="0" collapsed="false">
      <c r="A4" s="5" t="n">
        <f aca="false">ITEM_MASTER_CLEAN!A4</f>
        <v>3</v>
      </c>
      <c r="B4" s="5" t="n">
        <f aca="false">ITEM_MASTER_CLEAN!B4</f>
        <v>62963</v>
      </c>
      <c r="C4" s="5" t="str">
        <f aca="false">ITEM_MASTER_CLEAN!C4</f>
        <v>ICING PRE-WHIPPED VANILLA 6.8K</v>
      </c>
      <c r="D4" s="12" t="n">
        <f aca="false">ITEM_MASTER_CLEAN!F4</f>
        <v>54.51</v>
      </c>
      <c r="E4" s="5" t="n">
        <f aca="false">ITEM_MASTER_CLEAN!H4</f>
        <v>9</v>
      </c>
      <c r="F4" s="5" t="n">
        <f aca="false">ITEM_MASTER_CLEAN!I4</f>
        <v>6</v>
      </c>
      <c r="G4" s="5" t="n">
        <f aca="false">PAR_LEVELS!J4</f>
        <v>3.71428571428571</v>
      </c>
      <c r="H4" s="5" t="n">
        <f aca="false">PAR_LEVELS!K4</f>
        <v>3.71428571428571</v>
      </c>
      <c r="I4" s="12" t="n">
        <f aca="false">E4*D4</f>
        <v>490.59</v>
      </c>
      <c r="J4" s="12" t="n">
        <f aca="false">F4*D4</f>
        <v>327.06</v>
      </c>
      <c r="K4" s="12" t="n">
        <f aca="false">MAX(E4-G4,0)*D4</f>
        <v>288.124285714286</v>
      </c>
      <c r="L4" s="12" t="n">
        <f aca="false">MAX(F4-H4,0)*D4</f>
        <v>124.594285714286</v>
      </c>
      <c r="M4" s="12" t="n">
        <f aca="false">MAX(G4-E4,0)*D4</f>
        <v>0</v>
      </c>
      <c r="N4" s="12" t="n">
        <f aca="false">MAX(H4-F4,0)*D4</f>
        <v>0</v>
      </c>
      <c r="O4" s="26" t="n">
        <f aca="false">IFERROR(E4/DEMAND_MODEL!K4,999)</f>
        <v>31.5</v>
      </c>
      <c r="P4" s="26" t="n">
        <f aca="false">IFERROR(F4/DEMAND_MODEL!L4,999)</f>
        <v>21</v>
      </c>
    </row>
    <row r="5" customFormat="false" ht="23.85" hidden="false" customHeight="false" outlineLevel="0" collapsed="false">
      <c r="A5" s="5" t="n">
        <f aca="false">ITEM_MASTER_CLEAN!A5</f>
        <v>4</v>
      </c>
      <c r="B5" s="5" t="n">
        <f aca="false">ITEM_MASTER_CLEAN!B5</f>
        <v>22400</v>
      </c>
      <c r="C5" s="5" t="str">
        <f aca="false">ITEM_MASTER_CLEAN!C5</f>
        <v>LADIP LABEL CHOCOLATE CAKE 1RLX50UN</v>
      </c>
      <c r="D5" s="12" t="n">
        <f aca="false">ITEM_MASTER_CLEAN!F5</f>
        <v>19.55</v>
      </c>
      <c r="E5" s="5" t="n">
        <f aca="false">ITEM_MASTER_CLEAN!H5</f>
        <v>4</v>
      </c>
      <c r="F5" s="5" t="n">
        <f aca="false">ITEM_MASTER_CLEAN!I5</f>
        <v>1</v>
      </c>
      <c r="G5" s="5" t="n">
        <f aca="false">PAR_LEVELS!J5</f>
        <v>5.57142857142857</v>
      </c>
      <c r="H5" s="5" t="n">
        <f aca="false">PAR_LEVELS!K5</f>
        <v>1.85714285714286</v>
      </c>
      <c r="I5" s="12" t="n">
        <f aca="false">E5*D5</f>
        <v>78.2</v>
      </c>
      <c r="J5" s="12" t="n">
        <f aca="false">F5*D5</f>
        <v>19.55</v>
      </c>
      <c r="K5" s="12" t="n">
        <f aca="false">MAX(E5-G5,0)*D5</f>
        <v>0</v>
      </c>
      <c r="L5" s="12" t="n">
        <f aca="false">MAX(F5-H5,0)*D5</f>
        <v>0</v>
      </c>
      <c r="M5" s="12" t="n">
        <f aca="false">MAX(G5-E5,0)*D5</f>
        <v>30.7214285714286</v>
      </c>
      <c r="N5" s="12" t="n">
        <f aca="false">MAX(H5-F5,0)*D5</f>
        <v>16.7571428571429</v>
      </c>
      <c r="O5" s="26" t="n">
        <f aca="false">IFERROR(E5/DEMAND_MODEL!K5,999)</f>
        <v>9.33333333333333</v>
      </c>
      <c r="P5" s="26" t="n">
        <f aca="false">IFERROR(F5/DEMAND_MODEL!L5,999)</f>
        <v>7</v>
      </c>
    </row>
    <row r="6" customFormat="false" ht="15" hidden="false" customHeight="false" outlineLevel="0" collapsed="false">
      <c r="A6" s="5" t="n">
        <f aca="false">ITEM_MASTER_CLEAN!A6</f>
        <v>5</v>
      </c>
      <c r="B6" s="5" t="n">
        <f aca="false">ITEM_MASTER_CLEAN!B6</f>
        <v>22401</v>
      </c>
      <c r="C6" s="5" t="str">
        <f aca="false">ITEM_MASTER_CLEAN!C6</f>
        <v>LADIP LABEL BIRTHDAY CAKE 1RLX50UN</v>
      </c>
      <c r="D6" s="12" t="n">
        <f aca="false">ITEM_MASTER_CLEAN!F6</f>
        <v>23.36</v>
      </c>
      <c r="E6" s="5" t="n">
        <f aca="false">ITEM_MASTER_CLEAN!H6</f>
        <v>18</v>
      </c>
      <c r="F6" s="5" t="n">
        <f aca="false">ITEM_MASTER_CLEAN!I6</f>
        <v>4</v>
      </c>
      <c r="G6" s="5" t="n">
        <f aca="false">PAR_LEVELS!J6</f>
        <v>7.42857142857143</v>
      </c>
      <c r="H6" s="5" t="n">
        <f aca="false">PAR_LEVELS!K6</f>
        <v>1.85714285714286</v>
      </c>
      <c r="I6" s="12" t="n">
        <f aca="false">E6*D6</f>
        <v>420.48</v>
      </c>
      <c r="J6" s="12" t="n">
        <f aca="false">F6*D6</f>
        <v>93.44</v>
      </c>
      <c r="K6" s="12" t="n">
        <f aca="false">MAX(E6-G6,0)*D6</f>
        <v>246.948571428571</v>
      </c>
      <c r="L6" s="12" t="n">
        <f aca="false">MAX(F6-H6,0)*D6</f>
        <v>50.0571428571429</v>
      </c>
      <c r="M6" s="12" t="n">
        <f aca="false">MAX(G6-E6,0)*D6</f>
        <v>0</v>
      </c>
      <c r="N6" s="12" t="n">
        <f aca="false">MAX(H6-F6,0)*D6</f>
        <v>0</v>
      </c>
      <c r="O6" s="26" t="n">
        <f aca="false">IFERROR(E6/DEMAND_MODEL!K6,999)</f>
        <v>31.5</v>
      </c>
      <c r="P6" s="26" t="n">
        <f aca="false">IFERROR(F6/DEMAND_MODEL!L6,999)</f>
        <v>28</v>
      </c>
    </row>
    <row r="7" customFormat="false" ht="15" hidden="false" customHeight="false" outlineLevel="0" collapsed="false">
      <c r="A7" s="5" t="n">
        <f aca="false">ITEM_MASTER_CLEAN!A7</f>
        <v>6</v>
      </c>
      <c r="B7" s="5" t="n">
        <f aca="false">ITEM_MASTER_CLEAN!B7</f>
        <v>22402</v>
      </c>
      <c r="C7" s="5" t="str">
        <f aca="false">ITEM_MASTER_CLEAN!C7</f>
        <v>LADIP LABEL COOKIE &amp; CREAM CAKE 1RL</v>
      </c>
      <c r="D7" s="12" t="n">
        <f aca="false">ITEM_MASTER_CLEAN!F7</f>
        <v>18.46</v>
      </c>
      <c r="E7" s="5" t="n">
        <f aca="false">ITEM_MASTER_CLEAN!H7</f>
        <v>3</v>
      </c>
      <c r="F7" s="5" t="n">
        <f aca="false">ITEM_MASTER_CLEAN!I7</f>
        <v>3</v>
      </c>
      <c r="G7" s="5" t="n">
        <f aca="false">PAR_LEVELS!J7</f>
        <v>3.71428571428571</v>
      </c>
      <c r="H7" s="5" t="n">
        <f aca="false">PAR_LEVELS!K7</f>
        <v>3.71428571428571</v>
      </c>
      <c r="I7" s="12" t="n">
        <f aca="false">E7*D7</f>
        <v>55.38</v>
      </c>
      <c r="J7" s="12" t="n">
        <f aca="false">F7*D7</f>
        <v>55.38</v>
      </c>
      <c r="K7" s="12" t="n">
        <f aca="false">MAX(E7-G7,0)*D7</f>
        <v>0</v>
      </c>
      <c r="L7" s="12" t="n">
        <f aca="false">MAX(F7-H7,0)*D7</f>
        <v>0</v>
      </c>
      <c r="M7" s="12" t="n">
        <f aca="false">MAX(G7-E7,0)*D7</f>
        <v>13.1857142857143</v>
      </c>
      <c r="N7" s="12" t="n">
        <f aca="false">MAX(H7-F7,0)*D7</f>
        <v>13.1857142857143</v>
      </c>
      <c r="O7" s="26" t="n">
        <f aca="false">IFERROR(E7/DEMAND_MODEL!K7,999)</f>
        <v>10.5</v>
      </c>
      <c r="P7" s="26" t="n">
        <f aca="false">IFERROR(F7/DEMAND_MODEL!L7,999)</f>
        <v>10.5</v>
      </c>
    </row>
    <row r="8" customFormat="false" ht="15" hidden="false" customHeight="false" outlineLevel="0" collapsed="false">
      <c r="A8" s="5" t="n">
        <f aca="false">ITEM_MASTER_CLEAN!A8</f>
        <v>7</v>
      </c>
      <c r="B8" s="5" t="n">
        <f aca="false">ITEM_MASTER_CLEAN!B8</f>
        <v>22406</v>
      </c>
      <c r="C8" s="5" t="str">
        <f aca="false">ITEM_MASTER_CLEAN!C8</f>
        <v>LADIP LABEL SALTD CARAMEL CAKE 1RL</v>
      </c>
      <c r="D8" s="12" t="n">
        <f aca="false">ITEM_MASTER_CLEAN!F8</f>
        <v>19.63</v>
      </c>
      <c r="E8" s="5" t="n">
        <f aca="false">ITEM_MASTER_CLEAN!H8</f>
        <v>10</v>
      </c>
      <c r="F8" s="5" t="n">
        <f aca="false">ITEM_MASTER_CLEAN!I8</f>
        <v>0</v>
      </c>
      <c r="G8" s="5" t="n">
        <f aca="false">PAR_LEVELS!J8</f>
        <v>5.57142857142857</v>
      </c>
      <c r="H8" s="5" t="n">
        <f aca="false">PAR_LEVELS!K8</f>
        <v>1.85714285714286</v>
      </c>
      <c r="I8" s="12" t="n">
        <f aca="false">E8*D8</f>
        <v>196.3</v>
      </c>
      <c r="J8" s="12" t="n">
        <f aca="false">F8*D8</f>
        <v>0</v>
      </c>
      <c r="K8" s="12" t="n">
        <f aca="false">MAX(E8-G8,0)*D8</f>
        <v>86.9328571428572</v>
      </c>
      <c r="L8" s="12" t="n">
        <f aca="false">MAX(F8-H8,0)*D8</f>
        <v>0</v>
      </c>
      <c r="M8" s="12" t="n">
        <f aca="false">MAX(G8-E8,0)*D8</f>
        <v>0</v>
      </c>
      <c r="N8" s="12" t="n">
        <f aca="false">MAX(H8-F8,0)*D8</f>
        <v>36.4557142857143</v>
      </c>
      <c r="O8" s="26" t="n">
        <f aca="false">IFERROR(E8/DEMAND_MODEL!K8,999)</f>
        <v>23.3333333333333</v>
      </c>
      <c r="P8" s="26" t="n">
        <f aca="false">IFERROR(F8/DEMAND_MODEL!L8,999)</f>
        <v>0</v>
      </c>
    </row>
    <row r="9" customFormat="false" ht="23.85" hidden="false" customHeight="false" outlineLevel="0" collapsed="false">
      <c r="A9" s="5" t="n">
        <f aca="false">ITEM_MASTER_CLEAN!A9</f>
        <v>8</v>
      </c>
      <c r="B9" s="5" t="n">
        <f aca="false">ITEM_MASTER_CLEAN!B9</f>
        <v>22407</v>
      </c>
      <c r="C9" s="5" t="str">
        <f aca="false">ITEM_MASTER_CLEAN!C9</f>
        <v>LADIP LABEL STRABERRY CAKE 1RLX50UN</v>
      </c>
      <c r="D9" s="12" t="n">
        <f aca="false">ITEM_MASTER_CLEAN!F9</f>
        <v>22.62</v>
      </c>
      <c r="E9" s="5" t="n">
        <f aca="false">ITEM_MASTER_CLEAN!H9</f>
        <v>1</v>
      </c>
      <c r="F9" s="5" t="n">
        <f aca="false">ITEM_MASTER_CLEAN!I9</f>
        <v>11</v>
      </c>
      <c r="G9" s="5" t="n">
        <f aca="false">PAR_LEVELS!J9</f>
        <v>5.57142857142857</v>
      </c>
      <c r="H9" s="5" t="n">
        <f aca="false">PAR_LEVELS!K9</f>
        <v>5.57142857142857</v>
      </c>
      <c r="I9" s="12" t="n">
        <f aca="false">E9*D9</f>
        <v>22.62</v>
      </c>
      <c r="J9" s="12" t="n">
        <f aca="false">F9*D9</f>
        <v>248.82</v>
      </c>
      <c r="K9" s="12" t="n">
        <f aca="false">MAX(E9-G9,0)*D9</f>
        <v>0</v>
      </c>
      <c r="L9" s="12" t="n">
        <f aca="false">MAX(F9-H9,0)*D9</f>
        <v>122.794285714286</v>
      </c>
      <c r="M9" s="12" t="n">
        <f aca="false">MAX(G9-E9,0)*D9</f>
        <v>103.405714285714</v>
      </c>
      <c r="N9" s="12" t="n">
        <f aca="false">MAX(H9-F9,0)*D9</f>
        <v>0</v>
      </c>
      <c r="O9" s="26" t="n">
        <f aca="false">IFERROR(E9/DEMAND_MODEL!K9,999)</f>
        <v>2.33333333333333</v>
      </c>
      <c r="P9" s="26" t="n">
        <f aca="false">IFERROR(F9/DEMAND_MODEL!L9,999)</f>
        <v>25.6666666666667</v>
      </c>
    </row>
    <row r="10" customFormat="false" ht="15" hidden="false" customHeight="false" outlineLevel="0" collapsed="false">
      <c r="A10" s="5" t="n">
        <f aca="false">ITEM_MASTER_CLEAN!A10</f>
        <v>9</v>
      </c>
      <c r="B10" s="5" t="n">
        <f aca="false">ITEM_MASTER_CLEAN!B10</f>
        <v>25800</v>
      </c>
      <c r="C10" s="5" t="str">
        <f aca="false">ITEM_MASTER_CLEAN!C10</f>
        <v>CAKE CARDBOARD 8" BLCK GOLD 100</v>
      </c>
      <c r="D10" s="12" t="n">
        <f aca="false">ITEM_MASTER_CLEAN!F10</f>
        <v>15.99</v>
      </c>
      <c r="E10" s="5" t="n">
        <f aca="false">ITEM_MASTER_CLEAN!H10</f>
        <v>11</v>
      </c>
      <c r="F10" s="5" t="n">
        <f aca="false">ITEM_MASTER_CLEAN!I10</f>
        <v>4</v>
      </c>
      <c r="G10" s="5" t="n">
        <f aca="false">PAR_LEVELS!J10</f>
        <v>5.57142857142857</v>
      </c>
      <c r="H10" s="5" t="n">
        <f aca="false">PAR_LEVELS!K10</f>
        <v>1.85714285714286</v>
      </c>
      <c r="I10" s="12" t="n">
        <f aca="false">E10*D10</f>
        <v>175.89</v>
      </c>
      <c r="J10" s="12" t="n">
        <f aca="false">F10*D10</f>
        <v>63.96</v>
      </c>
      <c r="K10" s="12" t="n">
        <f aca="false">MAX(E10-G10,0)*D10</f>
        <v>86.8028571428572</v>
      </c>
      <c r="L10" s="12" t="n">
        <f aca="false">MAX(F10-H10,0)*D10</f>
        <v>34.2642857142857</v>
      </c>
      <c r="M10" s="12" t="n">
        <f aca="false">MAX(G10-E10,0)*D10</f>
        <v>0</v>
      </c>
      <c r="N10" s="12" t="n">
        <f aca="false">MAX(H10-F10,0)*D10</f>
        <v>0</v>
      </c>
      <c r="O10" s="26" t="n">
        <f aca="false">IFERROR(E10/DEMAND_MODEL!K10,999)</f>
        <v>25.6666666666667</v>
      </c>
      <c r="P10" s="26" t="n">
        <f aca="false">IFERROR(F10/DEMAND_MODEL!L10,999)</f>
        <v>28</v>
      </c>
    </row>
    <row r="11" customFormat="false" ht="15" hidden="false" customHeight="false" outlineLevel="0" collapsed="false">
      <c r="A11" s="5" t="n">
        <f aca="false">ITEM_MASTER_CLEAN!A11</f>
        <v>10</v>
      </c>
      <c r="B11" s="5" t="n">
        <f aca="false">ITEM_MASTER_CLEAN!B11</f>
        <v>25802</v>
      </c>
      <c r="C11" s="5" t="str">
        <f aca="false">ITEM_MASTER_CLEAN!C11</f>
        <v>ACETATE ROLL 3.5"X1250" 4MM 1RL</v>
      </c>
      <c r="D11" s="12" t="n">
        <f aca="false">ITEM_MASTER_CLEAN!F11</f>
        <v>23.42</v>
      </c>
      <c r="E11" s="5" t="n">
        <f aca="false">ITEM_MASTER_CLEAN!H11</f>
        <v>14</v>
      </c>
      <c r="F11" s="5" t="n">
        <f aca="false">ITEM_MASTER_CLEAN!I11</f>
        <v>11</v>
      </c>
      <c r="G11" s="5" t="n">
        <f aca="false">PAR_LEVELS!J11</f>
        <v>5.57142857142857</v>
      </c>
      <c r="H11" s="5" t="n">
        <f aca="false">PAR_LEVELS!K11</f>
        <v>5.57142857142857</v>
      </c>
      <c r="I11" s="12" t="n">
        <f aca="false">E11*D11</f>
        <v>327.88</v>
      </c>
      <c r="J11" s="12" t="n">
        <f aca="false">F11*D11</f>
        <v>257.62</v>
      </c>
      <c r="K11" s="12" t="n">
        <f aca="false">MAX(E11-G11,0)*D11</f>
        <v>197.397142857143</v>
      </c>
      <c r="L11" s="12" t="n">
        <f aca="false">MAX(F11-H11,0)*D11</f>
        <v>127.137142857143</v>
      </c>
      <c r="M11" s="12" t="n">
        <f aca="false">MAX(G11-E11,0)*D11</f>
        <v>0</v>
      </c>
      <c r="N11" s="12" t="n">
        <f aca="false">MAX(H11-F11,0)*D11</f>
        <v>0</v>
      </c>
      <c r="O11" s="26" t="n">
        <f aca="false">IFERROR(E11/DEMAND_MODEL!K11,999)</f>
        <v>32.6666666666667</v>
      </c>
      <c r="P11" s="26" t="n">
        <f aca="false">IFERROR(F11/DEMAND_MODEL!L11,999)</f>
        <v>25.6666666666667</v>
      </c>
    </row>
    <row r="12" customFormat="false" ht="15" hidden="false" customHeight="false" outlineLevel="0" collapsed="false">
      <c r="A12" s="5" t="n">
        <f aca="false">ITEM_MASTER_CLEAN!A12</f>
        <v>11</v>
      </c>
      <c r="B12" s="5" t="n">
        <f aca="false">ITEM_MASTER_CLEAN!B12</f>
        <v>19689</v>
      </c>
      <c r="C12" s="5" t="str">
        <f aca="false">ITEM_MASTER_CLEAN!C12</f>
        <v>CAKE CUPCAKE BLACKOUT 8X4UN</v>
      </c>
      <c r="D12" s="12" t="n">
        <f aca="false">ITEM_MASTER_CLEAN!F12</f>
        <v>13.82</v>
      </c>
      <c r="E12" s="5" t="n">
        <f aca="false">ITEM_MASTER_CLEAN!H12</f>
        <v>1</v>
      </c>
      <c r="F12" s="5" t="n">
        <f aca="false">ITEM_MASTER_CLEAN!I12</f>
        <v>1</v>
      </c>
      <c r="G12" s="5" t="n">
        <f aca="false">PAR_LEVELS!J12</f>
        <v>1.85714285714286</v>
      </c>
      <c r="H12" s="5" t="n">
        <f aca="false">PAR_LEVELS!K12</f>
        <v>1.85714285714286</v>
      </c>
      <c r="I12" s="12" t="n">
        <f aca="false">E12*D12</f>
        <v>13.82</v>
      </c>
      <c r="J12" s="12" t="n">
        <f aca="false">F12*D12</f>
        <v>13.82</v>
      </c>
      <c r="K12" s="12" t="n">
        <f aca="false">MAX(E12-G12,0)*D12</f>
        <v>0</v>
      </c>
      <c r="L12" s="12" t="n">
        <f aca="false">MAX(F12-H12,0)*D12</f>
        <v>0</v>
      </c>
      <c r="M12" s="12" t="n">
        <f aca="false">MAX(G12-E12,0)*D12</f>
        <v>11.8457142857143</v>
      </c>
      <c r="N12" s="12" t="n">
        <f aca="false">MAX(H12-F12,0)*D12</f>
        <v>11.8457142857143</v>
      </c>
      <c r="O12" s="26" t="n">
        <f aca="false">IFERROR(E12/DEMAND_MODEL!K12,999)</f>
        <v>7</v>
      </c>
      <c r="P12" s="26" t="n">
        <f aca="false">IFERROR(F12/DEMAND_MODEL!L12,999)</f>
        <v>7</v>
      </c>
    </row>
    <row r="13" customFormat="false" ht="15" hidden="false" customHeight="false" outlineLevel="0" collapsed="false">
      <c r="A13" s="5" t="n">
        <f aca="false">ITEM_MASTER_CLEAN!A13</f>
        <v>12</v>
      </c>
      <c r="B13" s="5" t="n">
        <f aca="false">ITEM_MASTER_CLEAN!B13</f>
        <v>19692</v>
      </c>
      <c r="C13" s="5" t="str">
        <f aca="false">ITEM_MASTER_CLEAN!C13</f>
        <v>CAKE CUPCAKE RED VELVET 8X4UN</v>
      </c>
      <c r="D13" s="12" t="n">
        <f aca="false">ITEM_MASTER_CLEAN!F13</f>
        <v>21.36</v>
      </c>
      <c r="E13" s="5" t="n">
        <f aca="false">ITEM_MASTER_CLEAN!H13</f>
        <v>6</v>
      </c>
      <c r="F13" s="5" t="n">
        <f aca="false">ITEM_MASTER_CLEAN!I13</f>
        <v>4</v>
      </c>
      <c r="G13" s="5" t="n">
        <f aca="false">PAR_LEVELS!J13</f>
        <v>3.71428571428571</v>
      </c>
      <c r="H13" s="5" t="n">
        <f aca="false">PAR_LEVELS!K13</f>
        <v>1.85714285714286</v>
      </c>
      <c r="I13" s="12" t="n">
        <f aca="false">E13*D13</f>
        <v>128.16</v>
      </c>
      <c r="J13" s="12" t="n">
        <f aca="false">F13*D13</f>
        <v>85.44</v>
      </c>
      <c r="K13" s="12" t="n">
        <f aca="false">MAX(E13-G13,0)*D13</f>
        <v>48.8228571428571</v>
      </c>
      <c r="L13" s="12" t="n">
        <f aca="false">MAX(F13-H13,0)*D13</f>
        <v>45.7714285714286</v>
      </c>
      <c r="M13" s="12" t="n">
        <f aca="false">MAX(G13-E13,0)*D13</f>
        <v>0</v>
      </c>
      <c r="N13" s="12" t="n">
        <f aca="false">MAX(H13-F13,0)*D13</f>
        <v>0</v>
      </c>
      <c r="O13" s="26" t="n">
        <f aca="false">IFERROR(E13/DEMAND_MODEL!K13,999)</f>
        <v>21</v>
      </c>
      <c r="P13" s="26" t="n">
        <f aca="false">IFERROR(F13/DEMAND_MODEL!L13,999)</f>
        <v>28</v>
      </c>
    </row>
    <row r="14" customFormat="false" ht="15" hidden="false" customHeight="false" outlineLevel="0" collapsed="false">
      <c r="A14" s="5" t="n">
        <f aca="false">ITEM_MASTER_CLEAN!A14</f>
        <v>13</v>
      </c>
      <c r="B14" s="5" t="n">
        <f aca="false">ITEM_MASTER_CLEAN!B14</f>
        <v>19693</v>
      </c>
      <c r="C14" s="5" t="str">
        <f aca="false">ITEM_MASTER_CLEAN!C14</f>
        <v>CAKE CUPCAKE VANILLA BEAN 8X4UN</v>
      </c>
      <c r="D14" s="12" t="n">
        <f aca="false">ITEM_MASTER_CLEAN!F14</f>
        <v>17.87</v>
      </c>
      <c r="E14" s="5" t="n">
        <f aca="false">ITEM_MASTER_CLEAN!H14</f>
        <v>1</v>
      </c>
      <c r="F14" s="5" t="n">
        <f aca="false">ITEM_MASTER_CLEAN!I14</f>
        <v>3</v>
      </c>
      <c r="G14" s="5" t="n">
        <f aca="false">PAR_LEVELS!J14</f>
        <v>1.85714285714286</v>
      </c>
      <c r="H14" s="5" t="n">
        <f aca="false">PAR_LEVELS!K14</f>
        <v>3.71428571428571</v>
      </c>
      <c r="I14" s="12" t="n">
        <f aca="false">E14*D14</f>
        <v>17.87</v>
      </c>
      <c r="J14" s="12" t="n">
        <f aca="false">F14*D14</f>
        <v>53.61</v>
      </c>
      <c r="K14" s="12" t="n">
        <f aca="false">MAX(E14-G14,0)*D14</f>
        <v>0</v>
      </c>
      <c r="L14" s="12" t="n">
        <f aca="false">MAX(F14-H14,0)*D14</f>
        <v>0</v>
      </c>
      <c r="M14" s="12" t="n">
        <f aca="false">MAX(G14-E14,0)*D14</f>
        <v>15.3171428571429</v>
      </c>
      <c r="N14" s="12" t="n">
        <f aca="false">MAX(H14-F14,0)*D14</f>
        <v>12.7642857142857</v>
      </c>
      <c r="O14" s="26" t="n">
        <f aca="false">IFERROR(E14/DEMAND_MODEL!K14,999)</f>
        <v>7</v>
      </c>
      <c r="P14" s="26" t="n">
        <f aca="false">IFERROR(F14/DEMAND_MODEL!L14,999)</f>
        <v>10.5</v>
      </c>
    </row>
    <row r="15" customFormat="false" ht="15" hidden="false" customHeight="false" outlineLevel="0" collapsed="false">
      <c r="A15" s="5" t="n">
        <f aca="false">ITEM_MASTER_CLEAN!A15</f>
        <v>14</v>
      </c>
      <c r="B15" s="5" t="n">
        <f aca="false">ITEM_MASTER_CLEAN!B15</f>
        <v>19688</v>
      </c>
      <c r="C15" s="5" t="str">
        <f aca="false">ITEM_MASTER_CLEAN!C15</f>
        <v>CAKE CHEESE ORIGINAL 6X6"</v>
      </c>
      <c r="D15" s="12" t="n">
        <f aca="false">ITEM_MASTER_CLEAN!F15</f>
        <v>58</v>
      </c>
      <c r="E15" s="5" t="n">
        <f aca="false">ITEM_MASTER_CLEAN!H15</f>
        <v>0</v>
      </c>
      <c r="F15" s="5" t="n">
        <f aca="false">ITEM_MASTER_CLEAN!I15</f>
        <v>7</v>
      </c>
      <c r="G15" s="5" t="n">
        <f aca="false">PAR_LEVELS!J15</f>
        <v>1.85714285714286</v>
      </c>
      <c r="H15" s="5" t="n">
        <f aca="false">PAR_LEVELS!K15</f>
        <v>3.71428571428571</v>
      </c>
      <c r="I15" s="12" t="n">
        <f aca="false">E15*D15</f>
        <v>0</v>
      </c>
      <c r="J15" s="12" t="n">
        <f aca="false">F15*D15</f>
        <v>406</v>
      </c>
      <c r="K15" s="12" t="n">
        <f aca="false">MAX(E15-G15,0)*D15</f>
        <v>0</v>
      </c>
      <c r="L15" s="12" t="n">
        <f aca="false">MAX(F15-H15,0)*D15</f>
        <v>190.571428571429</v>
      </c>
      <c r="M15" s="12" t="n">
        <f aca="false">MAX(G15-E15,0)*D15</f>
        <v>107.714285714286</v>
      </c>
      <c r="N15" s="12" t="n">
        <f aca="false">MAX(H15-F15,0)*D15</f>
        <v>0</v>
      </c>
      <c r="O15" s="26" t="n">
        <f aca="false">IFERROR(E15/DEMAND_MODEL!K15,999)</f>
        <v>0</v>
      </c>
      <c r="P15" s="26" t="n">
        <f aca="false">IFERROR(F15/DEMAND_MODEL!L15,999)</f>
        <v>24.5</v>
      </c>
    </row>
    <row r="16" customFormat="false" ht="15" hidden="false" customHeight="false" outlineLevel="0" collapsed="false">
      <c r="A16" s="5" t="n">
        <f aca="false">ITEM_MASTER_CLEAN!A16</f>
        <v>15</v>
      </c>
      <c r="B16" s="5" t="n">
        <f aca="false">ITEM_MASTER_CLEAN!B16</f>
        <v>19687</v>
      </c>
      <c r="C16" s="5" t="str">
        <f aca="false">ITEM_MASTER_CLEAN!C16</f>
        <v>CAKE CHEESE WHT CHOC/RASP 6X6"</v>
      </c>
      <c r="D16" s="12" t="n">
        <f aca="false">ITEM_MASTER_CLEAN!F16</f>
        <v>84.7</v>
      </c>
      <c r="E16" s="5" t="n">
        <f aca="false">ITEM_MASTER_CLEAN!H16</f>
        <v>0</v>
      </c>
      <c r="F16" s="5" t="n">
        <f aca="false">ITEM_MASTER_CLEAN!I16</f>
        <v>0</v>
      </c>
      <c r="G16" s="5" t="n">
        <f aca="false">PAR_LEVELS!J16</f>
        <v>5.57142857142857</v>
      </c>
      <c r="H16" s="5" t="n">
        <f aca="false">PAR_LEVELS!K16</f>
        <v>3.71428571428571</v>
      </c>
      <c r="I16" s="12" t="n">
        <f aca="false">E16*D16</f>
        <v>0</v>
      </c>
      <c r="J16" s="12" t="n">
        <f aca="false">F16*D16</f>
        <v>0</v>
      </c>
      <c r="K16" s="12" t="n">
        <f aca="false">MAX(E16-G16,0)*D16</f>
        <v>0</v>
      </c>
      <c r="L16" s="12" t="n">
        <f aca="false">MAX(F16-H16,0)*D16</f>
        <v>0</v>
      </c>
      <c r="M16" s="12" t="n">
        <f aca="false">MAX(G16-E16,0)*D16</f>
        <v>471.9</v>
      </c>
      <c r="N16" s="12" t="n">
        <f aca="false">MAX(H16-F16,0)*D16</f>
        <v>314.6</v>
      </c>
      <c r="O16" s="26" t="n">
        <f aca="false">IFERROR(E16/DEMAND_MODEL!K16,999)</f>
        <v>0</v>
      </c>
      <c r="P16" s="26" t="n">
        <f aca="false">IFERROR(F16/DEMAND_MODEL!L16,999)</f>
        <v>0</v>
      </c>
    </row>
    <row r="17" customFormat="false" ht="15" hidden="false" customHeight="false" outlineLevel="0" collapsed="false">
      <c r="A17" s="5" t="n">
        <f aca="false">ITEM_MASTER_CLEAN!A17</f>
        <v>16</v>
      </c>
      <c r="B17" s="5" t="n">
        <f aca="false">ITEM_MASTER_CLEAN!B17</f>
        <v>19685</v>
      </c>
      <c r="C17" s="5" t="str">
        <f aca="false">ITEM_MASTER_CLEAN!C17</f>
        <v>CAKE CHEESE CHOC MOUSSE 6X6"</v>
      </c>
      <c r="D17" s="12" t="n">
        <f aca="false">ITEM_MASTER_CLEAN!F17</f>
        <v>40.56</v>
      </c>
      <c r="E17" s="5" t="n">
        <f aca="false">ITEM_MASTER_CLEAN!H17</f>
        <v>1</v>
      </c>
      <c r="F17" s="5" t="n">
        <f aca="false">ITEM_MASTER_CLEAN!I17</f>
        <v>1</v>
      </c>
      <c r="G17" s="5" t="n">
        <f aca="false">PAR_LEVELS!J17</f>
        <v>1.85714285714286</v>
      </c>
      <c r="H17" s="5" t="n">
        <f aca="false">PAR_LEVELS!K17</f>
        <v>1.85714285714286</v>
      </c>
      <c r="I17" s="12" t="n">
        <f aca="false">E17*D17</f>
        <v>40.56</v>
      </c>
      <c r="J17" s="12" t="n">
        <f aca="false">F17*D17</f>
        <v>40.56</v>
      </c>
      <c r="K17" s="12" t="n">
        <f aca="false">MAX(E17-G17,0)*D17</f>
        <v>0</v>
      </c>
      <c r="L17" s="12" t="n">
        <f aca="false">MAX(F17-H17,0)*D17</f>
        <v>0</v>
      </c>
      <c r="M17" s="12" t="n">
        <f aca="false">MAX(G17-E17,0)*D17</f>
        <v>34.7657142857143</v>
      </c>
      <c r="N17" s="12" t="n">
        <f aca="false">MAX(H17-F17,0)*D17</f>
        <v>34.7657142857143</v>
      </c>
      <c r="O17" s="26" t="n">
        <f aca="false">IFERROR(E17/DEMAND_MODEL!K17,999)</f>
        <v>7</v>
      </c>
      <c r="P17" s="26" t="n">
        <f aca="false">IFERROR(F17/DEMAND_MODEL!L17,999)</f>
        <v>7</v>
      </c>
    </row>
    <row r="18" customFormat="false" ht="15" hidden="false" customHeight="false" outlineLevel="0" collapsed="false">
      <c r="A18" s="5" t="n">
        <f aca="false">ITEM_MASTER_CLEAN!A18</f>
        <v>17</v>
      </c>
      <c r="B18" s="5" t="n">
        <f aca="false">ITEM_MASTER_CLEAN!B18</f>
        <v>19628</v>
      </c>
      <c r="C18" s="5" t="str">
        <f aca="false">ITEM_MASTER_CLEAN!C18</f>
        <v>CAKE CHEESE CAKE FACTORY 2X14UN</v>
      </c>
      <c r="D18" s="12" t="n">
        <f aca="false">ITEM_MASTER_CLEAN!F18</f>
        <v>33.35</v>
      </c>
      <c r="E18" s="5" t="n">
        <f aca="false">ITEM_MASTER_CLEAN!H18</f>
        <v>3</v>
      </c>
      <c r="F18" s="5" t="n">
        <f aca="false">ITEM_MASTER_CLEAN!I18</f>
        <v>1</v>
      </c>
      <c r="G18" s="5" t="n">
        <f aca="false">PAR_LEVELS!J18</f>
        <v>3.71428571428571</v>
      </c>
      <c r="H18" s="5" t="n">
        <f aca="false">PAR_LEVELS!K18</f>
        <v>1.85714285714286</v>
      </c>
      <c r="I18" s="12" t="n">
        <f aca="false">E18*D18</f>
        <v>100.05</v>
      </c>
      <c r="J18" s="12" t="n">
        <f aca="false">F18*D18</f>
        <v>33.35</v>
      </c>
      <c r="K18" s="12" t="n">
        <f aca="false">MAX(E18-G18,0)*D18</f>
        <v>0</v>
      </c>
      <c r="L18" s="12" t="n">
        <f aca="false">MAX(F18-H18,0)*D18</f>
        <v>0</v>
      </c>
      <c r="M18" s="12" t="n">
        <f aca="false">MAX(G18-E18,0)*D18</f>
        <v>23.8214285714286</v>
      </c>
      <c r="N18" s="12" t="n">
        <f aca="false">MAX(H18-F18,0)*D18</f>
        <v>28.5857142857143</v>
      </c>
      <c r="O18" s="26" t="n">
        <f aca="false">IFERROR(E18/DEMAND_MODEL!K18,999)</f>
        <v>10.5</v>
      </c>
      <c r="P18" s="26" t="n">
        <f aca="false">IFERROR(F18/DEMAND_MODEL!L18,999)</f>
        <v>7</v>
      </c>
    </row>
    <row r="19" customFormat="false" ht="15" hidden="false" customHeight="false" outlineLevel="0" collapsed="false">
      <c r="A19" s="5" t="n">
        <f aca="false">ITEM_MASTER_CLEAN!A19</f>
        <v>18</v>
      </c>
      <c r="B19" s="5" t="n">
        <f aca="false">ITEM_MASTER_CLEAN!B19</f>
        <v>16992</v>
      </c>
      <c r="C19" s="5" t="str">
        <f aca="false">ITEM_MASTER_CLEAN!C19</f>
        <v>CAKE CHEESE MANGO LIME X2</v>
      </c>
      <c r="D19" s="12" t="n">
        <f aca="false">ITEM_MASTER_CLEAN!F19</f>
        <v>72.45</v>
      </c>
      <c r="E19" s="5" t="n">
        <f aca="false">ITEM_MASTER_CLEAN!H19</f>
        <v>0</v>
      </c>
      <c r="F19" s="5" t="n">
        <f aca="false">ITEM_MASTER_CLEAN!I19</f>
        <v>0</v>
      </c>
      <c r="G19" s="5" t="n">
        <f aca="false">PAR_LEVELS!J19</f>
        <v>1.85714285714286</v>
      </c>
      <c r="H19" s="5" t="n">
        <f aca="false">PAR_LEVELS!K19</f>
        <v>3.71428571428571</v>
      </c>
      <c r="I19" s="12" t="n">
        <f aca="false">E19*D19</f>
        <v>0</v>
      </c>
      <c r="J19" s="12" t="n">
        <f aca="false">F19*D19</f>
        <v>0</v>
      </c>
      <c r="K19" s="12" t="n">
        <f aca="false">MAX(E19-G19,0)*D19</f>
        <v>0</v>
      </c>
      <c r="L19" s="12" t="n">
        <f aca="false">MAX(F19-H19,0)*D19</f>
        <v>0</v>
      </c>
      <c r="M19" s="12" t="n">
        <f aca="false">MAX(G19-E19,0)*D19</f>
        <v>134.55</v>
      </c>
      <c r="N19" s="12" t="n">
        <f aca="false">MAX(H19-F19,0)*D19</f>
        <v>269.1</v>
      </c>
      <c r="O19" s="26" t="n">
        <f aca="false">IFERROR(E19/DEMAND_MODEL!K19,999)</f>
        <v>0</v>
      </c>
      <c r="P19" s="26" t="n">
        <f aca="false">IFERROR(F19/DEMAND_MODEL!L19,999)</f>
        <v>0</v>
      </c>
    </row>
    <row r="20" customFormat="false" ht="15" hidden="false" customHeight="false" outlineLevel="0" collapsed="false">
      <c r="A20" s="5" t="n">
        <f aca="false">ITEM_MASTER_CLEAN!A20</f>
        <v>19</v>
      </c>
      <c r="B20" s="5" t="n">
        <f aca="false">ITEM_MASTER_CLEAN!B20</f>
        <v>16995</v>
      </c>
      <c r="C20" s="5" t="str">
        <f aca="false">ITEM_MASTER_CLEAN!C20</f>
        <v>CAKE CHEESE CINNABON X2</v>
      </c>
      <c r="D20" s="12" t="n">
        <f aca="false">ITEM_MASTER_CLEAN!F20</f>
        <v>41.11</v>
      </c>
      <c r="E20" s="5" t="n">
        <f aca="false">ITEM_MASTER_CLEAN!H20</f>
        <v>3</v>
      </c>
      <c r="F20" s="5" t="n">
        <f aca="false">ITEM_MASTER_CLEAN!I20</f>
        <v>0</v>
      </c>
      <c r="G20" s="5" t="n">
        <f aca="false">PAR_LEVELS!J20</f>
        <v>1.85714285714286</v>
      </c>
      <c r="H20" s="5" t="n">
        <f aca="false">PAR_LEVELS!K20</f>
        <v>3.71428571428571</v>
      </c>
      <c r="I20" s="12" t="n">
        <f aca="false">E20*D20</f>
        <v>123.33</v>
      </c>
      <c r="J20" s="12" t="n">
        <f aca="false">F20*D20</f>
        <v>0</v>
      </c>
      <c r="K20" s="12" t="n">
        <f aca="false">MAX(E20-G20,0)*D20</f>
        <v>46.9828571428572</v>
      </c>
      <c r="L20" s="12" t="n">
        <f aca="false">MAX(F20-H20,0)*D20</f>
        <v>0</v>
      </c>
      <c r="M20" s="12" t="n">
        <f aca="false">MAX(G20-E20,0)*D20</f>
        <v>0</v>
      </c>
      <c r="N20" s="12" t="n">
        <f aca="false">MAX(H20-F20,0)*D20</f>
        <v>152.694285714286</v>
      </c>
      <c r="O20" s="26" t="n">
        <f aca="false">IFERROR(E20/DEMAND_MODEL!K20,999)</f>
        <v>21</v>
      </c>
      <c r="P20" s="26" t="n">
        <f aca="false">IFERROR(F20/DEMAND_MODEL!L20,999)</f>
        <v>0</v>
      </c>
    </row>
    <row r="21" customFormat="false" ht="15" hidden="false" customHeight="false" outlineLevel="0" collapsed="false">
      <c r="A21" s="5" t="n">
        <f aca="false">ITEM_MASTER_CLEAN!A21</f>
        <v>20</v>
      </c>
      <c r="B21" s="5" t="n">
        <f aca="false">ITEM_MASTER_CLEAN!B21</f>
        <v>19629</v>
      </c>
      <c r="C21" s="5" t="str">
        <f aca="false">ITEM_MASTER_CLEAN!C21</f>
        <v>CAKE GODIVA DBL CHOC CHEESE 2X28PC</v>
      </c>
      <c r="D21" s="12" t="n">
        <f aca="false">ITEM_MASTER_CLEAN!F21</f>
        <v>29.38</v>
      </c>
      <c r="E21" s="5" t="n">
        <f aca="false">ITEM_MASTER_CLEAN!H21</f>
        <v>0</v>
      </c>
      <c r="F21" s="5" t="n">
        <f aca="false">ITEM_MASTER_CLEAN!I21</f>
        <v>7</v>
      </c>
      <c r="G21" s="5" t="n">
        <f aca="false">PAR_LEVELS!J21</f>
        <v>1.85714285714286</v>
      </c>
      <c r="H21" s="5" t="n">
        <f aca="false">PAR_LEVELS!K21</f>
        <v>3.71428571428571</v>
      </c>
      <c r="I21" s="12" t="n">
        <f aca="false">E21*D21</f>
        <v>0</v>
      </c>
      <c r="J21" s="12" t="n">
        <f aca="false">F21*D21</f>
        <v>205.66</v>
      </c>
      <c r="K21" s="12" t="n">
        <f aca="false">MAX(E21-G21,0)*D21</f>
        <v>0</v>
      </c>
      <c r="L21" s="12" t="n">
        <f aca="false">MAX(F21-H21,0)*D21</f>
        <v>96.5342857142857</v>
      </c>
      <c r="M21" s="12" t="n">
        <f aca="false">MAX(G21-E21,0)*D21</f>
        <v>54.5628571428571</v>
      </c>
      <c r="N21" s="12" t="n">
        <f aca="false">MAX(H21-F21,0)*D21</f>
        <v>0</v>
      </c>
      <c r="O21" s="26" t="n">
        <f aca="false">IFERROR(E21/DEMAND_MODEL!K21,999)</f>
        <v>0</v>
      </c>
      <c r="P21" s="26" t="n">
        <f aca="false">IFERROR(F21/DEMAND_MODEL!L21,999)</f>
        <v>24.5</v>
      </c>
    </row>
    <row r="22" customFormat="false" ht="15" hidden="false" customHeight="false" outlineLevel="0" collapsed="false">
      <c r="A22" s="5" t="n">
        <f aca="false">ITEM_MASTER_CLEAN!A22</f>
        <v>21</v>
      </c>
      <c r="B22" s="5" t="n">
        <f aca="false">ITEM_MASTER_CLEAN!B22</f>
        <v>16993</v>
      </c>
      <c r="C22" s="5" t="str">
        <f aca="false">ITEM_MASTER_CLEAN!C22</f>
        <v>CAKE CHEESE OREO X2</v>
      </c>
      <c r="D22" s="12" t="n">
        <f aca="false">ITEM_MASTER_CLEAN!F22</f>
        <v>55.72</v>
      </c>
      <c r="E22" s="5" t="n">
        <f aca="false">ITEM_MASTER_CLEAN!H22</f>
        <v>2</v>
      </c>
      <c r="F22" s="5" t="n">
        <f aca="false">ITEM_MASTER_CLEAN!I22</f>
        <v>3</v>
      </c>
      <c r="G22" s="5" t="n">
        <f aca="false">PAR_LEVELS!J22</f>
        <v>3.71428571428571</v>
      </c>
      <c r="H22" s="5" t="n">
        <f aca="false">PAR_LEVELS!K22</f>
        <v>3.71428571428571</v>
      </c>
      <c r="I22" s="12" t="n">
        <f aca="false">E22*D22</f>
        <v>111.44</v>
      </c>
      <c r="J22" s="12" t="n">
        <f aca="false">F22*D22</f>
        <v>167.16</v>
      </c>
      <c r="K22" s="12" t="n">
        <f aca="false">MAX(E22-G22,0)*D22</f>
        <v>0</v>
      </c>
      <c r="L22" s="12" t="n">
        <f aca="false">MAX(F22-H22,0)*D22</f>
        <v>0</v>
      </c>
      <c r="M22" s="12" t="n">
        <f aca="false">MAX(G22-E22,0)*D22</f>
        <v>95.52</v>
      </c>
      <c r="N22" s="12" t="n">
        <f aca="false">MAX(H22-F22,0)*D22</f>
        <v>39.8</v>
      </c>
      <c r="O22" s="26" t="n">
        <f aca="false">IFERROR(E22/DEMAND_MODEL!K22,999)</f>
        <v>7</v>
      </c>
      <c r="P22" s="26" t="n">
        <f aca="false">IFERROR(F22/DEMAND_MODEL!L22,999)</f>
        <v>10.5</v>
      </c>
    </row>
    <row r="23" customFormat="false" ht="15" hidden="false" customHeight="false" outlineLevel="0" collapsed="false">
      <c r="A23" s="5" t="n">
        <f aca="false">ITEM_MASTER_CLEAN!A23</f>
        <v>22</v>
      </c>
      <c r="B23" s="5" t="n">
        <f aca="false">ITEM_MASTER_CLEAN!B23</f>
        <v>16988</v>
      </c>
      <c r="C23" s="5" t="str">
        <f aca="false">ITEM_MASTER_CLEAN!C23</f>
        <v>CAKE CHEESE BANANA FOSTER X2</v>
      </c>
      <c r="D23" s="12" t="n">
        <f aca="false">ITEM_MASTER_CLEAN!F23</f>
        <v>72.39</v>
      </c>
      <c r="E23" s="5" t="n">
        <f aca="false">ITEM_MASTER_CLEAN!H23</f>
        <v>8</v>
      </c>
      <c r="F23" s="5" t="n">
        <f aca="false">ITEM_MASTER_CLEAN!I23</f>
        <v>0</v>
      </c>
      <c r="G23" s="5" t="n">
        <f aca="false">PAR_LEVELS!J23</f>
        <v>5.57142857142857</v>
      </c>
      <c r="H23" s="5" t="n">
        <f aca="false">PAR_LEVELS!K23</f>
        <v>1.85714285714286</v>
      </c>
      <c r="I23" s="12" t="n">
        <f aca="false">E23*D23</f>
        <v>579.12</v>
      </c>
      <c r="J23" s="12" t="n">
        <f aca="false">F23*D23</f>
        <v>0</v>
      </c>
      <c r="K23" s="12" t="n">
        <f aca="false">MAX(E23-G23,0)*D23</f>
        <v>175.804285714286</v>
      </c>
      <c r="L23" s="12" t="n">
        <f aca="false">MAX(F23-H23,0)*D23</f>
        <v>0</v>
      </c>
      <c r="M23" s="12" t="n">
        <f aca="false">MAX(G23-E23,0)*D23</f>
        <v>0</v>
      </c>
      <c r="N23" s="12" t="n">
        <f aca="false">MAX(H23-F23,0)*D23</f>
        <v>134.438571428571</v>
      </c>
      <c r="O23" s="26" t="n">
        <f aca="false">IFERROR(E23/DEMAND_MODEL!K23,999)</f>
        <v>18.6666666666667</v>
      </c>
      <c r="P23" s="26" t="n">
        <f aca="false">IFERROR(F23/DEMAND_MODEL!L23,999)</f>
        <v>0</v>
      </c>
    </row>
    <row r="24" customFormat="false" ht="15" hidden="false" customHeight="false" outlineLevel="0" collapsed="false">
      <c r="A24" s="5" t="n">
        <f aca="false">ITEM_MASTER_CLEAN!A24</f>
        <v>23</v>
      </c>
      <c r="B24" s="5" t="n">
        <f aca="false">ITEM_MASTER_CLEAN!B24</f>
        <v>16987</v>
      </c>
      <c r="C24" s="5" t="str">
        <f aca="false">ITEM_MASTER_CLEAN!C24</f>
        <v>CAKE CHEESE WILD STRWBERRY X2</v>
      </c>
      <c r="D24" s="12" t="n">
        <f aca="false">ITEM_MASTER_CLEAN!F24</f>
        <v>34.11</v>
      </c>
      <c r="E24" s="5" t="n">
        <f aca="false">ITEM_MASTER_CLEAN!H24</f>
        <v>0</v>
      </c>
      <c r="F24" s="5" t="n">
        <f aca="false">ITEM_MASTER_CLEAN!I24</f>
        <v>0</v>
      </c>
      <c r="G24" s="5" t="n">
        <f aca="false">PAR_LEVELS!J24</f>
        <v>1.85714285714286</v>
      </c>
      <c r="H24" s="5" t="n">
        <f aca="false">PAR_LEVELS!K24</f>
        <v>3.71428571428571</v>
      </c>
      <c r="I24" s="12" t="n">
        <f aca="false">E24*D24</f>
        <v>0</v>
      </c>
      <c r="J24" s="12" t="n">
        <f aca="false">F24*D24</f>
        <v>0</v>
      </c>
      <c r="K24" s="12" t="n">
        <f aca="false">MAX(E24-G24,0)*D24</f>
        <v>0</v>
      </c>
      <c r="L24" s="12" t="n">
        <f aca="false">MAX(F24-H24,0)*D24</f>
        <v>0</v>
      </c>
      <c r="M24" s="12" t="n">
        <f aca="false">MAX(G24-E24,0)*D24</f>
        <v>63.3471428571429</v>
      </c>
      <c r="N24" s="12" t="n">
        <f aca="false">MAX(H24-F24,0)*D24</f>
        <v>126.694285714286</v>
      </c>
      <c r="O24" s="26" t="n">
        <f aca="false">IFERROR(E24/DEMAND_MODEL!K24,999)</f>
        <v>0</v>
      </c>
      <c r="P24" s="26" t="n">
        <f aca="false">IFERROR(F24/DEMAND_MODEL!L24,999)</f>
        <v>0</v>
      </c>
    </row>
    <row r="25" customFormat="false" ht="15" hidden="false" customHeight="false" outlineLevel="0" collapsed="false">
      <c r="A25" s="5" t="n">
        <f aca="false">ITEM_MASTER_CLEAN!A25</f>
        <v>24</v>
      </c>
      <c r="B25" s="5" t="n">
        <f aca="false">ITEM_MASTER_CLEAN!B25</f>
        <v>16994</v>
      </c>
      <c r="C25" s="5" t="str">
        <f aca="false">ITEM_MASTER_CLEAN!C25</f>
        <v>CAKE CHEESE DULCE DE LECHE X2</v>
      </c>
      <c r="D25" s="12" t="n">
        <f aca="false">ITEM_MASTER_CLEAN!F25</f>
        <v>31.36</v>
      </c>
      <c r="E25" s="5" t="n">
        <f aca="false">ITEM_MASTER_CLEAN!H25</f>
        <v>9</v>
      </c>
      <c r="F25" s="5" t="n">
        <f aca="false">ITEM_MASTER_CLEAN!I25</f>
        <v>0</v>
      </c>
      <c r="G25" s="5" t="n">
        <f aca="false">PAR_LEVELS!J25</f>
        <v>5.57142857142857</v>
      </c>
      <c r="H25" s="5" t="n">
        <f aca="false">PAR_LEVELS!K25</f>
        <v>1.85714285714286</v>
      </c>
      <c r="I25" s="12" t="n">
        <f aca="false">E25*D25</f>
        <v>282.24</v>
      </c>
      <c r="J25" s="12" t="n">
        <f aca="false">F25*D25</f>
        <v>0</v>
      </c>
      <c r="K25" s="12" t="n">
        <f aca="false">MAX(E25-G25,0)*D25</f>
        <v>107.52</v>
      </c>
      <c r="L25" s="12" t="n">
        <f aca="false">MAX(F25-H25,0)*D25</f>
        <v>0</v>
      </c>
      <c r="M25" s="12" t="n">
        <f aca="false">MAX(G25-E25,0)*D25</f>
        <v>0</v>
      </c>
      <c r="N25" s="12" t="n">
        <f aca="false">MAX(H25-F25,0)*D25</f>
        <v>58.24</v>
      </c>
      <c r="O25" s="26" t="n">
        <f aca="false">IFERROR(E25/DEMAND_MODEL!K25,999)</f>
        <v>21</v>
      </c>
      <c r="P25" s="26" t="n">
        <f aca="false">IFERROR(F25/DEMAND_MODEL!L25,999)</f>
        <v>0</v>
      </c>
    </row>
    <row r="26" customFormat="false" ht="15" hidden="false" customHeight="false" outlineLevel="0" collapsed="false">
      <c r="A26" s="5" t="n">
        <f aca="false">ITEM_MASTER_CLEAN!A26</f>
        <v>25</v>
      </c>
      <c r="B26" s="5" t="n">
        <f aca="false">ITEM_MASTER_CLEAN!B26</f>
        <v>19694</v>
      </c>
      <c r="C26" s="5" t="str">
        <f aca="false">ITEM_MASTER_CLEAN!C26</f>
        <v>CAKE REESE P.BUTTER CHOC 2X28PC</v>
      </c>
      <c r="D26" s="12" t="n">
        <f aca="false">ITEM_MASTER_CLEAN!F26</f>
        <v>51.07</v>
      </c>
      <c r="E26" s="5" t="n">
        <f aca="false">ITEM_MASTER_CLEAN!H26</f>
        <v>0</v>
      </c>
      <c r="F26" s="5" t="n">
        <f aca="false">ITEM_MASTER_CLEAN!I26</f>
        <v>0</v>
      </c>
      <c r="G26" s="5" t="n">
        <f aca="false">PAR_LEVELS!J26</f>
        <v>1.85714285714286</v>
      </c>
      <c r="H26" s="5" t="n">
        <f aca="false">PAR_LEVELS!K26</f>
        <v>1.85714285714286</v>
      </c>
      <c r="I26" s="12" t="n">
        <f aca="false">E26*D26</f>
        <v>0</v>
      </c>
      <c r="J26" s="12" t="n">
        <f aca="false">F26*D26</f>
        <v>0</v>
      </c>
      <c r="K26" s="12" t="n">
        <f aca="false">MAX(E26-G26,0)*D26</f>
        <v>0</v>
      </c>
      <c r="L26" s="12" t="n">
        <f aca="false">MAX(F26-H26,0)*D26</f>
        <v>0</v>
      </c>
      <c r="M26" s="12" t="n">
        <f aca="false">MAX(G26-E26,0)*D26</f>
        <v>94.8442857142857</v>
      </c>
      <c r="N26" s="12" t="n">
        <f aca="false">MAX(H26-F26,0)*D26</f>
        <v>94.8442857142857</v>
      </c>
      <c r="O26" s="26" t="n">
        <f aca="false">IFERROR(E26/DEMAND_MODEL!K26,999)</f>
        <v>0</v>
      </c>
      <c r="P26" s="26" t="n">
        <f aca="false">IFERROR(F26/DEMAND_MODEL!L26,999)</f>
        <v>0</v>
      </c>
    </row>
    <row r="27" customFormat="false" ht="15" hidden="false" customHeight="false" outlineLevel="0" collapsed="false">
      <c r="A27" s="5" t="n">
        <f aca="false">ITEM_MASTER_CLEAN!A27</f>
        <v>26</v>
      </c>
      <c r="B27" s="5" t="n">
        <f aca="false">ITEM_MASTER_CLEAN!B27</f>
        <v>16991</v>
      </c>
      <c r="C27" s="5" t="str">
        <f aca="false">ITEM_MASTER_CLEAN!C27</f>
        <v>CAKE CHEESE RED VELVET X2</v>
      </c>
      <c r="D27" s="12" t="n">
        <f aca="false">ITEM_MASTER_CLEAN!F27</f>
        <v>52.5</v>
      </c>
      <c r="E27" s="5" t="n">
        <f aca="false">ITEM_MASTER_CLEAN!H27</f>
        <v>4</v>
      </c>
      <c r="F27" s="5" t="n">
        <f aca="false">ITEM_MASTER_CLEAN!I27</f>
        <v>3</v>
      </c>
      <c r="G27" s="5" t="n">
        <f aca="false">PAR_LEVELS!J27</f>
        <v>5.57142857142857</v>
      </c>
      <c r="H27" s="5" t="n">
        <f aca="false">PAR_LEVELS!K27</f>
        <v>3.71428571428571</v>
      </c>
      <c r="I27" s="12" t="n">
        <f aca="false">E27*D27</f>
        <v>210</v>
      </c>
      <c r="J27" s="12" t="n">
        <f aca="false">F27*D27</f>
        <v>157.5</v>
      </c>
      <c r="K27" s="12" t="n">
        <f aca="false">MAX(E27-G27,0)*D27</f>
        <v>0</v>
      </c>
      <c r="L27" s="12" t="n">
        <f aca="false">MAX(F27-H27,0)*D27</f>
        <v>0</v>
      </c>
      <c r="M27" s="12" t="n">
        <f aca="false">MAX(G27-E27,0)*D27</f>
        <v>82.5</v>
      </c>
      <c r="N27" s="12" t="n">
        <f aca="false">MAX(H27-F27,0)*D27</f>
        <v>37.5</v>
      </c>
      <c r="O27" s="26" t="n">
        <f aca="false">IFERROR(E27/DEMAND_MODEL!K27,999)</f>
        <v>9.33333333333333</v>
      </c>
      <c r="P27" s="26" t="n">
        <f aca="false">IFERROR(F27/DEMAND_MODEL!L27,999)</f>
        <v>10.5</v>
      </c>
    </row>
    <row r="28" customFormat="false" ht="15" hidden="false" customHeight="false" outlineLevel="0" collapsed="false">
      <c r="A28" s="5" t="n">
        <f aca="false">ITEM_MASTER_CLEAN!A28</f>
        <v>27</v>
      </c>
      <c r="B28" s="5" t="n">
        <f aca="false">ITEM_MASTER_CLEAN!B28</f>
        <v>16989</v>
      </c>
      <c r="C28" s="5" t="str">
        <f aca="false">ITEM_MASTER_CLEAN!C28</f>
        <v>CAKE CHEESE TUXEDO MOUSSE X2</v>
      </c>
      <c r="D28" s="12" t="n">
        <f aca="false">ITEM_MASTER_CLEAN!F28</f>
        <v>73.62</v>
      </c>
      <c r="E28" s="5" t="n">
        <f aca="false">ITEM_MASTER_CLEAN!H28</f>
        <v>3</v>
      </c>
      <c r="F28" s="5" t="n">
        <f aca="false">ITEM_MASTER_CLEAN!I28</f>
        <v>0</v>
      </c>
      <c r="G28" s="5" t="n">
        <f aca="false">PAR_LEVELS!J28</f>
        <v>1.85714285714286</v>
      </c>
      <c r="H28" s="5" t="n">
        <f aca="false">PAR_LEVELS!K28</f>
        <v>1.85714285714286</v>
      </c>
      <c r="I28" s="12" t="n">
        <f aca="false">E28*D28</f>
        <v>220.86</v>
      </c>
      <c r="J28" s="12" t="n">
        <f aca="false">F28*D28</f>
        <v>0</v>
      </c>
      <c r="K28" s="12" t="n">
        <f aca="false">MAX(E28-G28,0)*D28</f>
        <v>84.1371428571429</v>
      </c>
      <c r="L28" s="12" t="n">
        <f aca="false">MAX(F28-H28,0)*D28</f>
        <v>0</v>
      </c>
      <c r="M28" s="12" t="n">
        <f aca="false">MAX(G28-E28,0)*D28</f>
        <v>0</v>
      </c>
      <c r="N28" s="12" t="n">
        <f aca="false">MAX(H28-F28,0)*D28</f>
        <v>136.722857142857</v>
      </c>
      <c r="O28" s="26" t="n">
        <f aca="false">IFERROR(E28/DEMAND_MODEL!K28,999)</f>
        <v>21</v>
      </c>
      <c r="P28" s="26" t="n">
        <f aca="false">IFERROR(F28/DEMAND_MODEL!L28,999)</f>
        <v>0</v>
      </c>
    </row>
    <row r="29" customFormat="false" ht="15" hidden="false" customHeight="false" outlineLevel="0" collapsed="false">
      <c r="A29" s="5" t="n">
        <f aca="false">ITEM_MASTER_CLEAN!A29</f>
        <v>28</v>
      </c>
      <c r="B29" s="5" t="n">
        <f aca="false">ITEM_MASTER_CLEAN!B29</f>
        <v>19630</v>
      </c>
      <c r="C29" s="5" t="str">
        <f aca="false">ITEM_MASTER_CLEAN!C29</f>
        <v>CAKE WHITE CHOC RSPBRY CHEESE X2</v>
      </c>
      <c r="D29" s="12" t="n">
        <f aca="false">ITEM_MASTER_CLEAN!F29</f>
        <v>37.08</v>
      </c>
      <c r="E29" s="5" t="n">
        <f aca="false">ITEM_MASTER_CLEAN!H29</f>
        <v>10</v>
      </c>
      <c r="F29" s="5" t="n">
        <f aca="false">ITEM_MASTER_CLEAN!I29</f>
        <v>3</v>
      </c>
      <c r="G29" s="5" t="n">
        <f aca="false">PAR_LEVELS!J29</f>
        <v>5.57142857142857</v>
      </c>
      <c r="H29" s="5" t="n">
        <f aca="false">PAR_LEVELS!K29</f>
        <v>1.85714285714286</v>
      </c>
      <c r="I29" s="12" t="n">
        <f aca="false">E29*D29</f>
        <v>370.8</v>
      </c>
      <c r="J29" s="12" t="n">
        <f aca="false">F29*D29</f>
        <v>111.24</v>
      </c>
      <c r="K29" s="12" t="n">
        <f aca="false">MAX(E29-G29,0)*D29</f>
        <v>164.211428571429</v>
      </c>
      <c r="L29" s="12" t="n">
        <f aca="false">MAX(F29-H29,0)*D29</f>
        <v>42.3771428571429</v>
      </c>
      <c r="M29" s="12" t="n">
        <f aca="false">MAX(G29-E29,0)*D29</f>
        <v>0</v>
      </c>
      <c r="N29" s="12" t="n">
        <f aca="false">MAX(H29-F29,0)*D29</f>
        <v>0</v>
      </c>
      <c r="O29" s="26" t="n">
        <f aca="false">IFERROR(E29/DEMAND_MODEL!K29,999)</f>
        <v>23.3333333333333</v>
      </c>
      <c r="P29" s="26" t="n">
        <f aca="false">IFERROR(F29/DEMAND_MODEL!L29,999)</f>
        <v>21</v>
      </c>
    </row>
    <row r="30" customFormat="false" ht="15" hidden="false" customHeight="false" outlineLevel="0" collapsed="false">
      <c r="A30" s="5" t="n">
        <f aca="false">ITEM_MASTER_CLEAN!A30</f>
        <v>29</v>
      </c>
      <c r="B30" s="5" t="n">
        <f aca="false">ITEM_MASTER_CLEAN!B30</f>
        <v>44985</v>
      </c>
      <c r="C30" s="5" t="str">
        <f aca="false">ITEM_MASTER_CLEAN!C30</f>
        <v>BISC DOUGH OREO V-VIT0013V 5K</v>
      </c>
      <c r="D30" s="12" t="n">
        <f aca="false">ITEM_MASTER_CLEAN!F30</f>
        <v>53.51</v>
      </c>
      <c r="E30" s="5" t="n">
        <f aca="false">ITEM_MASTER_CLEAN!H30</f>
        <v>3</v>
      </c>
      <c r="F30" s="5" t="n">
        <f aca="false">ITEM_MASTER_CLEAN!I30</f>
        <v>0</v>
      </c>
      <c r="G30" s="5" t="n">
        <f aca="false">PAR_LEVELS!J30</f>
        <v>11.1428571428571</v>
      </c>
      <c r="H30" s="5" t="n">
        <f aca="false">PAR_LEVELS!K30</f>
        <v>1.85714285714286</v>
      </c>
      <c r="I30" s="12" t="n">
        <f aca="false">E30*D30</f>
        <v>160.53</v>
      </c>
      <c r="J30" s="12" t="n">
        <f aca="false">F30*D30</f>
        <v>0</v>
      </c>
      <c r="K30" s="12" t="n">
        <f aca="false">MAX(E30-G30,0)*D30</f>
        <v>0</v>
      </c>
      <c r="L30" s="12" t="n">
        <f aca="false">MAX(F30-H30,0)*D30</f>
        <v>0</v>
      </c>
      <c r="M30" s="12" t="n">
        <f aca="false">MAX(G30-E30,0)*D30</f>
        <v>435.724285714286</v>
      </c>
      <c r="N30" s="12" t="n">
        <f aca="false">MAX(H30-F30,0)*D30</f>
        <v>99.3757142857143</v>
      </c>
      <c r="O30" s="26" t="n">
        <f aca="false">IFERROR(E30/DEMAND_MODEL!K30,999)</f>
        <v>3.5</v>
      </c>
      <c r="P30" s="26" t="n">
        <f aca="false">IFERROR(F30/DEMAND_MODEL!L30,999)</f>
        <v>0</v>
      </c>
    </row>
    <row r="31" customFormat="false" ht="15" hidden="false" customHeight="false" outlineLevel="0" collapsed="false">
      <c r="A31" s="5" t="n">
        <f aca="false">ITEM_MASTER_CLEAN!A31</f>
        <v>30</v>
      </c>
      <c r="B31" s="5" t="n">
        <f aca="false">ITEM_MASTER_CLEAN!B31</f>
        <v>44961</v>
      </c>
      <c r="C31" s="5" t="str">
        <f aca="false">ITEM_MASTER_CLEAN!C31</f>
        <v>BISC DOUGH BLK CHOCO MED SWEET 5K</v>
      </c>
      <c r="D31" s="12" t="n">
        <f aca="false">ITEM_MASTER_CLEAN!F31</f>
        <v>59.96</v>
      </c>
      <c r="E31" s="5" t="n">
        <f aca="false">ITEM_MASTER_CLEAN!H31</f>
        <v>1</v>
      </c>
      <c r="F31" s="5" t="n">
        <f aca="false">ITEM_MASTER_CLEAN!I31</f>
        <v>1</v>
      </c>
      <c r="G31" s="5" t="n">
        <f aca="false">PAR_LEVELS!J31</f>
        <v>5.57142857142857</v>
      </c>
      <c r="H31" s="5" t="n">
        <f aca="false">PAR_LEVELS!K31</f>
        <v>5.57142857142857</v>
      </c>
      <c r="I31" s="12" t="n">
        <f aca="false">E31*D31</f>
        <v>59.96</v>
      </c>
      <c r="J31" s="12" t="n">
        <f aca="false">F31*D31</f>
        <v>59.96</v>
      </c>
      <c r="K31" s="12" t="n">
        <f aca="false">MAX(E31-G31,0)*D31</f>
        <v>0</v>
      </c>
      <c r="L31" s="12" t="n">
        <f aca="false">MAX(F31-H31,0)*D31</f>
        <v>0</v>
      </c>
      <c r="M31" s="12" t="n">
        <f aca="false">MAX(G31-E31,0)*D31</f>
        <v>274.102857142857</v>
      </c>
      <c r="N31" s="12" t="n">
        <f aca="false">MAX(H31-F31,0)*D31</f>
        <v>274.102857142857</v>
      </c>
      <c r="O31" s="26" t="n">
        <f aca="false">IFERROR(E31/DEMAND_MODEL!K31,999)</f>
        <v>2.33333333333333</v>
      </c>
      <c r="P31" s="26" t="n">
        <f aca="false">IFERROR(F31/DEMAND_MODEL!L31,999)</f>
        <v>2.33333333333333</v>
      </c>
    </row>
    <row r="32" customFormat="false" ht="15" hidden="false" customHeight="false" outlineLevel="0" collapsed="false">
      <c r="A32" s="5" t="n">
        <f aca="false">ITEM_MASTER_CLEAN!A32</f>
        <v>31</v>
      </c>
      <c r="B32" s="5" t="n">
        <f aca="false">ITEM_MASTER_CLEAN!B32</f>
        <v>44962</v>
      </c>
      <c r="C32" s="5" t="str">
        <f aca="false">ITEM_MASTER_CLEAN!C32</f>
        <v>BISC DOUGH DBL CHOCO PAIL 5K</v>
      </c>
      <c r="D32" s="12" t="n">
        <f aca="false">ITEM_MASTER_CLEAN!F32</f>
        <v>12.58</v>
      </c>
      <c r="E32" s="5" t="n">
        <f aca="false">ITEM_MASTER_CLEAN!H32</f>
        <v>9</v>
      </c>
      <c r="F32" s="5" t="n">
        <f aca="false">ITEM_MASTER_CLEAN!I32</f>
        <v>1</v>
      </c>
      <c r="G32" s="5" t="n">
        <f aca="false">PAR_LEVELS!J32</f>
        <v>11.1428571428571</v>
      </c>
      <c r="H32" s="5" t="n">
        <f aca="false">PAR_LEVELS!K32</f>
        <v>1.85714285714286</v>
      </c>
      <c r="I32" s="12" t="n">
        <f aca="false">E32*D32</f>
        <v>113.22</v>
      </c>
      <c r="J32" s="12" t="n">
        <f aca="false">F32*D32</f>
        <v>12.58</v>
      </c>
      <c r="K32" s="12" t="n">
        <f aca="false">MAX(E32-G32,0)*D32</f>
        <v>0</v>
      </c>
      <c r="L32" s="12" t="n">
        <f aca="false">MAX(F32-H32,0)*D32</f>
        <v>0</v>
      </c>
      <c r="M32" s="12" t="n">
        <f aca="false">MAX(G32-E32,0)*D32</f>
        <v>26.9571428571429</v>
      </c>
      <c r="N32" s="12" t="n">
        <f aca="false">MAX(H32-F32,0)*D32</f>
        <v>10.7828571428571</v>
      </c>
      <c r="O32" s="26" t="n">
        <f aca="false">IFERROR(E32/DEMAND_MODEL!K32,999)</f>
        <v>10.5</v>
      </c>
      <c r="P32" s="26" t="n">
        <f aca="false">IFERROR(F32/DEMAND_MODEL!L32,999)</f>
        <v>7</v>
      </c>
    </row>
    <row r="33" customFormat="false" ht="15" hidden="false" customHeight="false" outlineLevel="0" collapsed="false">
      <c r="A33" s="5" t="n">
        <f aca="false">ITEM_MASTER_CLEAN!A33</f>
        <v>32</v>
      </c>
      <c r="B33" s="5" t="n">
        <f aca="false">ITEM_MASTER_CLEAN!B33</f>
        <v>63927</v>
      </c>
      <c r="C33" s="5" t="str">
        <f aca="false">ITEM_MASTER_CLEAN!C33</f>
        <v>Bisc PUCK Dbl Choc 160x2oz</v>
      </c>
      <c r="D33" s="12" t="n">
        <f aca="false">ITEM_MASTER_CLEAN!F33</f>
        <v>68.6</v>
      </c>
      <c r="E33" s="5" t="n">
        <f aca="false">ITEM_MASTER_CLEAN!H33</f>
        <v>7</v>
      </c>
      <c r="F33" s="5" t="n">
        <f aca="false">ITEM_MASTER_CLEAN!I33</f>
        <v>5</v>
      </c>
      <c r="G33" s="5" t="n">
        <f aca="false">PAR_LEVELS!J33</f>
        <v>7.42857142857143</v>
      </c>
      <c r="H33" s="5" t="n">
        <f aca="false">PAR_LEVELS!K33</f>
        <v>5.57142857142857</v>
      </c>
      <c r="I33" s="12" t="n">
        <f aca="false">E33*D33</f>
        <v>480.2</v>
      </c>
      <c r="J33" s="12" t="n">
        <f aca="false">F33*D33</f>
        <v>343</v>
      </c>
      <c r="K33" s="12" t="n">
        <f aca="false">MAX(E33-G33,0)*D33</f>
        <v>0</v>
      </c>
      <c r="L33" s="12" t="n">
        <f aca="false">MAX(F33-H33,0)*D33</f>
        <v>0</v>
      </c>
      <c r="M33" s="12" t="n">
        <f aca="false">MAX(G33-E33,0)*D33</f>
        <v>29.4</v>
      </c>
      <c r="N33" s="12" t="n">
        <f aca="false">MAX(H33-F33,0)*D33</f>
        <v>39.2</v>
      </c>
      <c r="O33" s="26" t="n">
        <f aca="false">IFERROR(E33/DEMAND_MODEL!K33,999)</f>
        <v>12.25</v>
      </c>
      <c r="P33" s="26" t="n">
        <f aca="false">IFERROR(F33/DEMAND_MODEL!L33,999)</f>
        <v>11.6666666666667</v>
      </c>
    </row>
    <row r="34" customFormat="false" ht="15" hidden="false" customHeight="false" outlineLevel="0" collapsed="false">
      <c r="A34" s="5" t="n">
        <f aca="false">ITEM_MASTER_CLEAN!A34</f>
        <v>33</v>
      </c>
      <c r="B34" s="5" t="n">
        <f aca="false">ITEM_MASTER_CLEAN!B34</f>
        <v>64106</v>
      </c>
      <c r="C34" s="5" t="str">
        <f aca="false">ITEM_MASTER_CLEAN!C34</f>
        <v>Bisc PUCK ChocBln/Maca 160x2oz</v>
      </c>
      <c r="D34" s="12" t="n">
        <f aca="false">ITEM_MASTER_CLEAN!F34</f>
        <v>56.66</v>
      </c>
      <c r="E34" s="5" t="n">
        <f aca="false">ITEM_MASTER_CLEAN!H34</f>
        <v>2</v>
      </c>
      <c r="F34" s="5" t="n">
        <f aca="false">ITEM_MASTER_CLEAN!I34</f>
        <v>4</v>
      </c>
      <c r="G34" s="5" t="n">
        <f aca="false">PAR_LEVELS!J34</f>
        <v>3.71428571428571</v>
      </c>
      <c r="H34" s="5" t="n">
        <f aca="false">PAR_LEVELS!K34</f>
        <v>5.57142857142857</v>
      </c>
      <c r="I34" s="12" t="n">
        <f aca="false">E34*D34</f>
        <v>113.32</v>
      </c>
      <c r="J34" s="12" t="n">
        <f aca="false">F34*D34</f>
        <v>226.64</v>
      </c>
      <c r="K34" s="12" t="n">
        <f aca="false">MAX(E34-G34,0)*D34</f>
        <v>0</v>
      </c>
      <c r="L34" s="12" t="n">
        <f aca="false">MAX(F34-H34,0)*D34</f>
        <v>0</v>
      </c>
      <c r="M34" s="12" t="n">
        <f aca="false">MAX(G34-E34,0)*D34</f>
        <v>97.1314285714285</v>
      </c>
      <c r="N34" s="12" t="n">
        <f aca="false">MAX(H34-F34,0)*D34</f>
        <v>89.0371428571428</v>
      </c>
      <c r="O34" s="26" t="n">
        <f aca="false">IFERROR(E34/DEMAND_MODEL!K34,999)</f>
        <v>7</v>
      </c>
      <c r="P34" s="26" t="n">
        <f aca="false">IFERROR(F34/DEMAND_MODEL!L34,999)</f>
        <v>9.33333333333333</v>
      </c>
    </row>
    <row r="35" customFormat="false" ht="15" hidden="false" customHeight="false" outlineLevel="0" collapsed="false">
      <c r="A35" s="5" t="n">
        <f aca="false">ITEM_MASTER_CLEAN!A35</f>
        <v>34</v>
      </c>
      <c r="B35" s="5" t="n">
        <f aca="false">ITEM_MASTER_CLEAN!B35</f>
        <v>63934</v>
      </c>
      <c r="C35" s="5" t="str">
        <f aca="false">ITEM_MASTER_CLEAN!C35</f>
        <v>Bisc PUCK ChocChunk 160x2oz</v>
      </c>
      <c r="D35" s="12" t="n">
        <f aca="false">ITEM_MASTER_CLEAN!F35</f>
        <v>61.35</v>
      </c>
      <c r="E35" s="5" t="n">
        <f aca="false">ITEM_MASTER_CLEAN!H35</f>
        <v>4</v>
      </c>
      <c r="F35" s="5" t="n">
        <f aca="false">ITEM_MASTER_CLEAN!I35</f>
        <v>4</v>
      </c>
      <c r="G35" s="5" t="n">
        <f aca="false">PAR_LEVELS!J35</f>
        <v>5.57142857142857</v>
      </c>
      <c r="H35" s="5" t="n">
        <f aca="false">PAR_LEVELS!K35</f>
        <v>5.57142857142857</v>
      </c>
      <c r="I35" s="12" t="n">
        <f aca="false">E35*D35</f>
        <v>245.4</v>
      </c>
      <c r="J35" s="12" t="n">
        <f aca="false">F35*D35</f>
        <v>245.4</v>
      </c>
      <c r="K35" s="12" t="n">
        <f aca="false">MAX(E35-G35,0)*D35</f>
        <v>0</v>
      </c>
      <c r="L35" s="12" t="n">
        <f aca="false">MAX(F35-H35,0)*D35</f>
        <v>0</v>
      </c>
      <c r="M35" s="12" t="n">
        <f aca="false">MAX(G35-E35,0)*D35</f>
        <v>96.4071428571428</v>
      </c>
      <c r="N35" s="12" t="n">
        <f aca="false">MAX(H35-F35,0)*D35</f>
        <v>96.4071428571428</v>
      </c>
      <c r="O35" s="26" t="n">
        <f aca="false">IFERROR(E35/DEMAND_MODEL!K35,999)</f>
        <v>9.33333333333333</v>
      </c>
      <c r="P35" s="26" t="n">
        <f aca="false">IFERROR(F35/DEMAND_MODEL!L35,999)</f>
        <v>9.33333333333333</v>
      </c>
    </row>
    <row r="36" customFormat="false" ht="15" hidden="false" customHeight="false" outlineLevel="0" collapsed="false">
      <c r="A36" s="5" t="n">
        <f aca="false">ITEM_MASTER_CLEAN!A36</f>
        <v>35</v>
      </c>
      <c r="B36" s="5" t="n">
        <f aca="false">ITEM_MASTER_CLEAN!B36</f>
        <v>12596</v>
      </c>
      <c r="C36" s="5" t="str">
        <f aca="false">ITEM_MASTER_CLEAN!C36</f>
        <v>MTY TREAT FOR DOGS 24UN</v>
      </c>
      <c r="D36" s="12" t="n">
        <f aca="false">ITEM_MASTER_CLEAN!F36</f>
        <v>48.79</v>
      </c>
      <c r="E36" s="5" t="n">
        <f aca="false">ITEM_MASTER_CLEAN!H36</f>
        <v>14</v>
      </c>
      <c r="F36" s="5" t="n">
        <f aca="false">ITEM_MASTER_CLEAN!I36</f>
        <v>0</v>
      </c>
      <c r="G36" s="5" t="n">
        <f aca="false">PAR_LEVELS!J36</f>
        <v>7.42857142857143</v>
      </c>
      <c r="H36" s="5" t="n">
        <f aca="false">PAR_LEVELS!K36</f>
        <v>1.85714285714286</v>
      </c>
      <c r="I36" s="12" t="n">
        <f aca="false">E36*D36</f>
        <v>683.06</v>
      </c>
      <c r="J36" s="12" t="n">
        <f aca="false">F36*D36</f>
        <v>0</v>
      </c>
      <c r="K36" s="12" t="n">
        <f aca="false">MAX(E36-G36,0)*D36</f>
        <v>320.62</v>
      </c>
      <c r="L36" s="12" t="n">
        <f aca="false">MAX(F36-H36,0)*D36</f>
        <v>0</v>
      </c>
      <c r="M36" s="12" t="n">
        <f aca="false">MAX(G36-E36,0)*D36</f>
        <v>0</v>
      </c>
      <c r="N36" s="12" t="n">
        <f aca="false">MAX(H36-F36,0)*D36</f>
        <v>90.61</v>
      </c>
      <c r="O36" s="26" t="n">
        <f aca="false">IFERROR(E36/DEMAND_MODEL!K36,999)</f>
        <v>24.5</v>
      </c>
      <c r="P36" s="26" t="n">
        <f aca="false">IFERROR(F36/DEMAND_MODEL!L36,999)</f>
        <v>0</v>
      </c>
    </row>
    <row r="37" customFormat="false" ht="15" hidden="false" customHeight="false" outlineLevel="0" collapsed="false">
      <c r="A37" s="5" t="n">
        <f aca="false">ITEM_MASTER_CLEAN!A37</f>
        <v>36</v>
      </c>
      <c r="B37" s="5" t="n">
        <f aca="false">ITEM_MASTER_CLEAN!B37</f>
        <v>48219</v>
      </c>
      <c r="C37" s="5" t="str">
        <f aca="false">ITEM_MASTER_CLEAN!C37</f>
        <v>BISC LOTUS BISCOFF 10X250G</v>
      </c>
      <c r="D37" s="12" t="n">
        <f aca="false">ITEM_MASTER_CLEAN!F37</f>
        <v>35.88</v>
      </c>
      <c r="E37" s="5" t="n">
        <f aca="false">ITEM_MASTER_CLEAN!H37</f>
        <v>1</v>
      </c>
      <c r="F37" s="5" t="n">
        <f aca="false">ITEM_MASTER_CLEAN!I37</f>
        <v>10</v>
      </c>
      <c r="G37" s="5" t="n">
        <f aca="false">PAR_LEVELS!J37</f>
        <v>9.28571428571429</v>
      </c>
      <c r="H37" s="5" t="n">
        <f aca="false">PAR_LEVELS!K37</f>
        <v>7.42857142857143</v>
      </c>
      <c r="I37" s="12" t="n">
        <f aca="false">E37*D37</f>
        <v>35.88</v>
      </c>
      <c r="J37" s="12" t="n">
        <f aca="false">F37*D37</f>
        <v>358.8</v>
      </c>
      <c r="K37" s="12" t="n">
        <f aca="false">MAX(E37-G37,0)*D37</f>
        <v>0</v>
      </c>
      <c r="L37" s="12" t="n">
        <f aca="false">MAX(F37-H37,0)*D37</f>
        <v>92.2628571428572</v>
      </c>
      <c r="M37" s="12" t="n">
        <f aca="false">MAX(G37-E37,0)*D37</f>
        <v>297.291428571429</v>
      </c>
      <c r="N37" s="12" t="n">
        <f aca="false">MAX(H37-F37,0)*D37</f>
        <v>0</v>
      </c>
      <c r="O37" s="26" t="n">
        <f aca="false">IFERROR(E37/DEMAND_MODEL!K37,999)</f>
        <v>1.4</v>
      </c>
      <c r="P37" s="26" t="n">
        <f aca="false">IFERROR(F37/DEMAND_MODEL!L37,999)</f>
        <v>17.5</v>
      </c>
    </row>
    <row r="38" customFormat="false" ht="15" hidden="false" customHeight="false" outlineLevel="0" collapsed="false">
      <c r="A38" s="5" t="n">
        <f aca="false">ITEM_MASTER_CLEAN!A38</f>
        <v>37</v>
      </c>
      <c r="B38" s="5" t="n">
        <f aca="false">ITEM_MASTER_CLEAN!B38</f>
        <v>39811</v>
      </c>
      <c r="C38" s="5" t="str">
        <f aca="false">ITEM_MASTER_CLEAN!C38</f>
        <v>DONUT REGULAR 00726  140X28G</v>
      </c>
      <c r="D38" s="12" t="n">
        <f aca="false">ITEM_MASTER_CLEAN!F38</f>
        <v>32.63</v>
      </c>
      <c r="E38" s="5" t="n">
        <f aca="false">ITEM_MASTER_CLEAN!H38</f>
        <v>1</v>
      </c>
      <c r="F38" s="5" t="n">
        <f aca="false">ITEM_MASTER_CLEAN!I38</f>
        <v>3</v>
      </c>
      <c r="G38" s="5" t="n">
        <f aca="false">PAR_LEVELS!J38</f>
        <v>7.42857142857143</v>
      </c>
      <c r="H38" s="5" t="n">
        <f aca="false">PAR_LEVELS!K38</f>
        <v>1.85714285714286</v>
      </c>
      <c r="I38" s="12" t="n">
        <f aca="false">E38*D38</f>
        <v>32.63</v>
      </c>
      <c r="J38" s="12" t="n">
        <f aca="false">F38*D38</f>
        <v>97.89</v>
      </c>
      <c r="K38" s="12" t="n">
        <f aca="false">MAX(E38-G38,0)*D38</f>
        <v>0</v>
      </c>
      <c r="L38" s="12" t="n">
        <f aca="false">MAX(F38-H38,0)*D38</f>
        <v>37.2914285714286</v>
      </c>
      <c r="M38" s="12" t="n">
        <f aca="false">MAX(G38-E38,0)*D38</f>
        <v>209.764285714286</v>
      </c>
      <c r="N38" s="12" t="n">
        <f aca="false">MAX(H38-F38,0)*D38</f>
        <v>0</v>
      </c>
      <c r="O38" s="26" t="n">
        <f aca="false">IFERROR(E38/DEMAND_MODEL!K38,999)</f>
        <v>1.75</v>
      </c>
      <c r="P38" s="26" t="n">
        <f aca="false">IFERROR(F38/DEMAND_MODEL!L38,999)</f>
        <v>21</v>
      </c>
    </row>
    <row r="39" customFormat="false" ht="15" hidden="false" customHeight="false" outlineLevel="0" collapsed="false">
      <c r="A39" s="5" t="n">
        <f aca="false">ITEM_MASTER_CLEAN!A39</f>
        <v>38</v>
      </c>
      <c r="B39" s="5" t="n">
        <f aca="false">ITEM_MASTER_CLEAN!B39</f>
        <v>43328</v>
      </c>
      <c r="C39" s="5" t="str">
        <f aca="false">ITEM_MASTER_CLEAN!C39</f>
        <v>DONUT MINI VANILLA 2442 300X12G</v>
      </c>
      <c r="D39" s="12" t="n">
        <f aca="false">ITEM_MASTER_CLEAN!F39</f>
        <v>38.35</v>
      </c>
      <c r="E39" s="5" t="n">
        <f aca="false">ITEM_MASTER_CLEAN!H39</f>
        <v>11</v>
      </c>
      <c r="F39" s="5" t="n">
        <f aca="false">ITEM_MASTER_CLEAN!I39</f>
        <v>1</v>
      </c>
      <c r="G39" s="5" t="n">
        <f aca="false">PAR_LEVELS!J39</f>
        <v>5.57142857142857</v>
      </c>
      <c r="H39" s="5" t="n">
        <f aca="false">PAR_LEVELS!K39</f>
        <v>5.57142857142857</v>
      </c>
      <c r="I39" s="12" t="n">
        <f aca="false">E39*D39</f>
        <v>421.85</v>
      </c>
      <c r="J39" s="12" t="n">
        <f aca="false">F39*D39</f>
        <v>38.35</v>
      </c>
      <c r="K39" s="12" t="n">
        <f aca="false">MAX(E39-G39,0)*D39</f>
        <v>208.185714285714</v>
      </c>
      <c r="L39" s="12" t="n">
        <f aca="false">MAX(F39-H39,0)*D39</f>
        <v>0</v>
      </c>
      <c r="M39" s="12" t="n">
        <f aca="false">MAX(G39-E39,0)*D39</f>
        <v>0</v>
      </c>
      <c r="N39" s="12" t="n">
        <f aca="false">MAX(H39-F39,0)*D39</f>
        <v>175.314285714286</v>
      </c>
      <c r="O39" s="26" t="n">
        <f aca="false">IFERROR(E39/DEMAND_MODEL!K39,999)</f>
        <v>25.6666666666667</v>
      </c>
      <c r="P39" s="26" t="n">
        <f aca="false">IFERROR(F39/DEMAND_MODEL!L39,999)</f>
        <v>2.33333333333333</v>
      </c>
    </row>
    <row r="40" customFormat="false" ht="15" hidden="false" customHeight="false" outlineLevel="0" collapsed="false">
      <c r="A40" s="5" t="n">
        <f aca="false">ITEM_MASTER_CLEAN!A40</f>
        <v>39</v>
      </c>
      <c r="B40" s="5" t="n">
        <f aca="false">ITEM_MASTER_CLEAN!B40</f>
        <v>50170</v>
      </c>
      <c r="C40" s="5" t="str">
        <f aca="false">ITEM_MASTER_CLEAN!C40</f>
        <v>MTY CHOC FF 3100051  5X1L</v>
      </c>
      <c r="D40" s="12" t="n">
        <f aca="false">ITEM_MASTER_CLEAN!F40</f>
        <v>53.81</v>
      </c>
      <c r="E40" s="5" t="n">
        <f aca="false">ITEM_MASTER_CLEAN!H40</f>
        <v>3</v>
      </c>
      <c r="F40" s="5" t="n">
        <f aca="false">ITEM_MASTER_CLEAN!I40</f>
        <v>3</v>
      </c>
      <c r="G40" s="5" t="n">
        <f aca="false">PAR_LEVELS!J40</f>
        <v>3.71428571428571</v>
      </c>
      <c r="H40" s="5" t="n">
        <f aca="false">PAR_LEVELS!K40</f>
        <v>3.71428571428571</v>
      </c>
      <c r="I40" s="12" t="n">
        <f aca="false">E40*D40</f>
        <v>161.43</v>
      </c>
      <c r="J40" s="12" t="n">
        <f aca="false">F40*D40</f>
        <v>161.43</v>
      </c>
      <c r="K40" s="12" t="n">
        <f aca="false">MAX(E40-G40,0)*D40</f>
        <v>0</v>
      </c>
      <c r="L40" s="12" t="n">
        <f aca="false">MAX(F40-H40,0)*D40</f>
        <v>0</v>
      </c>
      <c r="M40" s="12" t="n">
        <f aca="false">MAX(G40-E40,0)*D40</f>
        <v>38.4357142857143</v>
      </c>
      <c r="N40" s="12" t="n">
        <f aca="false">MAX(H40-F40,0)*D40</f>
        <v>38.4357142857143</v>
      </c>
      <c r="O40" s="26" t="n">
        <f aca="false">IFERROR(E40/DEMAND_MODEL!K40,999)</f>
        <v>10.5</v>
      </c>
      <c r="P40" s="26" t="n">
        <f aca="false">IFERROR(F40/DEMAND_MODEL!L40,999)</f>
        <v>10.5</v>
      </c>
    </row>
    <row r="41" customFormat="false" ht="15" hidden="false" customHeight="false" outlineLevel="0" collapsed="false">
      <c r="A41" s="5" t="n">
        <f aca="false">ITEM_MASTER_CLEAN!A41</f>
        <v>40</v>
      </c>
      <c r="B41" s="5" t="n">
        <f aca="false">ITEM_MASTER_CLEAN!B41</f>
        <v>50010</v>
      </c>
      <c r="C41" s="5" t="str">
        <f aca="false">ITEM_MASTER_CLEAN!C41</f>
        <v>SCE CARAMEL REG MCL 5X1L</v>
      </c>
      <c r="D41" s="12" t="n">
        <f aca="false">ITEM_MASTER_CLEAN!F41</f>
        <v>48.2</v>
      </c>
      <c r="E41" s="5" t="n">
        <f aca="false">ITEM_MASTER_CLEAN!H41</f>
        <v>6</v>
      </c>
      <c r="F41" s="5" t="n">
        <f aca="false">ITEM_MASTER_CLEAN!I41</f>
        <v>0</v>
      </c>
      <c r="G41" s="5" t="n">
        <f aca="false">PAR_LEVELS!J41</f>
        <v>3.71428571428571</v>
      </c>
      <c r="H41" s="5" t="n">
        <f aca="false">PAR_LEVELS!K41</f>
        <v>3.71428571428571</v>
      </c>
      <c r="I41" s="12" t="n">
        <f aca="false">E41*D41</f>
        <v>289.2</v>
      </c>
      <c r="J41" s="12" t="n">
        <f aca="false">F41*D41</f>
        <v>0</v>
      </c>
      <c r="K41" s="12" t="n">
        <f aca="false">MAX(E41-G41,0)*D41</f>
        <v>110.171428571429</v>
      </c>
      <c r="L41" s="12" t="n">
        <f aca="false">MAX(F41-H41,0)*D41</f>
        <v>0</v>
      </c>
      <c r="M41" s="12" t="n">
        <f aca="false">MAX(G41-E41,0)*D41</f>
        <v>0</v>
      </c>
      <c r="N41" s="12" t="n">
        <f aca="false">MAX(H41-F41,0)*D41</f>
        <v>179.028571428571</v>
      </c>
      <c r="O41" s="26" t="n">
        <f aca="false">IFERROR(E41/DEMAND_MODEL!K41,999)</f>
        <v>21</v>
      </c>
      <c r="P41" s="26" t="n">
        <f aca="false">IFERROR(F41/DEMAND_MODEL!L41,999)</f>
        <v>0</v>
      </c>
    </row>
    <row r="42" customFormat="false" ht="15" hidden="false" customHeight="false" outlineLevel="0" collapsed="false">
      <c r="A42" s="5" t="n">
        <f aca="false">ITEM_MASTER_CLEAN!A42</f>
        <v>41</v>
      </c>
      <c r="B42" s="5" t="n">
        <f aca="false">ITEM_MASTER_CLEAN!B42</f>
        <v>50166</v>
      </c>
      <c r="C42" s="5" t="str">
        <f aca="false">ITEM_MASTER_CLEAN!C42</f>
        <v>MTY fraise fr flow 10x1L</v>
      </c>
      <c r="D42" s="12" t="n">
        <f aca="false">ITEM_MASTER_CLEAN!F42</f>
        <v>50.92</v>
      </c>
      <c r="E42" s="5" t="n">
        <f aca="false">ITEM_MASTER_CLEAN!H42</f>
        <v>4</v>
      </c>
      <c r="F42" s="5" t="n">
        <f aca="false">ITEM_MASTER_CLEAN!I42</f>
        <v>2</v>
      </c>
      <c r="G42" s="5" t="n">
        <f aca="false">PAR_LEVELS!J42</f>
        <v>5.57142857142857</v>
      </c>
      <c r="H42" s="5" t="n">
        <f aca="false">PAR_LEVELS!K42</f>
        <v>3.71428571428571</v>
      </c>
      <c r="I42" s="12" t="n">
        <f aca="false">E42*D42</f>
        <v>203.68</v>
      </c>
      <c r="J42" s="12" t="n">
        <f aca="false">F42*D42</f>
        <v>101.84</v>
      </c>
      <c r="K42" s="12" t="n">
        <f aca="false">MAX(E42-G42,0)*D42</f>
        <v>0</v>
      </c>
      <c r="L42" s="12" t="n">
        <f aca="false">MAX(F42-H42,0)*D42</f>
        <v>0</v>
      </c>
      <c r="M42" s="12" t="n">
        <f aca="false">MAX(G42-E42,0)*D42</f>
        <v>80.0171428571428</v>
      </c>
      <c r="N42" s="12" t="n">
        <f aca="false">MAX(H42-F42,0)*D42</f>
        <v>87.2914285714286</v>
      </c>
      <c r="O42" s="26" t="n">
        <f aca="false">IFERROR(E42/DEMAND_MODEL!K42,999)</f>
        <v>9.33333333333333</v>
      </c>
      <c r="P42" s="26" t="n">
        <f aca="false">IFERROR(F42/DEMAND_MODEL!L42,999)</f>
        <v>7</v>
      </c>
    </row>
    <row r="43" customFormat="false" ht="15" hidden="false" customHeight="false" outlineLevel="0" collapsed="false">
      <c r="A43" s="5" t="n">
        <f aca="false">ITEM_MASTER_CLEAN!A43</f>
        <v>42</v>
      </c>
      <c r="B43" s="5" t="n">
        <f aca="false">ITEM_MASTER_CLEAN!B43</f>
        <v>19850</v>
      </c>
      <c r="C43" s="5" t="str">
        <f aca="false">ITEM_MASTER_CLEAN!C43</f>
        <v>SPICE CINNAMON GRND 400G</v>
      </c>
      <c r="D43" s="12" t="n">
        <f aca="false">ITEM_MASTER_CLEAN!F43</f>
        <v>4.35</v>
      </c>
      <c r="E43" s="5" t="n">
        <f aca="false">ITEM_MASTER_CLEAN!H43</f>
        <v>11</v>
      </c>
      <c r="F43" s="5" t="n">
        <f aca="false">ITEM_MASTER_CLEAN!I43</f>
        <v>9</v>
      </c>
      <c r="G43" s="5" t="n">
        <f aca="false">PAR_LEVELS!J43</f>
        <v>5.57142857142857</v>
      </c>
      <c r="H43" s="5" t="n">
        <f aca="false">PAR_LEVELS!K43</f>
        <v>3.71428571428571</v>
      </c>
      <c r="I43" s="12" t="n">
        <f aca="false">E43*D43</f>
        <v>47.85</v>
      </c>
      <c r="J43" s="12" t="n">
        <f aca="false">F43*D43</f>
        <v>39.15</v>
      </c>
      <c r="K43" s="12" t="n">
        <f aca="false">MAX(E43-G43,0)*D43</f>
        <v>23.6142857142857</v>
      </c>
      <c r="L43" s="12" t="n">
        <f aca="false">MAX(F43-H43,0)*D43</f>
        <v>22.9928571428571</v>
      </c>
      <c r="M43" s="12" t="n">
        <f aca="false">MAX(G43-E43,0)*D43</f>
        <v>0</v>
      </c>
      <c r="N43" s="12" t="n">
        <f aca="false">MAX(H43-F43,0)*D43</f>
        <v>0</v>
      </c>
      <c r="O43" s="26" t="n">
        <f aca="false">IFERROR(E43/DEMAND_MODEL!K43,999)</f>
        <v>25.6666666666667</v>
      </c>
      <c r="P43" s="26" t="n">
        <f aca="false">IFERROR(F43/DEMAND_MODEL!L43,999)</f>
        <v>31.5</v>
      </c>
    </row>
    <row r="44" customFormat="false" ht="15" hidden="false" customHeight="false" outlineLevel="0" collapsed="false">
      <c r="A44" s="5" t="n">
        <f aca="false">ITEM_MASTER_CLEAN!A44</f>
        <v>43</v>
      </c>
      <c r="B44" s="5" t="n">
        <f aca="false">ITEM_MASTER_CLEAN!B44</f>
        <v>68587</v>
      </c>
      <c r="C44" s="5" t="str">
        <f aca="false">ITEM_MASTER_CLEAN!C44</f>
        <v>SUGAR SPECIAL FINE K 1X2K</v>
      </c>
      <c r="D44" s="12" t="n">
        <f aca="false">ITEM_MASTER_CLEAN!F44</f>
        <v>5.41</v>
      </c>
      <c r="E44" s="5" t="n">
        <f aca="false">ITEM_MASTER_CLEAN!H44</f>
        <v>2</v>
      </c>
      <c r="F44" s="5" t="n">
        <f aca="false">ITEM_MASTER_CLEAN!I44</f>
        <v>3</v>
      </c>
      <c r="G44" s="5" t="n">
        <f aca="false">PAR_LEVELS!J44</f>
        <v>3.71428571428571</v>
      </c>
      <c r="H44" s="5" t="n">
        <f aca="false">PAR_LEVELS!K44</f>
        <v>5.57142857142857</v>
      </c>
      <c r="I44" s="12" t="n">
        <f aca="false">E44*D44</f>
        <v>10.82</v>
      </c>
      <c r="J44" s="12" t="n">
        <f aca="false">F44*D44</f>
        <v>16.23</v>
      </c>
      <c r="K44" s="12" t="n">
        <f aca="false">MAX(E44-G44,0)*D44</f>
        <v>0</v>
      </c>
      <c r="L44" s="12" t="n">
        <f aca="false">MAX(F44-H44,0)*D44</f>
        <v>0</v>
      </c>
      <c r="M44" s="12" t="n">
        <f aca="false">MAX(G44-E44,0)*D44</f>
        <v>9.27428571428571</v>
      </c>
      <c r="N44" s="12" t="n">
        <f aca="false">MAX(H44-F44,0)*D44</f>
        <v>13.9114285714286</v>
      </c>
      <c r="O44" s="26" t="n">
        <f aca="false">IFERROR(E44/DEMAND_MODEL!K44,999)</f>
        <v>7</v>
      </c>
      <c r="P44" s="26" t="n">
        <f aca="false">IFERROR(F44/DEMAND_MODEL!L44,999)</f>
        <v>7</v>
      </c>
    </row>
    <row r="45" customFormat="false" ht="15" hidden="false" customHeight="false" outlineLevel="0" collapsed="false">
      <c r="A45" s="5" t="n">
        <f aca="false">ITEM_MASTER_CLEAN!A45</f>
        <v>44</v>
      </c>
      <c r="B45" s="5" t="n">
        <f aca="false">ITEM_MASTER_CLEAN!B45</f>
        <v>65315</v>
      </c>
      <c r="C45" s="5" t="str">
        <f aca="false">ITEM_MASTER_CLEAN!C45</f>
        <v>SUGAR ICING K 1X1K</v>
      </c>
      <c r="D45" s="12" t="n">
        <f aca="false">ITEM_MASTER_CLEAN!F45</f>
        <v>4.32</v>
      </c>
      <c r="E45" s="5" t="n">
        <f aca="false">ITEM_MASTER_CLEAN!H45</f>
        <v>1</v>
      </c>
      <c r="F45" s="5" t="n">
        <f aca="false">ITEM_MASTER_CLEAN!I45</f>
        <v>2</v>
      </c>
      <c r="G45" s="5" t="n">
        <f aca="false">PAR_LEVELS!J45</f>
        <v>1.85714285714286</v>
      </c>
      <c r="H45" s="5" t="n">
        <f aca="false">PAR_LEVELS!K45</f>
        <v>3.71428571428571</v>
      </c>
      <c r="I45" s="12" t="n">
        <f aca="false">E45*D45</f>
        <v>4.32</v>
      </c>
      <c r="J45" s="12" t="n">
        <f aca="false">F45*D45</f>
        <v>8.64</v>
      </c>
      <c r="K45" s="12" t="n">
        <f aca="false">MAX(E45-G45,0)*D45</f>
        <v>0</v>
      </c>
      <c r="L45" s="12" t="n">
        <f aca="false">MAX(F45-H45,0)*D45</f>
        <v>0</v>
      </c>
      <c r="M45" s="12" t="n">
        <f aca="false">MAX(G45-E45,0)*D45</f>
        <v>3.70285714285714</v>
      </c>
      <c r="N45" s="12" t="n">
        <f aca="false">MAX(H45-F45,0)*D45</f>
        <v>7.40571428571429</v>
      </c>
      <c r="O45" s="26" t="n">
        <f aca="false">IFERROR(E45/DEMAND_MODEL!K45,999)</f>
        <v>7</v>
      </c>
      <c r="P45" s="26" t="n">
        <f aca="false">IFERROR(F45/DEMAND_MODEL!L45,999)</f>
        <v>7</v>
      </c>
    </row>
    <row r="46" customFormat="false" ht="15" hidden="false" customHeight="false" outlineLevel="0" collapsed="false">
      <c r="A46" s="5" t="n">
        <f aca="false">ITEM_MASTER_CLEAN!A46</f>
        <v>45</v>
      </c>
      <c r="B46" s="5" t="n">
        <f aca="false">ITEM_MASTER_CLEAN!B46</f>
        <v>47526</v>
      </c>
      <c r="C46" s="5" t="str">
        <f aca="false">ITEM_MASTER_CLEAN!C46</f>
        <v>CREPE DUTCH 105498 100X63G</v>
      </c>
      <c r="D46" s="12" t="n">
        <f aca="false">ITEM_MASTER_CLEAN!F46</f>
        <v>55.33</v>
      </c>
      <c r="E46" s="5" t="n">
        <f aca="false">ITEM_MASTER_CLEAN!H46</f>
        <v>1</v>
      </c>
      <c r="F46" s="5" t="n">
        <f aca="false">ITEM_MASTER_CLEAN!I46</f>
        <v>1</v>
      </c>
      <c r="G46" s="5" t="n">
        <f aca="false">PAR_LEVELS!J46</f>
        <v>3.71428571428571</v>
      </c>
      <c r="H46" s="5" t="n">
        <f aca="false">PAR_LEVELS!K46</f>
        <v>3.71428571428571</v>
      </c>
      <c r="I46" s="12" t="n">
        <f aca="false">E46*D46</f>
        <v>55.33</v>
      </c>
      <c r="J46" s="12" t="n">
        <f aca="false">F46*D46</f>
        <v>55.33</v>
      </c>
      <c r="K46" s="12" t="n">
        <f aca="false">MAX(E46-G46,0)*D46</f>
        <v>0</v>
      </c>
      <c r="L46" s="12" t="n">
        <f aca="false">MAX(F46-H46,0)*D46</f>
        <v>0</v>
      </c>
      <c r="M46" s="12" t="n">
        <f aca="false">MAX(G46-E46,0)*D46</f>
        <v>150.181428571429</v>
      </c>
      <c r="N46" s="12" t="n">
        <f aca="false">MAX(H46-F46,0)*D46</f>
        <v>150.181428571429</v>
      </c>
      <c r="O46" s="26" t="n">
        <f aca="false">IFERROR(E46/DEMAND_MODEL!K46,999)</f>
        <v>3.5</v>
      </c>
      <c r="P46" s="26" t="n">
        <f aca="false">IFERROR(F46/DEMAND_MODEL!L46,999)</f>
        <v>3.5</v>
      </c>
    </row>
    <row r="47" customFormat="false" ht="15" hidden="false" customHeight="false" outlineLevel="0" collapsed="false">
      <c r="A47" s="5" t="n">
        <f aca="false">ITEM_MASTER_CLEAN!A47</f>
        <v>46</v>
      </c>
      <c r="B47" s="5" t="n">
        <f aca="false">ITEM_MASTER_CLEAN!B47</f>
        <v>49632</v>
      </c>
      <c r="C47" s="5" t="str">
        <f aca="false">ITEM_MASTER_CLEAN!C47</f>
        <v>WAFFLE BELGIAN VAN IND.WRAP 80X70G</v>
      </c>
      <c r="D47" s="12" t="n">
        <f aca="false">ITEM_MASTER_CLEAN!F47</f>
        <v>21.23</v>
      </c>
      <c r="E47" s="5" t="n">
        <f aca="false">ITEM_MASTER_CLEAN!H47</f>
        <v>1</v>
      </c>
      <c r="F47" s="5" t="n">
        <f aca="false">ITEM_MASTER_CLEAN!I47</f>
        <v>9</v>
      </c>
      <c r="G47" s="5" t="n">
        <f aca="false">PAR_LEVELS!J47</f>
        <v>5.57142857142857</v>
      </c>
      <c r="H47" s="5" t="n">
        <f aca="false">PAR_LEVELS!K47</f>
        <v>5.57142857142857</v>
      </c>
      <c r="I47" s="12" t="n">
        <f aca="false">E47*D47</f>
        <v>21.23</v>
      </c>
      <c r="J47" s="12" t="n">
        <f aca="false">F47*D47</f>
        <v>191.07</v>
      </c>
      <c r="K47" s="12" t="n">
        <f aca="false">MAX(E47-G47,0)*D47</f>
        <v>0</v>
      </c>
      <c r="L47" s="12" t="n">
        <f aca="false">MAX(F47-H47,0)*D47</f>
        <v>72.7885714285714</v>
      </c>
      <c r="M47" s="12" t="n">
        <f aca="false">MAX(G47-E47,0)*D47</f>
        <v>97.0514285714286</v>
      </c>
      <c r="N47" s="12" t="n">
        <f aca="false">MAX(H47-F47,0)*D47</f>
        <v>0</v>
      </c>
      <c r="O47" s="26" t="n">
        <f aca="false">IFERROR(E47/DEMAND_MODEL!K47,999)</f>
        <v>2.33333333333333</v>
      </c>
      <c r="P47" s="26" t="n">
        <f aca="false">IFERROR(F47/DEMAND_MODEL!L47,999)</f>
        <v>21</v>
      </c>
    </row>
    <row r="48" customFormat="false" ht="15" hidden="false" customHeight="false" outlineLevel="0" collapsed="false">
      <c r="A48" s="5" t="n">
        <f aca="false">ITEM_MASTER_CLEAN!A48</f>
        <v>47</v>
      </c>
      <c r="B48" s="5" t="n">
        <f aca="false">ITEM_MASTER_CLEAN!B48</f>
        <v>44967</v>
      </c>
      <c r="C48" s="5" t="str">
        <f aca="false">ITEM_MASTER_CLEAN!C48</f>
        <v>CHOC FONDANT BKD V-FX956 32X105G</v>
      </c>
      <c r="D48" s="12" t="n">
        <f aca="false">ITEM_MASTER_CLEAN!F48</f>
        <v>48.87</v>
      </c>
      <c r="E48" s="5" t="n">
        <f aca="false">ITEM_MASTER_CLEAN!H48</f>
        <v>7</v>
      </c>
      <c r="F48" s="5" t="n">
        <f aca="false">ITEM_MASTER_CLEAN!I48</f>
        <v>14</v>
      </c>
      <c r="G48" s="5" t="n">
        <f aca="false">PAR_LEVELS!J48</f>
        <v>3.71428571428571</v>
      </c>
      <c r="H48" s="5" t="n">
        <f aca="false">PAR_LEVELS!K48</f>
        <v>5.57142857142857</v>
      </c>
      <c r="I48" s="12" t="n">
        <f aca="false">E48*D48</f>
        <v>342.09</v>
      </c>
      <c r="J48" s="12" t="n">
        <f aca="false">F48*D48</f>
        <v>684.18</v>
      </c>
      <c r="K48" s="12" t="n">
        <f aca="false">MAX(E48-G48,0)*D48</f>
        <v>160.572857142857</v>
      </c>
      <c r="L48" s="12" t="n">
        <f aca="false">MAX(F48-H48,0)*D48</f>
        <v>411.904285714286</v>
      </c>
      <c r="M48" s="12" t="n">
        <f aca="false">MAX(G48-E48,0)*D48</f>
        <v>0</v>
      </c>
      <c r="N48" s="12" t="n">
        <f aca="false">MAX(H48-F48,0)*D48</f>
        <v>0</v>
      </c>
      <c r="O48" s="26" t="n">
        <f aca="false">IFERROR(E48/DEMAND_MODEL!K48,999)</f>
        <v>24.5</v>
      </c>
      <c r="P48" s="26" t="n">
        <f aca="false">IFERROR(F48/DEMAND_MODEL!L48,999)</f>
        <v>32.6666666666667</v>
      </c>
    </row>
    <row r="49" customFormat="false" ht="15" hidden="false" customHeight="false" outlineLevel="0" collapsed="false">
      <c r="A49" s="5" t="n">
        <f aca="false">ITEM_MASTER_CLEAN!A49</f>
        <v>48</v>
      </c>
      <c r="B49" s="5" t="n">
        <f aca="false">ITEM_MASTER_CLEAN!B49</f>
        <v>33785</v>
      </c>
      <c r="C49" s="5" t="str">
        <f aca="false">ITEM_MASTER_CLEAN!C49</f>
        <v>LADIP CAKE MARSHMELLOW C.DOUGH X2</v>
      </c>
      <c r="D49" s="12" t="n">
        <f aca="false">ITEM_MASTER_CLEAN!F49</f>
        <v>54.29</v>
      </c>
      <c r="E49" s="5" t="n">
        <f aca="false">ITEM_MASTER_CLEAN!H49</f>
        <v>1</v>
      </c>
      <c r="F49" s="5" t="n">
        <f aca="false">ITEM_MASTER_CLEAN!I49</f>
        <v>1</v>
      </c>
      <c r="G49" s="5" t="n">
        <f aca="false">PAR_LEVELS!J49</f>
        <v>5.57142857142857</v>
      </c>
      <c r="H49" s="5" t="n">
        <f aca="false">PAR_LEVELS!K49</f>
        <v>3.71428571428571</v>
      </c>
      <c r="I49" s="12" t="n">
        <f aca="false">E49*D49</f>
        <v>54.29</v>
      </c>
      <c r="J49" s="12" t="n">
        <f aca="false">F49*D49</f>
        <v>54.29</v>
      </c>
      <c r="K49" s="12" t="n">
        <f aca="false">MAX(E49-G49,0)*D49</f>
        <v>0</v>
      </c>
      <c r="L49" s="12" t="n">
        <f aca="false">MAX(F49-H49,0)*D49</f>
        <v>0</v>
      </c>
      <c r="M49" s="12" t="n">
        <f aca="false">MAX(G49-E49,0)*D49</f>
        <v>248.182857142857</v>
      </c>
      <c r="N49" s="12" t="n">
        <f aca="false">MAX(H49-F49,0)*D49</f>
        <v>147.358571428571</v>
      </c>
      <c r="O49" s="26" t="n">
        <f aca="false">IFERROR(E49/DEMAND_MODEL!K49,999)</f>
        <v>2.33333333333333</v>
      </c>
      <c r="P49" s="26" t="n">
        <f aca="false">IFERROR(F49/DEMAND_MODEL!L49,999)</f>
        <v>3.5</v>
      </c>
    </row>
    <row r="50" customFormat="false" ht="15" hidden="false" customHeight="false" outlineLevel="0" collapsed="false">
      <c r="A50" s="5" t="n">
        <f aca="false">ITEM_MASTER_CLEAN!A50</f>
        <v>49</v>
      </c>
      <c r="B50" s="5" t="n">
        <f aca="false">ITEM_MASTER_CLEAN!B50</f>
        <v>33784</v>
      </c>
      <c r="C50" s="5" t="str">
        <f aca="false">ITEM_MASTER_CLEAN!C50</f>
        <v>LADIP CAKE CARNIVAL 10" X2</v>
      </c>
      <c r="D50" s="12" t="n">
        <f aca="false">ITEM_MASTER_CLEAN!F50</f>
        <v>51.8</v>
      </c>
      <c r="E50" s="5" t="n">
        <f aca="false">ITEM_MASTER_CLEAN!H50</f>
        <v>0</v>
      </c>
      <c r="F50" s="5" t="n">
        <f aca="false">ITEM_MASTER_CLEAN!I50</f>
        <v>0</v>
      </c>
      <c r="G50" s="5" t="n">
        <f aca="false">PAR_LEVELS!J50</f>
        <v>1.85714285714286</v>
      </c>
      <c r="H50" s="5" t="n">
        <f aca="false">PAR_LEVELS!K50</f>
        <v>3.71428571428571</v>
      </c>
      <c r="I50" s="12" t="n">
        <f aca="false">E50*D50</f>
        <v>0</v>
      </c>
      <c r="J50" s="12" t="n">
        <f aca="false">F50*D50</f>
        <v>0</v>
      </c>
      <c r="K50" s="12" t="n">
        <f aca="false">MAX(E50-G50,0)*D50</f>
        <v>0</v>
      </c>
      <c r="L50" s="12" t="n">
        <f aca="false">MAX(F50-H50,0)*D50</f>
        <v>0</v>
      </c>
      <c r="M50" s="12" t="n">
        <f aca="false">MAX(G50-E50,0)*D50</f>
        <v>96.2</v>
      </c>
      <c r="N50" s="12" t="n">
        <f aca="false">MAX(H50-F50,0)*D50</f>
        <v>192.4</v>
      </c>
      <c r="O50" s="26" t="n">
        <f aca="false">IFERROR(E50/DEMAND_MODEL!K50,999)</f>
        <v>0</v>
      </c>
      <c r="P50" s="26" t="n">
        <f aca="false">IFERROR(F50/DEMAND_MODEL!L50,999)</f>
        <v>0</v>
      </c>
    </row>
    <row r="51" customFormat="false" ht="15" hidden="false" customHeight="false" outlineLevel="0" collapsed="false">
      <c r="A51" s="5" t="n">
        <f aca="false">ITEM_MASTER_CLEAN!A51</f>
        <v>50</v>
      </c>
      <c r="B51" s="5" t="n">
        <f aca="false">ITEM_MASTER_CLEAN!B51</f>
        <v>33780</v>
      </c>
      <c r="C51" s="5" t="str">
        <f aca="false">ITEM_MASTER_CLEAN!C51</f>
        <v>LADIP CAKE RAINBOW X2</v>
      </c>
      <c r="D51" s="12" t="n">
        <f aca="false">ITEM_MASTER_CLEAN!F51</f>
        <v>48.64</v>
      </c>
      <c r="E51" s="5" t="n">
        <f aca="false">ITEM_MASTER_CLEAN!H51</f>
        <v>2</v>
      </c>
      <c r="F51" s="5" t="n">
        <f aca="false">ITEM_MASTER_CLEAN!I51</f>
        <v>1</v>
      </c>
      <c r="G51" s="5" t="n">
        <f aca="false">PAR_LEVELS!J51</f>
        <v>3.71428571428571</v>
      </c>
      <c r="H51" s="5" t="n">
        <f aca="false">PAR_LEVELS!K51</f>
        <v>1.85714285714286</v>
      </c>
      <c r="I51" s="12" t="n">
        <f aca="false">E51*D51</f>
        <v>97.28</v>
      </c>
      <c r="J51" s="12" t="n">
        <f aca="false">F51*D51</f>
        <v>48.64</v>
      </c>
      <c r="K51" s="12" t="n">
        <f aca="false">MAX(E51-G51,0)*D51</f>
        <v>0</v>
      </c>
      <c r="L51" s="12" t="n">
        <f aca="false">MAX(F51-H51,0)*D51</f>
        <v>0</v>
      </c>
      <c r="M51" s="12" t="n">
        <f aca="false">MAX(G51-E51,0)*D51</f>
        <v>83.3828571428571</v>
      </c>
      <c r="N51" s="12" t="n">
        <f aca="false">MAX(H51-F51,0)*D51</f>
        <v>41.6914285714286</v>
      </c>
      <c r="O51" s="26" t="n">
        <f aca="false">IFERROR(E51/DEMAND_MODEL!K51,999)</f>
        <v>7</v>
      </c>
      <c r="P51" s="26" t="n">
        <f aca="false">IFERROR(F51/DEMAND_MODEL!L51,999)</f>
        <v>7</v>
      </c>
    </row>
    <row r="52" customFormat="false" ht="15" hidden="false" customHeight="false" outlineLevel="0" collapsed="false">
      <c r="A52" s="5" t="n">
        <f aca="false">ITEM_MASTER_CLEAN!A52</f>
        <v>51</v>
      </c>
      <c r="B52" s="5" t="n">
        <f aca="false">ITEM_MASTER_CLEAN!B52</f>
        <v>28983</v>
      </c>
      <c r="C52" s="5" t="str">
        <f aca="false">ITEM_MASTER_CLEAN!C52</f>
        <v>BROWNIE PLAIN 10" 14PC X2</v>
      </c>
      <c r="D52" s="12" t="n">
        <f aca="false">ITEM_MASTER_CLEAN!F52</f>
        <v>37.77</v>
      </c>
      <c r="E52" s="5" t="n">
        <f aca="false">ITEM_MASTER_CLEAN!H52</f>
        <v>0</v>
      </c>
      <c r="F52" s="5" t="n">
        <f aca="false">ITEM_MASTER_CLEAN!I52</f>
        <v>10</v>
      </c>
      <c r="G52" s="5" t="n">
        <f aca="false">PAR_LEVELS!J52</f>
        <v>3.71428571428571</v>
      </c>
      <c r="H52" s="5" t="n">
        <f aca="false">PAR_LEVELS!K52</f>
        <v>5.57142857142857</v>
      </c>
      <c r="I52" s="12" t="n">
        <f aca="false">E52*D52</f>
        <v>0</v>
      </c>
      <c r="J52" s="12" t="n">
        <f aca="false">F52*D52</f>
        <v>377.7</v>
      </c>
      <c r="K52" s="12" t="n">
        <f aca="false">MAX(E52-G52,0)*D52</f>
        <v>0</v>
      </c>
      <c r="L52" s="12" t="n">
        <f aca="false">MAX(F52-H52,0)*D52</f>
        <v>167.267142857143</v>
      </c>
      <c r="M52" s="12" t="n">
        <f aca="false">MAX(G52-E52,0)*D52</f>
        <v>140.288571428571</v>
      </c>
      <c r="N52" s="12" t="n">
        <f aca="false">MAX(H52-F52,0)*D52</f>
        <v>0</v>
      </c>
      <c r="O52" s="26" t="n">
        <f aca="false">IFERROR(E52/DEMAND_MODEL!K52,999)</f>
        <v>0</v>
      </c>
      <c r="P52" s="26" t="n">
        <f aca="false">IFERROR(F52/DEMAND_MODEL!L52,999)</f>
        <v>23.3333333333333</v>
      </c>
    </row>
    <row r="53" customFormat="false" ht="15" hidden="false" customHeight="false" outlineLevel="0" collapsed="false">
      <c r="A53" s="5" t="n">
        <f aca="false">ITEM_MASTER_CLEAN!A53</f>
        <v>52</v>
      </c>
      <c r="B53" s="5" t="n">
        <f aca="false">ITEM_MASTER_CLEAN!B53</f>
        <v>28988</v>
      </c>
      <c r="C53" s="5" t="str">
        <f aca="false">ITEM_MASTER_CLEAN!C53</f>
        <v>CAKE CARROT BEAUX 10" 14PC</v>
      </c>
      <c r="D53" s="12" t="n">
        <f aca="false">ITEM_MASTER_CLEAN!F53</f>
        <v>20.33</v>
      </c>
      <c r="E53" s="5" t="n">
        <f aca="false">ITEM_MASTER_CLEAN!H53</f>
        <v>11</v>
      </c>
      <c r="F53" s="5" t="n">
        <f aca="false">ITEM_MASTER_CLEAN!I53</f>
        <v>0</v>
      </c>
      <c r="G53" s="5" t="n">
        <f aca="false">PAR_LEVELS!J53</f>
        <v>7.42857142857143</v>
      </c>
      <c r="H53" s="5" t="n">
        <f aca="false">PAR_LEVELS!K53</f>
        <v>1.85714285714286</v>
      </c>
      <c r="I53" s="12" t="n">
        <f aca="false">E53*D53</f>
        <v>223.63</v>
      </c>
      <c r="J53" s="12" t="n">
        <f aca="false">F53*D53</f>
        <v>0</v>
      </c>
      <c r="K53" s="12" t="n">
        <f aca="false">MAX(E53-G53,0)*D53</f>
        <v>72.6071428571429</v>
      </c>
      <c r="L53" s="12" t="n">
        <f aca="false">MAX(F53-H53,0)*D53</f>
        <v>0</v>
      </c>
      <c r="M53" s="12" t="n">
        <f aca="false">MAX(G53-E53,0)*D53</f>
        <v>0</v>
      </c>
      <c r="N53" s="12" t="n">
        <f aca="false">MAX(H53-F53,0)*D53</f>
        <v>37.7557142857143</v>
      </c>
      <c r="O53" s="26" t="n">
        <f aca="false">IFERROR(E53/DEMAND_MODEL!K53,999)</f>
        <v>19.25</v>
      </c>
      <c r="P53" s="26" t="n">
        <f aca="false">IFERROR(F53/DEMAND_MODEL!L53,999)</f>
        <v>0</v>
      </c>
    </row>
    <row r="54" customFormat="false" ht="15" hidden="false" customHeight="false" outlineLevel="0" collapsed="false">
      <c r="A54" s="5" t="n">
        <f aca="false">ITEM_MASTER_CLEAN!A54</f>
        <v>53</v>
      </c>
      <c r="B54" s="5" t="n">
        <f aca="false">ITEM_MASTER_CLEAN!B54</f>
        <v>28989</v>
      </c>
      <c r="C54" s="5" t="str">
        <f aca="false">ITEM_MASTER_CLEAN!C54</f>
        <v>CAKE REODELIGHT 10" 16PC</v>
      </c>
      <c r="D54" s="12" t="n">
        <f aca="false">ITEM_MASTER_CLEAN!F54</f>
        <v>37.82</v>
      </c>
      <c r="E54" s="5" t="n">
        <f aca="false">ITEM_MASTER_CLEAN!H54</f>
        <v>2</v>
      </c>
      <c r="F54" s="5" t="n">
        <f aca="false">ITEM_MASTER_CLEAN!I54</f>
        <v>1</v>
      </c>
      <c r="G54" s="5" t="n">
        <f aca="false">PAR_LEVELS!J54</f>
        <v>7.42857142857143</v>
      </c>
      <c r="H54" s="5" t="n">
        <f aca="false">PAR_LEVELS!K54</f>
        <v>5.57142857142857</v>
      </c>
      <c r="I54" s="12" t="n">
        <f aca="false">E54*D54</f>
        <v>75.64</v>
      </c>
      <c r="J54" s="12" t="n">
        <f aca="false">F54*D54</f>
        <v>37.82</v>
      </c>
      <c r="K54" s="12" t="n">
        <f aca="false">MAX(E54-G54,0)*D54</f>
        <v>0</v>
      </c>
      <c r="L54" s="12" t="n">
        <f aca="false">MAX(F54-H54,0)*D54</f>
        <v>0</v>
      </c>
      <c r="M54" s="12" t="n">
        <f aca="false">MAX(G54-E54,0)*D54</f>
        <v>205.308571428571</v>
      </c>
      <c r="N54" s="12" t="n">
        <f aca="false">MAX(H54-F54,0)*D54</f>
        <v>172.891428571429</v>
      </c>
      <c r="O54" s="26" t="n">
        <f aca="false">IFERROR(E54/DEMAND_MODEL!K54,999)</f>
        <v>3.5</v>
      </c>
      <c r="P54" s="26" t="n">
        <f aca="false">IFERROR(F54/DEMAND_MODEL!L54,999)</f>
        <v>2.33333333333333</v>
      </c>
    </row>
    <row r="55" customFormat="false" ht="15" hidden="false" customHeight="false" outlineLevel="0" collapsed="false">
      <c r="A55" s="5" t="n">
        <f aca="false">ITEM_MASTER_CLEAN!A55</f>
        <v>54</v>
      </c>
      <c r="B55" s="5" t="n">
        <f aca="false">ITEM_MASTER_CLEAN!B55</f>
        <v>28990</v>
      </c>
      <c r="C55" s="5" t="str">
        <f aca="false">ITEM_MASTER_CLEAN!C55</f>
        <v>CAKE TIRAMISU 9" 12PC</v>
      </c>
      <c r="D55" s="12" t="n">
        <f aca="false">ITEM_MASTER_CLEAN!F55</f>
        <v>55.75</v>
      </c>
      <c r="E55" s="5" t="n">
        <f aca="false">ITEM_MASTER_CLEAN!H55</f>
        <v>1</v>
      </c>
      <c r="F55" s="5" t="n">
        <f aca="false">ITEM_MASTER_CLEAN!I55</f>
        <v>2</v>
      </c>
      <c r="G55" s="5" t="n">
        <f aca="false">PAR_LEVELS!J55</f>
        <v>7.42857142857143</v>
      </c>
      <c r="H55" s="5" t="n">
        <f aca="false">PAR_LEVELS!K55</f>
        <v>5.57142857142857</v>
      </c>
      <c r="I55" s="12" t="n">
        <f aca="false">E55*D55</f>
        <v>55.75</v>
      </c>
      <c r="J55" s="12" t="n">
        <f aca="false">F55*D55</f>
        <v>111.5</v>
      </c>
      <c r="K55" s="12" t="n">
        <f aca="false">MAX(E55-G55,0)*D55</f>
        <v>0</v>
      </c>
      <c r="L55" s="12" t="n">
        <f aca="false">MAX(F55-H55,0)*D55</f>
        <v>0</v>
      </c>
      <c r="M55" s="12" t="n">
        <f aca="false">MAX(G55-E55,0)*D55</f>
        <v>358.392857142857</v>
      </c>
      <c r="N55" s="12" t="n">
        <f aca="false">MAX(H55-F55,0)*D55</f>
        <v>199.107142857143</v>
      </c>
      <c r="O55" s="26" t="n">
        <f aca="false">IFERROR(E55/DEMAND_MODEL!K55,999)</f>
        <v>1.75</v>
      </c>
      <c r="P55" s="26" t="n">
        <f aca="false">IFERROR(F55/DEMAND_MODEL!L55,999)</f>
        <v>4.66666666666667</v>
      </c>
    </row>
    <row r="56" customFormat="false" ht="15" hidden="false" customHeight="false" outlineLevel="0" collapsed="false">
      <c r="A56" s="5" t="n">
        <f aca="false">ITEM_MASTER_CLEAN!A56</f>
        <v>55</v>
      </c>
      <c r="B56" s="5" t="n">
        <f aca="false">ITEM_MASTER_CLEAN!B56</f>
        <v>28992</v>
      </c>
      <c r="C56" s="5" t="str">
        <f aca="false">ITEM_MASTER_CLEAN!C56</f>
        <v>CAKE RED VELVET 10" 14PC  X1</v>
      </c>
      <c r="D56" s="12" t="n">
        <f aca="false">ITEM_MASTER_CLEAN!F56</f>
        <v>56.99</v>
      </c>
      <c r="E56" s="5" t="n">
        <f aca="false">ITEM_MASTER_CLEAN!H56</f>
        <v>1</v>
      </c>
      <c r="F56" s="5" t="n">
        <f aca="false">ITEM_MASTER_CLEAN!I56</f>
        <v>1</v>
      </c>
      <c r="G56" s="5" t="n">
        <f aca="false">PAR_LEVELS!J56</f>
        <v>5.57142857142857</v>
      </c>
      <c r="H56" s="5" t="n">
        <f aca="false">PAR_LEVELS!K56</f>
        <v>5.57142857142857</v>
      </c>
      <c r="I56" s="12" t="n">
        <f aca="false">E56*D56</f>
        <v>56.99</v>
      </c>
      <c r="J56" s="12" t="n">
        <f aca="false">F56*D56</f>
        <v>56.99</v>
      </c>
      <c r="K56" s="12" t="n">
        <f aca="false">MAX(E56-G56,0)*D56</f>
        <v>0</v>
      </c>
      <c r="L56" s="12" t="n">
        <f aca="false">MAX(F56-H56,0)*D56</f>
        <v>0</v>
      </c>
      <c r="M56" s="12" t="n">
        <f aca="false">MAX(G56-E56,0)*D56</f>
        <v>260.525714285714</v>
      </c>
      <c r="N56" s="12" t="n">
        <f aca="false">MAX(H56-F56,0)*D56</f>
        <v>260.525714285714</v>
      </c>
      <c r="O56" s="26" t="n">
        <f aca="false">IFERROR(E56/DEMAND_MODEL!K56,999)</f>
        <v>2.33333333333333</v>
      </c>
      <c r="P56" s="26" t="n">
        <f aca="false">IFERROR(F56/DEMAND_MODEL!L56,999)</f>
        <v>2.33333333333333</v>
      </c>
    </row>
    <row r="57" customFormat="false" ht="15" hidden="false" customHeight="false" outlineLevel="0" collapsed="false">
      <c r="A57" s="5" t="n">
        <f aca="false">ITEM_MASTER_CLEAN!A57</f>
        <v>56</v>
      </c>
      <c r="B57" s="5" t="n">
        <f aca="false">ITEM_MASTER_CLEAN!B57</f>
        <v>27030</v>
      </c>
      <c r="C57" s="5" t="str">
        <f aca="false">ITEM_MASTER_CLEAN!C57</f>
        <v>*NOUVEAU - gât choc décadent 6" 6un</v>
      </c>
      <c r="D57" s="12" t="n">
        <f aca="false">ITEM_MASTER_CLEAN!F57</f>
        <v>31.79</v>
      </c>
      <c r="E57" s="5" t="n">
        <f aca="false">ITEM_MASTER_CLEAN!H57</f>
        <v>1</v>
      </c>
      <c r="F57" s="5" t="n">
        <f aca="false">ITEM_MASTER_CLEAN!I57</f>
        <v>1</v>
      </c>
      <c r="G57" s="5" t="n">
        <f aca="false">PAR_LEVELS!J57</f>
        <v>1.85714285714286</v>
      </c>
      <c r="H57" s="5" t="n">
        <f aca="false">PAR_LEVELS!K57</f>
        <v>1.85714285714286</v>
      </c>
      <c r="I57" s="12" t="n">
        <f aca="false">E57*D57</f>
        <v>31.79</v>
      </c>
      <c r="J57" s="12" t="n">
        <f aca="false">F57*D57</f>
        <v>31.79</v>
      </c>
      <c r="K57" s="12" t="n">
        <f aca="false">MAX(E57-G57,0)*D57</f>
        <v>0</v>
      </c>
      <c r="L57" s="12" t="n">
        <f aca="false">MAX(F57-H57,0)*D57</f>
        <v>0</v>
      </c>
      <c r="M57" s="12" t="n">
        <f aca="false">MAX(G57-E57,0)*D57</f>
        <v>27.2485714285714</v>
      </c>
      <c r="N57" s="12" t="n">
        <f aca="false">MAX(H57-F57,0)*D57</f>
        <v>27.2485714285714</v>
      </c>
      <c r="O57" s="26" t="n">
        <f aca="false">IFERROR(E57/DEMAND_MODEL!K57,999)</f>
        <v>7</v>
      </c>
      <c r="P57" s="26" t="n">
        <f aca="false">IFERROR(F57/DEMAND_MODEL!L57,999)</f>
        <v>7</v>
      </c>
    </row>
    <row r="58" customFormat="false" ht="15" hidden="false" customHeight="false" outlineLevel="0" collapsed="false">
      <c r="A58" s="5" t="n">
        <f aca="false">ITEM_MASTER_CLEAN!A58</f>
        <v>57</v>
      </c>
      <c r="B58" s="5" t="n">
        <f aca="false">ITEM_MASTER_CLEAN!B58</f>
        <v>27031</v>
      </c>
      <c r="C58" s="5" t="str">
        <f aca="false">ITEM_MASTER_CLEAN!C58</f>
        <v>*NOUVEAU - gât choc-noiset. 6" 6un</v>
      </c>
      <c r="D58" s="12" t="n">
        <f aca="false">ITEM_MASTER_CLEAN!F58</f>
        <v>31.54</v>
      </c>
      <c r="E58" s="5" t="n">
        <f aca="false">ITEM_MASTER_CLEAN!H58</f>
        <v>7</v>
      </c>
      <c r="F58" s="5" t="n">
        <f aca="false">ITEM_MASTER_CLEAN!I58</f>
        <v>3</v>
      </c>
      <c r="G58" s="5" t="n">
        <f aca="false">PAR_LEVELS!J58</f>
        <v>7.42857142857143</v>
      </c>
      <c r="H58" s="5" t="n">
        <f aca="false">PAR_LEVELS!K58</f>
        <v>3.71428571428571</v>
      </c>
      <c r="I58" s="12" t="n">
        <f aca="false">E58*D58</f>
        <v>220.78</v>
      </c>
      <c r="J58" s="12" t="n">
        <f aca="false">F58*D58</f>
        <v>94.62</v>
      </c>
      <c r="K58" s="12" t="n">
        <f aca="false">MAX(E58-G58,0)*D58</f>
        <v>0</v>
      </c>
      <c r="L58" s="12" t="n">
        <f aca="false">MAX(F58-H58,0)*D58</f>
        <v>0</v>
      </c>
      <c r="M58" s="12" t="n">
        <f aca="false">MAX(G58-E58,0)*D58</f>
        <v>13.5171428571428</v>
      </c>
      <c r="N58" s="12" t="n">
        <f aca="false">MAX(H58-F58,0)*D58</f>
        <v>22.5285714285714</v>
      </c>
      <c r="O58" s="26" t="n">
        <f aca="false">IFERROR(E58/DEMAND_MODEL!K58,999)</f>
        <v>12.25</v>
      </c>
      <c r="P58" s="26" t="n">
        <f aca="false">IFERROR(F58/DEMAND_MODEL!L58,999)</f>
        <v>10.5</v>
      </c>
    </row>
    <row r="59" customFormat="false" ht="15" hidden="false" customHeight="false" outlineLevel="0" collapsed="false">
      <c r="A59" s="5" t="n">
        <f aca="false">ITEM_MASTER_CLEAN!A59</f>
        <v>58</v>
      </c>
      <c r="B59" s="5" t="n">
        <f aca="false">ITEM_MASTER_CLEAN!B59</f>
        <v>27032</v>
      </c>
      <c r="C59" s="5" t="str">
        <f aca="false">ITEM_MASTER_CLEAN!C59</f>
        <v>*NOUVEAU - gât Mangue Msse 6" 6un</v>
      </c>
      <c r="D59" s="12" t="n">
        <f aca="false">ITEM_MASTER_CLEAN!F59</f>
        <v>15.98</v>
      </c>
      <c r="E59" s="5" t="n">
        <f aca="false">ITEM_MASTER_CLEAN!H59</f>
        <v>6</v>
      </c>
      <c r="F59" s="5" t="n">
        <f aca="false">ITEM_MASTER_CLEAN!I59</f>
        <v>3</v>
      </c>
      <c r="G59" s="5" t="n">
        <f aca="false">PAR_LEVELS!J59</f>
        <v>7.42857142857143</v>
      </c>
      <c r="H59" s="5" t="n">
        <f aca="false">PAR_LEVELS!K59</f>
        <v>3.71428571428571</v>
      </c>
      <c r="I59" s="12" t="n">
        <f aca="false">E59*D59</f>
        <v>95.88</v>
      </c>
      <c r="J59" s="12" t="n">
        <f aca="false">F59*D59</f>
        <v>47.94</v>
      </c>
      <c r="K59" s="12" t="n">
        <f aca="false">MAX(E59-G59,0)*D59</f>
        <v>0</v>
      </c>
      <c r="L59" s="12" t="n">
        <f aca="false">MAX(F59-H59,0)*D59</f>
        <v>0</v>
      </c>
      <c r="M59" s="12" t="n">
        <f aca="false">MAX(G59-E59,0)*D59</f>
        <v>22.8285714285714</v>
      </c>
      <c r="N59" s="12" t="n">
        <f aca="false">MAX(H59-F59,0)*D59</f>
        <v>11.4142857142857</v>
      </c>
      <c r="O59" s="26" t="n">
        <f aca="false">IFERROR(E59/DEMAND_MODEL!K59,999)</f>
        <v>10.5</v>
      </c>
      <c r="P59" s="26" t="n">
        <f aca="false">IFERROR(F59/DEMAND_MODEL!L59,999)</f>
        <v>10.5</v>
      </c>
    </row>
    <row r="60" customFormat="false" ht="15" hidden="false" customHeight="false" outlineLevel="0" collapsed="false">
      <c r="A60" s="5" t="n">
        <f aca="false">ITEM_MASTER_CLEAN!A60</f>
        <v>59</v>
      </c>
      <c r="B60" s="5" t="n">
        <f aca="false">ITEM_MASTER_CLEAN!B60</f>
        <v>27033</v>
      </c>
      <c r="C60" s="5" t="str">
        <f aca="false">ITEM_MASTER_CLEAN!C60</f>
        <v>LADIP CAKE RED BERRY MOUSSE 6" 6UN</v>
      </c>
      <c r="D60" s="12" t="n">
        <f aca="false">ITEM_MASTER_CLEAN!F60</f>
        <v>35.95</v>
      </c>
      <c r="E60" s="5" t="n">
        <f aca="false">ITEM_MASTER_CLEAN!H60</f>
        <v>3</v>
      </c>
      <c r="F60" s="5" t="n">
        <f aca="false">ITEM_MASTER_CLEAN!I60</f>
        <v>2</v>
      </c>
      <c r="G60" s="5" t="n">
        <f aca="false">PAR_LEVELS!J60</f>
        <v>3.71428571428571</v>
      </c>
      <c r="H60" s="5" t="n">
        <f aca="false">PAR_LEVELS!K60</f>
        <v>3.71428571428571</v>
      </c>
      <c r="I60" s="12" t="n">
        <f aca="false">E60*D60</f>
        <v>107.85</v>
      </c>
      <c r="J60" s="12" t="n">
        <f aca="false">F60*D60</f>
        <v>71.9</v>
      </c>
      <c r="K60" s="12" t="n">
        <f aca="false">MAX(E60-G60,0)*D60</f>
        <v>0</v>
      </c>
      <c r="L60" s="12" t="n">
        <f aca="false">MAX(F60-H60,0)*D60</f>
        <v>0</v>
      </c>
      <c r="M60" s="12" t="n">
        <f aca="false">MAX(G60-E60,0)*D60</f>
        <v>25.6785714285714</v>
      </c>
      <c r="N60" s="12" t="n">
        <f aca="false">MAX(H60-F60,0)*D60</f>
        <v>61.6285714285714</v>
      </c>
      <c r="O60" s="26" t="n">
        <f aca="false">IFERROR(E60/DEMAND_MODEL!K60,999)</f>
        <v>10.5</v>
      </c>
      <c r="P60" s="26" t="n">
        <f aca="false">IFERROR(F60/DEMAND_MODEL!L60,999)</f>
        <v>7</v>
      </c>
    </row>
    <row r="61" customFormat="false" ht="15" hidden="false" customHeight="false" outlineLevel="0" collapsed="false">
      <c r="A61" s="5" t="n">
        <f aca="false">ITEM_MASTER_CLEAN!A61</f>
        <v>60</v>
      </c>
      <c r="B61" s="5" t="n">
        <f aca="false">ITEM_MASTER_CLEAN!B61</f>
        <v>27034</v>
      </c>
      <c r="C61" s="5" t="str">
        <f aca="false">ITEM_MASTER_CLEAN!C61</f>
        <v>*NOUVEAU -gât d'anniversaire 6"6un</v>
      </c>
      <c r="D61" s="12" t="n">
        <f aca="false">ITEM_MASTER_CLEAN!F61</f>
        <v>35.22</v>
      </c>
      <c r="E61" s="5" t="n">
        <f aca="false">ITEM_MASTER_CLEAN!H61</f>
        <v>3</v>
      </c>
      <c r="F61" s="5" t="n">
        <f aca="false">ITEM_MASTER_CLEAN!I61</f>
        <v>2</v>
      </c>
      <c r="G61" s="5" t="n">
        <f aca="false">PAR_LEVELS!J61</f>
        <v>3.71428571428571</v>
      </c>
      <c r="H61" s="5" t="n">
        <f aca="false">PAR_LEVELS!K61</f>
        <v>3.71428571428571</v>
      </c>
      <c r="I61" s="12" t="n">
        <f aca="false">E61*D61</f>
        <v>105.66</v>
      </c>
      <c r="J61" s="12" t="n">
        <f aca="false">F61*D61</f>
        <v>70.44</v>
      </c>
      <c r="K61" s="12" t="n">
        <f aca="false">MAX(E61-G61,0)*D61</f>
        <v>0</v>
      </c>
      <c r="L61" s="12" t="n">
        <f aca="false">MAX(F61-H61,0)*D61</f>
        <v>0</v>
      </c>
      <c r="M61" s="12" t="n">
        <f aca="false">MAX(G61-E61,0)*D61</f>
        <v>25.1571428571428</v>
      </c>
      <c r="N61" s="12" t="n">
        <f aca="false">MAX(H61-F61,0)*D61</f>
        <v>60.3771428571428</v>
      </c>
      <c r="O61" s="26" t="n">
        <f aca="false">IFERROR(E61/DEMAND_MODEL!K61,999)</f>
        <v>10.5</v>
      </c>
      <c r="P61" s="26" t="n">
        <f aca="false">IFERROR(F61/DEMAND_MODEL!L61,999)</f>
        <v>7</v>
      </c>
    </row>
    <row r="62" customFormat="false" ht="15" hidden="false" customHeight="false" outlineLevel="0" collapsed="false">
      <c r="A62" s="5" t="n">
        <f aca="false">ITEM_MASTER_CLEAN!A62</f>
        <v>61</v>
      </c>
      <c r="B62" s="5" t="n">
        <f aca="false">ITEM_MASTER_CLEAN!B62</f>
        <v>28967</v>
      </c>
      <c r="C62" s="5" t="str">
        <f aca="false">ITEM_MASTER_CLEAN!C62</f>
        <v>PIE KEY LIME GRAHAM 10" KILO 12PC</v>
      </c>
      <c r="D62" s="12" t="n">
        <f aca="false">ITEM_MASTER_CLEAN!F62</f>
        <v>48.15</v>
      </c>
      <c r="E62" s="5" t="n">
        <f aca="false">ITEM_MASTER_CLEAN!H62</f>
        <v>0</v>
      </c>
      <c r="F62" s="5" t="n">
        <f aca="false">ITEM_MASTER_CLEAN!I62</f>
        <v>0</v>
      </c>
      <c r="G62" s="5" t="n">
        <f aca="false">PAR_LEVELS!J62</f>
        <v>1.85714285714286</v>
      </c>
      <c r="H62" s="5" t="n">
        <f aca="false">PAR_LEVELS!K62</f>
        <v>5.57142857142857</v>
      </c>
      <c r="I62" s="12" t="n">
        <f aca="false">E62*D62</f>
        <v>0</v>
      </c>
      <c r="J62" s="12" t="n">
        <f aca="false">F62*D62</f>
        <v>0</v>
      </c>
      <c r="K62" s="12" t="n">
        <f aca="false">MAX(E62-G62,0)*D62</f>
        <v>0</v>
      </c>
      <c r="L62" s="12" t="n">
        <f aca="false">MAX(F62-H62,0)*D62</f>
        <v>0</v>
      </c>
      <c r="M62" s="12" t="n">
        <f aca="false">MAX(G62-E62,0)*D62</f>
        <v>89.4214285714286</v>
      </c>
      <c r="N62" s="12" t="n">
        <f aca="false">MAX(H62-F62,0)*D62</f>
        <v>268.264285714286</v>
      </c>
      <c r="O62" s="26" t="n">
        <f aca="false">IFERROR(E62/DEMAND_MODEL!K62,999)</f>
        <v>0</v>
      </c>
      <c r="P62" s="26" t="n">
        <f aca="false">IFERROR(F62/DEMAND_MODEL!L62,999)</f>
        <v>0</v>
      </c>
    </row>
    <row r="63" customFormat="false" ht="15" hidden="false" customHeight="false" outlineLevel="0" collapsed="false">
      <c r="A63" s="5" t="n">
        <f aca="false">ITEM_MASTER_CLEAN!A63</f>
        <v>62</v>
      </c>
      <c r="B63" s="5" t="n">
        <f aca="false">ITEM_MASTER_CLEAN!B63</f>
        <v>31229</v>
      </c>
      <c r="C63" s="5" t="str">
        <f aca="false">ITEM_MASTER_CLEAN!C63</f>
        <v>LC ICE CRM MIX VANILLA 2X10L</v>
      </c>
      <c r="D63" s="12" t="n">
        <f aca="false">ITEM_MASTER_CLEAN!F63</f>
        <v>50.28</v>
      </c>
      <c r="E63" s="5" t="n">
        <f aca="false">ITEM_MASTER_CLEAN!H63</f>
        <v>11</v>
      </c>
      <c r="F63" s="5" t="n">
        <f aca="false">ITEM_MASTER_CLEAN!I63</f>
        <v>9</v>
      </c>
      <c r="G63" s="5" t="n">
        <f aca="false">PAR_LEVELS!J63</f>
        <v>11.1428571428571</v>
      </c>
      <c r="H63" s="5" t="n">
        <f aca="false">PAR_LEVELS!K63</f>
        <v>11.1428571428571</v>
      </c>
      <c r="I63" s="12" t="n">
        <f aca="false">E63*D63</f>
        <v>553.08</v>
      </c>
      <c r="J63" s="12" t="n">
        <f aca="false">F63*D63</f>
        <v>452.52</v>
      </c>
      <c r="K63" s="12" t="n">
        <f aca="false">MAX(E63-G63,0)*D63</f>
        <v>0</v>
      </c>
      <c r="L63" s="12" t="n">
        <f aca="false">MAX(F63-H63,0)*D63</f>
        <v>0</v>
      </c>
      <c r="M63" s="12" t="n">
        <f aca="false">MAX(G63-E63,0)*D63</f>
        <v>7.18285714285712</v>
      </c>
      <c r="N63" s="12" t="n">
        <f aca="false">MAX(H63-F63,0)*D63</f>
        <v>107.742857142857</v>
      </c>
      <c r="O63" s="26" t="n">
        <f aca="false">IFERROR(E63/DEMAND_MODEL!K63,999)</f>
        <v>12.8333333333333</v>
      </c>
      <c r="P63" s="26" t="n">
        <f aca="false">IFERROR(F63/DEMAND_MODEL!L63,999)</f>
        <v>10.5</v>
      </c>
    </row>
    <row r="64" customFormat="false" ht="15" hidden="false" customHeight="false" outlineLevel="0" collapsed="false">
      <c r="A64" s="5" t="n">
        <f aca="false">ITEM_MASTER_CLEAN!A64</f>
        <v>63</v>
      </c>
      <c r="B64" s="5" t="n">
        <f aca="false">ITEM_MASTER_CLEAN!B64</f>
        <v>36756</v>
      </c>
      <c r="C64" s="5" t="str">
        <f aca="false">ITEM_MASTER_CLEAN!C64</f>
        <v>LADIP MANGO S/SERVE VEGAN 8X1.89L</v>
      </c>
      <c r="D64" s="12" t="n">
        <f aca="false">ITEM_MASTER_CLEAN!F64</f>
        <v>58.22</v>
      </c>
      <c r="E64" s="5" t="n">
        <f aca="false">ITEM_MASTER_CLEAN!H64</f>
        <v>10</v>
      </c>
      <c r="F64" s="5" t="n">
        <f aca="false">ITEM_MASTER_CLEAN!I64</f>
        <v>0</v>
      </c>
      <c r="G64" s="5" t="n">
        <f aca="false">PAR_LEVELS!J64</f>
        <v>7.42857142857143</v>
      </c>
      <c r="H64" s="5" t="n">
        <f aca="false">PAR_LEVELS!K64</f>
        <v>9.28571428571429</v>
      </c>
      <c r="I64" s="12" t="n">
        <f aca="false">E64*D64</f>
        <v>582.2</v>
      </c>
      <c r="J64" s="12" t="n">
        <f aca="false">F64*D64</f>
        <v>0</v>
      </c>
      <c r="K64" s="12" t="n">
        <f aca="false">MAX(E64-G64,0)*D64</f>
        <v>149.708571428571</v>
      </c>
      <c r="L64" s="12" t="n">
        <f aca="false">MAX(F64-H64,0)*D64</f>
        <v>0</v>
      </c>
      <c r="M64" s="12" t="n">
        <f aca="false">MAX(G64-E64,0)*D64</f>
        <v>0</v>
      </c>
      <c r="N64" s="12" t="n">
        <f aca="false">MAX(H64-F64,0)*D64</f>
        <v>540.614285714286</v>
      </c>
      <c r="O64" s="26" t="n">
        <f aca="false">IFERROR(E64/DEMAND_MODEL!K64,999)</f>
        <v>17.5</v>
      </c>
      <c r="P64" s="26" t="n">
        <f aca="false">IFERROR(F64/DEMAND_MODEL!L64,999)</f>
        <v>0</v>
      </c>
    </row>
    <row r="65" customFormat="false" ht="15" hidden="false" customHeight="false" outlineLevel="0" collapsed="false">
      <c r="A65" s="5" t="n">
        <f aca="false">ITEM_MASTER_CLEAN!A65</f>
        <v>64</v>
      </c>
      <c r="B65" s="5" t="n">
        <f aca="false">ITEM_MASTER_CLEAN!B65</f>
        <v>31231</v>
      </c>
      <c r="C65" s="5" t="str">
        <f aca="false">ITEM_MASTER_CLEAN!C65</f>
        <v>LC ICE CRM MIX CHOCOLATE 2X10L</v>
      </c>
      <c r="D65" s="12" t="n">
        <f aca="false">ITEM_MASTER_CLEAN!F65</f>
        <v>60.66</v>
      </c>
      <c r="E65" s="5" t="n">
        <f aca="false">ITEM_MASTER_CLEAN!H65</f>
        <v>13</v>
      </c>
      <c r="F65" s="5" t="n">
        <f aca="false">ITEM_MASTER_CLEAN!I65</f>
        <v>5</v>
      </c>
      <c r="G65" s="5" t="n">
        <f aca="false">PAR_LEVELS!J65</f>
        <v>14.8571428571429</v>
      </c>
      <c r="H65" s="5" t="n">
        <f aca="false">PAR_LEVELS!K65</f>
        <v>7.42857142857143</v>
      </c>
      <c r="I65" s="12" t="n">
        <f aca="false">E65*D65</f>
        <v>788.58</v>
      </c>
      <c r="J65" s="12" t="n">
        <f aca="false">F65*D65</f>
        <v>303.3</v>
      </c>
      <c r="K65" s="12" t="n">
        <f aca="false">MAX(E65-G65,0)*D65</f>
        <v>0</v>
      </c>
      <c r="L65" s="12" t="n">
        <f aca="false">MAX(F65-H65,0)*D65</f>
        <v>0</v>
      </c>
      <c r="M65" s="12" t="n">
        <f aca="false">MAX(G65-E65,0)*D65</f>
        <v>112.654285714286</v>
      </c>
      <c r="N65" s="12" t="n">
        <f aca="false">MAX(H65-F65,0)*D65</f>
        <v>147.317142857143</v>
      </c>
      <c r="O65" s="26" t="n">
        <f aca="false">IFERROR(E65/DEMAND_MODEL!K65,999)</f>
        <v>11.375</v>
      </c>
      <c r="P65" s="26" t="n">
        <f aca="false">IFERROR(F65/DEMAND_MODEL!L65,999)</f>
        <v>8.75</v>
      </c>
    </row>
    <row r="66" customFormat="false" ht="15" hidden="false" customHeight="false" outlineLevel="0" collapsed="false">
      <c r="A66" s="5" t="n">
        <f aca="false">ITEM_MASTER_CLEAN!A66</f>
        <v>65</v>
      </c>
      <c r="B66" s="5" t="n">
        <f aca="false">ITEM_MASTER_CLEAN!B66</f>
        <v>30283</v>
      </c>
      <c r="C66" s="5" t="str">
        <f aca="false">ITEM_MASTER_CLEAN!C66</f>
        <v>BEV MILKSHAKE CARAMILK 12X310ML</v>
      </c>
      <c r="D66" s="12" t="n">
        <f aca="false">ITEM_MASTER_CLEAN!F66</f>
        <v>17.81</v>
      </c>
      <c r="E66" s="5" t="n">
        <f aca="false">ITEM_MASTER_CLEAN!H66</f>
        <v>2</v>
      </c>
      <c r="F66" s="5" t="n">
        <f aca="false">ITEM_MASTER_CLEAN!I66</f>
        <v>9</v>
      </c>
      <c r="G66" s="5" t="n">
        <f aca="false">PAR_LEVELS!J66</f>
        <v>14.8571428571429</v>
      </c>
      <c r="H66" s="5" t="n">
        <f aca="false">PAR_LEVELS!K66</f>
        <v>5.57142857142857</v>
      </c>
      <c r="I66" s="12" t="n">
        <f aca="false">E66*D66</f>
        <v>35.62</v>
      </c>
      <c r="J66" s="12" t="n">
        <f aca="false">F66*D66</f>
        <v>160.29</v>
      </c>
      <c r="K66" s="12" t="n">
        <f aca="false">MAX(E66-G66,0)*D66</f>
        <v>0</v>
      </c>
      <c r="L66" s="12" t="n">
        <f aca="false">MAX(F66-H66,0)*D66</f>
        <v>61.0628571428571</v>
      </c>
      <c r="M66" s="12" t="n">
        <f aca="false">MAX(G66-E66,0)*D66</f>
        <v>228.985714285714</v>
      </c>
      <c r="N66" s="12" t="n">
        <f aca="false">MAX(H66-F66,0)*D66</f>
        <v>0</v>
      </c>
      <c r="O66" s="26" t="n">
        <f aca="false">IFERROR(E66/DEMAND_MODEL!K66,999)</f>
        <v>1.75</v>
      </c>
      <c r="P66" s="26" t="n">
        <f aca="false">IFERROR(F66/DEMAND_MODEL!L66,999)</f>
        <v>21</v>
      </c>
    </row>
    <row r="67" customFormat="false" ht="15" hidden="false" customHeight="false" outlineLevel="0" collapsed="false">
      <c r="A67" s="5" t="n">
        <f aca="false">ITEM_MASTER_CLEAN!A67</f>
        <v>66</v>
      </c>
      <c r="B67" s="5" t="n">
        <f aca="false">ITEM_MASTER_CLEAN!B67</f>
        <v>30282</v>
      </c>
      <c r="C67" s="5" t="str">
        <f aca="false">ITEM_MASTER_CLEAN!C67</f>
        <v>BEV MILKSHAKE COFFE CRISP 12X473ML</v>
      </c>
      <c r="D67" s="12" t="n">
        <f aca="false">ITEM_MASTER_CLEAN!F67</f>
        <v>5.23</v>
      </c>
      <c r="E67" s="5" t="n">
        <f aca="false">ITEM_MASTER_CLEAN!H67</f>
        <v>10</v>
      </c>
      <c r="F67" s="5" t="n">
        <f aca="false">ITEM_MASTER_CLEAN!I67</f>
        <v>6</v>
      </c>
      <c r="G67" s="5" t="n">
        <f aca="false">PAR_LEVELS!J67</f>
        <v>16.7142857142857</v>
      </c>
      <c r="H67" s="5" t="n">
        <f aca="false">PAR_LEVELS!K67</f>
        <v>9.28571428571429</v>
      </c>
      <c r="I67" s="12" t="n">
        <f aca="false">E67*D67</f>
        <v>52.3</v>
      </c>
      <c r="J67" s="12" t="n">
        <f aca="false">F67*D67</f>
        <v>31.38</v>
      </c>
      <c r="K67" s="12" t="n">
        <f aca="false">MAX(E67-G67,0)*D67</f>
        <v>0</v>
      </c>
      <c r="L67" s="12" t="n">
        <f aca="false">MAX(F67-H67,0)*D67</f>
        <v>0</v>
      </c>
      <c r="M67" s="12" t="n">
        <f aca="false">MAX(G67-E67,0)*D67</f>
        <v>35.1157142857143</v>
      </c>
      <c r="N67" s="12" t="n">
        <f aca="false">MAX(H67-F67,0)*D67</f>
        <v>17.1842857142857</v>
      </c>
      <c r="O67" s="26" t="n">
        <f aca="false">IFERROR(E67/DEMAND_MODEL!K67,999)</f>
        <v>7.77777777777778</v>
      </c>
      <c r="P67" s="26" t="n">
        <f aca="false">IFERROR(F67/DEMAND_MODEL!L67,999)</f>
        <v>8.4</v>
      </c>
    </row>
    <row r="68" customFormat="false" ht="15" hidden="false" customHeight="false" outlineLevel="0" collapsed="false">
      <c r="A68" s="5" t="n">
        <f aca="false">ITEM_MASTER_CLEAN!A68</f>
        <v>67</v>
      </c>
      <c r="B68" s="5" t="n">
        <f aca="false">ITEM_MASTER_CLEAN!B68</f>
        <v>31225</v>
      </c>
      <c r="C68" s="5" t="str">
        <f aca="false">ITEM_MASTER_CLEAN!C68</f>
        <v>PRVT MILK HOMO 2L</v>
      </c>
      <c r="D68" s="12" t="n">
        <f aca="false">ITEM_MASTER_CLEAN!F68</f>
        <v>4.4</v>
      </c>
      <c r="E68" s="5" t="n">
        <f aca="false">ITEM_MASTER_CLEAN!H68</f>
        <v>0</v>
      </c>
      <c r="F68" s="5" t="n">
        <f aca="false">ITEM_MASTER_CLEAN!I68</f>
        <v>21</v>
      </c>
      <c r="G68" s="5" t="n">
        <f aca="false">PAR_LEVELS!J68</f>
        <v>7.42857142857143</v>
      </c>
      <c r="H68" s="5" t="n">
        <f aca="false">PAR_LEVELS!K68</f>
        <v>11.1428571428571</v>
      </c>
      <c r="I68" s="12" t="n">
        <f aca="false">E68*D68</f>
        <v>0</v>
      </c>
      <c r="J68" s="12" t="n">
        <f aca="false">F68*D68</f>
        <v>92.4</v>
      </c>
      <c r="K68" s="12" t="n">
        <f aca="false">MAX(E68-G68,0)*D68</f>
        <v>0</v>
      </c>
      <c r="L68" s="12" t="n">
        <f aca="false">MAX(F68-H68,0)*D68</f>
        <v>43.3714285714286</v>
      </c>
      <c r="M68" s="12" t="n">
        <f aca="false">MAX(G68-E68,0)*D68</f>
        <v>32.6857142857143</v>
      </c>
      <c r="N68" s="12" t="n">
        <f aca="false">MAX(H68-F68,0)*D68</f>
        <v>0</v>
      </c>
      <c r="O68" s="26" t="n">
        <f aca="false">IFERROR(E68/DEMAND_MODEL!K68,999)</f>
        <v>0</v>
      </c>
      <c r="P68" s="26" t="n">
        <f aca="false">IFERROR(F68/DEMAND_MODEL!L68,999)</f>
        <v>24.5</v>
      </c>
    </row>
    <row r="69" customFormat="false" ht="15" hidden="false" customHeight="false" outlineLevel="0" collapsed="false">
      <c r="A69" s="5" t="n">
        <f aca="false">ITEM_MASTER_CLEAN!A69</f>
        <v>68</v>
      </c>
      <c r="B69" s="5" t="n">
        <f aca="false">ITEM_MASTER_CLEAN!B69</f>
        <v>31227</v>
      </c>
      <c r="C69" s="5" t="str">
        <f aca="false">ITEM_MASTER_CLEAN!C69</f>
        <v>PRVT MILK CHOCOLATE 2L</v>
      </c>
      <c r="D69" s="12" t="n">
        <f aca="false">ITEM_MASTER_CLEAN!F69</f>
        <v>4.97</v>
      </c>
      <c r="E69" s="5" t="n">
        <f aca="false">ITEM_MASTER_CLEAN!H69</f>
        <v>41</v>
      </c>
      <c r="F69" s="5" t="n">
        <f aca="false">ITEM_MASTER_CLEAN!I69</f>
        <v>17</v>
      </c>
      <c r="G69" s="5" t="n">
        <f aca="false">PAR_LEVELS!J69</f>
        <v>16.7142857142857</v>
      </c>
      <c r="H69" s="5" t="n">
        <f aca="false">PAR_LEVELS!K69</f>
        <v>7.42857142857143</v>
      </c>
      <c r="I69" s="12" t="n">
        <f aca="false">E69*D69</f>
        <v>203.77</v>
      </c>
      <c r="J69" s="12" t="n">
        <f aca="false">F69*D69</f>
        <v>84.49</v>
      </c>
      <c r="K69" s="12" t="n">
        <f aca="false">MAX(E69-G69,0)*D69</f>
        <v>120.7</v>
      </c>
      <c r="L69" s="12" t="n">
        <f aca="false">MAX(F69-H69,0)*D69</f>
        <v>47.57</v>
      </c>
      <c r="M69" s="12" t="n">
        <f aca="false">MAX(G69-E69,0)*D69</f>
        <v>0</v>
      </c>
      <c r="N69" s="12" t="n">
        <f aca="false">MAX(H69-F69,0)*D69</f>
        <v>0</v>
      </c>
      <c r="O69" s="26" t="n">
        <f aca="false">IFERROR(E69/DEMAND_MODEL!K69,999)</f>
        <v>31.8888888888889</v>
      </c>
      <c r="P69" s="26" t="n">
        <f aca="false">IFERROR(F69/DEMAND_MODEL!L69,999)</f>
        <v>29.75</v>
      </c>
    </row>
    <row r="70" customFormat="false" ht="15" hidden="false" customHeight="false" outlineLevel="0" collapsed="false">
      <c r="A70" s="5" t="n">
        <f aca="false">ITEM_MASTER_CLEAN!A70</f>
        <v>69</v>
      </c>
      <c r="B70" s="5" t="n">
        <f aca="false">ITEM_MASTER_CLEAN!B70</f>
        <v>31226</v>
      </c>
      <c r="C70" s="5" t="str">
        <f aca="false">ITEM_MASTER_CLEAN!C70</f>
        <v>PRVT MILK STRAWBERRY 473ML</v>
      </c>
      <c r="D70" s="12" t="n">
        <f aca="false">ITEM_MASTER_CLEAN!F70</f>
        <v>4.31</v>
      </c>
      <c r="E70" s="5" t="n">
        <f aca="false">ITEM_MASTER_CLEAN!H70</f>
        <v>6</v>
      </c>
      <c r="F70" s="5" t="n">
        <f aca="false">ITEM_MASTER_CLEAN!I70</f>
        <v>1</v>
      </c>
      <c r="G70" s="5" t="n">
        <f aca="false">PAR_LEVELS!J70</f>
        <v>18.5714285714286</v>
      </c>
      <c r="H70" s="5" t="n">
        <f aca="false">PAR_LEVELS!K70</f>
        <v>9.28571428571429</v>
      </c>
      <c r="I70" s="12" t="n">
        <f aca="false">E70*D70</f>
        <v>25.86</v>
      </c>
      <c r="J70" s="12" t="n">
        <f aca="false">F70*D70</f>
        <v>4.31</v>
      </c>
      <c r="K70" s="12" t="n">
        <f aca="false">MAX(E70-G70,0)*D70</f>
        <v>0</v>
      </c>
      <c r="L70" s="12" t="n">
        <f aca="false">MAX(F70-H70,0)*D70</f>
        <v>0</v>
      </c>
      <c r="M70" s="12" t="n">
        <f aca="false">MAX(G70-E70,0)*D70</f>
        <v>54.1828571428571</v>
      </c>
      <c r="N70" s="12" t="n">
        <f aca="false">MAX(H70-F70,0)*D70</f>
        <v>35.7114285714286</v>
      </c>
      <c r="O70" s="26" t="n">
        <f aca="false">IFERROR(E70/DEMAND_MODEL!K70,999)</f>
        <v>4.2</v>
      </c>
      <c r="P70" s="26" t="n">
        <f aca="false">IFERROR(F70/DEMAND_MODEL!L70,999)</f>
        <v>1.4</v>
      </c>
    </row>
    <row r="71" customFormat="false" ht="15" hidden="false" customHeight="false" outlineLevel="0" collapsed="false">
      <c r="A71" s="5" t="n">
        <f aca="false">ITEM_MASTER_CLEAN!A71</f>
        <v>70</v>
      </c>
      <c r="B71" s="5" t="n">
        <f aca="false">ITEM_MASTER_CLEAN!B71</f>
        <v>31221</v>
      </c>
      <c r="C71" s="5" t="str">
        <f aca="false">ITEM_MASTER_CLEAN!C71</f>
        <v>WHIP CREAM AEROSOL 19% 12X225G</v>
      </c>
      <c r="D71" s="12" t="n">
        <f aca="false">ITEM_MASTER_CLEAN!F71</f>
        <v>48.22</v>
      </c>
      <c r="E71" s="5" t="n">
        <f aca="false">ITEM_MASTER_CLEAN!H71</f>
        <v>26</v>
      </c>
      <c r="F71" s="5" t="n">
        <f aca="false">ITEM_MASTER_CLEAN!I71</f>
        <v>18</v>
      </c>
      <c r="G71" s="5" t="n">
        <f aca="false">PAR_LEVELS!J71</f>
        <v>11.1428571428571</v>
      </c>
      <c r="H71" s="5" t="n">
        <f aca="false">PAR_LEVELS!K71</f>
        <v>9.28571428571429</v>
      </c>
      <c r="I71" s="12" t="n">
        <f aca="false">E71*D71</f>
        <v>1253.72</v>
      </c>
      <c r="J71" s="12" t="n">
        <f aca="false">F71*D71</f>
        <v>867.96</v>
      </c>
      <c r="K71" s="12" t="n">
        <f aca="false">MAX(E71-G71,0)*D71</f>
        <v>716.411428571429</v>
      </c>
      <c r="L71" s="12" t="n">
        <f aca="false">MAX(F71-H71,0)*D71</f>
        <v>420.202857142857</v>
      </c>
      <c r="M71" s="12" t="n">
        <f aca="false">MAX(G71-E71,0)*D71</f>
        <v>0</v>
      </c>
      <c r="N71" s="12" t="n">
        <f aca="false">MAX(H71-F71,0)*D71</f>
        <v>0</v>
      </c>
      <c r="O71" s="26" t="n">
        <f aca="false">IFERROR(E71/DEMAND_MODEL!K71,999)</f>
        <v>30.3333333333333</v>
      </c>
      <c r="P71" s="26" t="n">
        <f aca="false">IFERROR(F71/DEMAND_MODEL!L71,999)</f>
        <v>25.2</v>
      </c>
    </row>
    <row r="72" customFormat="false" ht="15" hidden="false" customHeight="false" outlineLevel="0" collapsed="false">
      <c r="A72" s="5" t="n">
        <f aca="false">ITEM_MASTER_CLEAN!A72</f>
        <v>71</v>
      </c>
      <c r="B72" s="5" t="n">
        <f aca="false">ITEM_MASTER_CLEAN!B72</f>
        <v>64878</v>
      </c>
      <c r="C72" s="5" t="str">
        <f aca="false">ITEM_MASTER_CLEAN!C72</f>
        <v>DIPP CUP 16OZ PL 31016MTYL PP* 1M</v>
      </c>
      <c r="D72" s="12" t="n">
        <f aca="false">ITEM_MASTER_CLEAN!F72</f>
        <v>19.1</v>
      </c>
      <c r="E72" s="5" t="n">
        <f aca="false">ITEM_MASTER_CLEAN!H72</f>
        <v>12</v>
      </c>
      <c r="F72" s="5" t="n">
        <f aca="false">ITEM_MASTER_CLEAN!I72</f>
        <v>7</v>
      </c>
      <c r="G72" s="5" t="n">
        <f aca="false">PAR_LEVELS!J72</f>
        <v>13</v>
      </c>
      <c r="H72" s="5" t="n">
        <f aca="false">PAR_LEVELS!K72</f>
        <v>7.42857142857143</v>
      </c>
      <c r="I72" s="12" t="n">
        <f aca="false">E72*D72</f>
        <v>229.2</v>
      </c>
      <c r="J72" s="12" t="n">
        <f aca="false">F72*D72</f>
        <v>133.7</v>
      </c>
      <c r="K72" s="12" t="n">
        <f aca="false">MAX(E72-G72,0)*D72</f>
        <v>0</v>
      </c>
      <c r="L72" s="12" t="n">
        <f aca="false">MAX(F72-H72,0)*D72</f>
        <v>0</v>
      </c>
      <c r="M72" s="12" t="n">
        <f aca="false">MAX(G72-E72,0)*D72</f>
        <v>19.1</v>
      </c>
      <c r="N72" s="12" t="n">
        <f aca="false">MAX(H72-F72,0)*D72</f>
        <v>8.18571428571427</v>
      </c>
      <c r="O72" s="26" t="n">
        <f aca="false">IFERROR(E72/DEMAND_MODEL!K72,999)</f>
        <v>12</v>
      </c>
      <c r="P72" s="26" t="n">
        <f aca="false">IFERROR(F72/DEMAND_MODEL!L72,999)</f>
        <v>12.25</v>
      </c>
    </row>
    <row r="73" customFormat="false" ht="15" hidden="false" customHeight="false" outlineLevel="0" collapsed="false">
      <c r="A73" s="5" t="n">
        <f aca="false">ITEM_MASTER_CLEAN!A73</f>
        <v>72</v>
      </c>
      <c r="B73" s="5" t="n">
        <f aca="false">ITEM_MASTER_CLEAN!B73</f>
        <v>61594</v>
      </c>
      <c r="C73" s="5" t="str">
        <f aca="false">ITEM_MASTER_CLEAN!C73</f>
        <v>Couv. Plat 16oz 10x100 units</v>
      </c>
      <c r="D73" s="12" t="n">
        <f aca="false">ITEM_MASTER_CLEAN!F73</f>
        <v>16.83</v>
      </c>
      <c r="E73" s="5" t="n">
        <f aca="false">ITEM_MASTER_CLEAN!H73</f>
        <v>31</v>
      </c>
      <c r="F73" s="5" t="n">
        <f aca="false">ITEM_MASTER_CLEAN!I73</f>
        <v>19</v>
      </c>
      <c r="G73" s="5" t="n">
        <f aca="false">PAR_LEVELS!J73</f>
        <v>16.7142857142857</v>
      </c>
      <c r="H73" s="5" t="n">
        <f aca="false">PAR_LEVELS!K73</f>
        <v>9.28571428571429</v>
      </c>
      <c r="I73" s="12" t="n">
        <f aca="false">E73*D73</f>
        <v>521.73</v>
      </c>
      <c r="J73" s="12" t="n">
        <f aca="false">F73*D73</f>
        <v>319.77</v>
      </c>
      <c r="K73" s="12" t="n">
        <f aca="false">MAX(E73-G73,0)*D73</f>
        <v>240.428571428571</v>
      </c>
      <c r="L73" s="12" t="n">
        <f aca="false">MAX(F73-H73,0)*D73</f>
        <v>163.491428571429</v>
      </c>
      <c r="M73" s="12" t="n">
        <f aca="false">MAX(G73-E73,0)*D73</f>
        <v>0</v>
      </c>
      <c r="N73" s="12" t="n">
        <f aca="false">MAX(H73-F73,0)*D73</f>
        <v>0</v>
      </c>
      <c r="O73" s="26" t="n">
        <f aca="false">IFERROR(E73/DEMAND_MODEL!K73,999)</f>
        <v>24.1111111111111</v>
      </c>
      <c r="P73" s="26" t="n">
        <f aca="false">IFERROR(F73/DEMAND_MODEL!L73,999)</f>
        <v>26.6</v>
      </c>
    </row>
    <row r="74" customFormat="false" ht="15" hidden="false" customHeight="false" outlineLevel="0" collapsed="false">
      <c r="A74" s="5" t="n">
        <f aca="false">ITEM_MASTER_CLEAN!A74</f>
        <v>73</v>
      </c>
      <c r="B74" s="5" t="n">
        <f aca="false">ITEM_MASTER_CLEAN!B74</f>
        <v>61593</v>
      </c>
      <c r="C74" s="5" t="str">
        <f aca="false">ITEM_MASTER_CLEAN!C74</f>
        <v>LID 16 OZ DOME W/SPOON HOLE PP X100</v>
      </c>
      <c r="D74" s="12" t="n">
        <f aca="false">ITEM_MASTER_CLEAN!F74</f>
        <v>17.88</v>
      </c>
      <c r="E74" s="5" t="n">
        <f aca="false">ITEM_MASTER_CLEAN!H74</f>
        <v>16</v>
      </c>
      <c r="F74" s="5" t="n">
        <f aca="false">ITEM_MASTER_CLEAN!I74</f>
        <v>11</v>
      </c>
      <c r="G74" s="5" t="n">
        <f aca="false">PAR_LEVELS!J74</f>
        <v>16.7142857142857</v>
      </c>
      <c r="H74" s="5" t="n">
        <f aca="false">PAR_LEVELS!K74</f>
        <v>13</v>
      </c>
      <c r="I74" s="12" t="n">
        <f aca="false">E74*D74</f>
        <v>286.08</v>
      </c>
      <c r="J74" s="12" t="n">
        <f aca="false">F74*D74</f>
        <v>196.68</v>
      </c>
      <c r="K74" s="12" t="n">
        <f aca="false">MAX(E74-G74,0)*D74</f>
        <v>0</v>
      </c>
      <c r="L74" s="12" t="n">
        <f aca="false">MAX(F74-H74,0)*D74</f>
        <v>0</v>
      </c>
      <c r="M74" s="12" t="n">
        <f aca="false">MAX(G74-E74,0)*D74</f>
        <v>12.7714285714286</v>
      </c>
      <c r="N74" s="12" t="n">
        <f aca="false">MAX(H74-F74,0)*D74</f>
        <v>35.76</v>
      </c>
      <c r="O74" s="26" t="n">
        <f aca="false">IFERROR(E74/DEMAND_MODEL!K74,999)</f>
        <v>12.4444444444444</v>
      </c>
      <c r="P74" s="26" t="n">
        <f aca="false">IFERROR(F74/DEMAND_MODEL!L74,999)</f>
        <v>11</v>
      </c>
    </row>
    <row r="75" customFormat="false" ht="15" hidden="false" customHeight="false" outlineLevel="0" collapsed="false">
      <c r="A75" s="5" t="n">
        <f aca="false">ITEM_MASTER_CLEAN!A75</f>
        <v>74</v>
      </c>
      <c r="B75" s="5" t="n">
        <f aca="false">ITEM_MASTER_CLEAN!B75</f>
        <v>32911</v>
      </c>
      <c r="C75" s="5" t="str">
        <f aca="false">ITEM_MASTER_CLEAN!C75</f>
        <v>Montreal paper cup 16oz</v>
      </c>
      <c r="D75" s="12" t="n">
        <f aca="false">ITEM_MASTER_CLEAN!F75</f>
        <v>54.83</v>
      </c>
      <c r="E75" s="5" t="n">
        <f aca="false">ITEM_MASTER_CLEAN!H75</f>
        <v>1</v>
      </c>
      <c r="F75" s="5" t="n">
        <f aca="false">ITEM_MASTER_CLEAN!I75</f>
        <v>11</v>
      </c>
      <c r="G75" s="5" t="n">
        <f aca="false">PAR_LEVELS!J75</f>
        <v>14.8571428571429</v>
      </c>
      <c r="H75" s="5" t="n">
        <f aca="false">PAR_LEVELS!K75</f>
        <v>7.42857142857143</v>
      </c>
      <c r="I75" s="12" t="n">
        <f aca="false">E75*D75</f>
        <v>54.83</v>
      </c>
      <c r="J75" s="12" t="n">
        <f aca="false">F75*D75</f>
        <v>603.13</v>
      </c>
      <c r="K75" s="12" t="n">
        <f aca="false">MAX(E75-G75,0)*D75</f>
        <v>0</v>
      </c>
      <c r="L75" s="12" t="n">
        <f aca="false">MAX(F75-H75,0)*D75</f>
        <v>195.821428571429</v>
      </c>
      <c r="M75" s="12" t="n">
        <f aca="false">MAX(G75-E75,0)*D75</f>
        <v>759.787142857143</v>
      </c>
      <c r="N75" s="12" t="n">
        <f aca="false">MAX(H75-F75,0)*D75</f>
        <v>0</v>
      </c>
      <c r="O75" s="26" t="n">
        <f aca="false">IFERROR(E75/DEMAND_MODEL!K75,999)</f>
        <v>0.875</v>
      </c>
      <c r="P75" s="26" t="n">
        <f aca="false">IFERROR(F75/DEMAND_MODEL!L75,999)</f>
        <v>19.25</v>
      </c>
    </row>
    <row r="76" customFormat="false" ht="15" hidden="false" customHeight="false" outlineLevel="0" collapsed="false">
      <c r="A76" s="5" t="n">
        <f aca="false">ITEM_MASTER_CLEAN!A76</f>
        <v>75</v>
      </c>
      <c r="B76" s="5" t="n">
        <f aca="false">ITEM_MASTER_CLEAN!B76</f>
        <v>32912</v>
      </c>
      <c r="C76" s="5" t="str">
        <f aca="false">ITEM_MASTER_CLEAN!C76</f>
        <v>Montreal 16oz flat lid</v>
      </c>
      <c r="D76" s="12" t="n">
        <f aca="false">ITEM_MASTER_CLEAN!F76</f>
        <v>31.79</v>
      </c>
      <c r="E76" s="5" t="n">
        <f aca="false">ITEM_MASTER_CLEAN!H76</f>
        <v>8</v>
      </c>
      <c r="F76" s="5" t="n">
        <f aca="false">ITEM_MASTER_CLEAN!I76</f>
        <v>5</v>
      </c>
      <c r="G76" s="5" t="n">
        <f aca="false">PAR_LEVELS!J76</f>
        <v>9.28571428571429</v>
      </c>
      <c r="H76" s="5" t="n">
        <f aca="false">PAR_LEVELS!K76</f>
        <v>5.57142857142857</v>
      </c>
      <c r="I76" s="12" t="n">
        <f aca="false">E76*D76</f>
        <v>254.32</v>
      </c>
      <c r="J76" s="12" t="n">
        <f aca="false">F76*D76</f>
        <v>158.95</v>
      </c>
      <c r="K76" s="12" t="n">
        <f aca="false">MAX(E76-G76,0)*D76</f>
        <v>0</v>
      </c>
      <c r="L76" s="12" t="n">
        <f aca="false">MAX(F76-H76,0)*D76</f>
        <v>0</v>
      </c>
      <c r="M76" s="12" t="n">
        <f aca="false">MAX(G76-E76,0)*D76</f>
        <v>40.8728571428572</v>
      </c>
      <c r="N76" s="12" t="n">
        <f aca="false">MAX(H76-F76,0)*D76</f>
        <v>18.1657142857143</v>
      </c>
      <c r="O76" s="26" t="n">
        <f aca="false">IFERROR(E76/DEMAND_MODEL!K76,999)</f>
        <v>11.2</v>
      </c>
      <c r="P76" s="26" t="n">
        <f aca="false">IFERROR(F76/DEMAND_MODEL!L76,999)</f>
        <v>11.6666666666667</v>
      </c>
    </row>
    <row r="77" customFormat="false" ht="15" hidden="false" customHeight="false" outlineLevel="0" collapsed="false">
      <c r="A77" s="5" t="n">
        <f aca="false">ITEM_MASTER_CLEAN!A77</f>
        <v>76</v>
      </c>
      <c r="B77" s="5" t="n">
        <f aca="false">ITEM_MASTER_CLEAN!B77</f>
        <v>34434</v>
      </c>
      <c r="C77" s="5" t="str">
        <f aca="false">ITEM_MASTER_CLEAN!C77</f>
        <v>Montreal 16oz dome lids</v>
      </c>
      <c r="D77" s="12" t="n">
        <f aca="false">ITEM_MASTER_CLEAN!F77</f>
        <v>19.15</v>
      </c>
      <c r="E77" s="5" t="n">
        <f aca="false">ITEM_MASTER_CLEAN!H77</f>
        <v>0</v>
      </c>
      <c r="F77" s="5" t="n">
        <f aca="false">ITEM_MASTER_CLEAN!I77</f>
        <v>7</v>
      </c>
      <c r="G77" s="5" t="n">
        <f aca="false">PAR_LEVELS!J77</f>
        <v>7.42857142857143</v>
      </c>
      <c r="H77" s="5" t="n">
        <f aca="false">PAR_LEVELS!K77</f>
        <v>5.57142857142857</v>
      </c>
      <c r="I77" s="12" t="n">
        <f aca="false">E77*D77</f>
        <v>0</v>
      </c>
      <c r="J77" s="12" t="n">
        <f aca="false">F77*D77</f>
        <v>134.05</v>
      </c>
      <c r="K77" s="12" t="n">
        <f aca="false">MAX(E77-G77,0)*D77</f>
        <v>0</v>
      </c>
      <c r="L77" s="12" t="n">
        <f aca="false">MAX(F77-H77,0)*D77</f>
        <v>27.3571428571429</v>
      </c>
      <c r="M77" s="12" t="n">
        <f aca="false">MAX(G77-E77,0)*D77</f>
        <v>142.257142857143</v>
      </c>
      <c r="N77" s="12" t="n">
        <f aca="false">MAX(H77-F77,0)*D77</f>
        <v>0</v>
      </c>
      <c r="O77" s="26" t="n">
        <f aca="false">IFERROR(E77/DEMAND_MODEL!K77,999)</f>
        <v>0</v>
      </c>
      <c r="P77" s="26" t="n">
        <f aca="false">IFERROR(F77/DEMAND_MODEL!L77,999)</f>
        <v>16.3333333333333</v>
      </c>
    </row>
    <row r="78" customFormat="false" ht="15" hidden="false" customHeight="false" outlineLevel="0" collapsed="false">
      <c r="A78" s="5" t="n">
        <f aca="false">ITEM_MASTER_CLEAN!A78</f>
        <v>77</v>
      </c>
      <c r="B78" s="5" t="n">
        <f aca="false">ITEM_MASTER_CLEAN!B78</f>
        <v>63815</v>
      </c>
      <c r="C78" s="5" t="str">
        <f aca="false">ITEM_MASTER_CLEAN!C78</f>
        <v>STRAW 10" PAP  BLK JUMBO 8MM WRP 2M</v>
      </c>
      <c r="D78" s="12" t="n">
        <f aca="false">ITEM_MASTER_CLEAN!F78</f>
        <v>27.44</v>
      </c>
      <c r="E78" s="5" t="n">
        <f aca="false">ITEM_MASTER_CLEAN!H78</f>
        <v>4</v>
      </c>
      <c r="F78" s="5" t="n">
        <f aca="false">ITEM_MASTER_CLEAN!I78</f>
        <v>5</v>
      </c>
      <c r="G78" s="5" t="n">
        <f aca="false">PAR_LEVELS!J78</f>
        <v>18.5714285714286</v>
      </c>
      <c r="H78" s="5" t="n">
        <f aca="false">PAR_LEVELS!K78</f>
        <v>3.71428571428571</v>
      </c>
      <c r="I78" s="12" t="n">
        <f aca="false">E78*D78</f>
        <v>109.76</v>
      </c>
      <c r="J78" s="12" t="n">
        <f aca="false">F78*D78</f>
        <v>137.2</v>
      </c>
      <c r="K78" s="12" t="n">
        <f aca="false">MAX(E78-G78,0)*D78</f>
        <v>0</v>
      </c>
      <c r="L78" s="12" t="n">
        <f aca="false">MAX(F78-H78,0)*D78</f>
        <v>35.28</v>
      </c>
      <c r="M78" s="12" t="n">
        <f aca="false">MAX(G78-E78,0)*D78</f>
        <v>399.84</v>
      </c>
      <c r="N78" s="12" t="n">
        <f aca="false">MAX(H78-F78,0)*D78</f>
        <v>0</v>
      </c>
      <c r="O78" s="26" t="n">
        <f aca="false">IFERROR(E78/DEMAND_MODEL!K78,999)</f>
        <v>2.8</v>
      </c>
      <c r="P78" s="26" t="n">
        <f aca="false">IFERROR(F78/DEMAND_MODEL!L78,999)</f>
        <v>17.5</v>
      </c>
    </row>
    <row r="79" customFormat="false" ht="15" hidden="false" customHeight="false" outlineLevel="0" collapsed="false">
      <c r="A79" s="5" t="n">
        <f aca="false">ITEM_MASTER_CLEAN!A79</f>
        <v>78</v>
      </c>
      <c r="B79" s="5" t="n">
        <f aca="false">ITEM_MASTER_CLEAN!B79</f>
        <v>63816</v>
      </c>
      <c r="C79" s="5" t="str">
        <f aca="false">ITEM_MASTER_CLEAN!C79</f>
        <v>STRAW 7.75"PAPER S/J 8MM BLK WRP 2M</v>
      </c>
      <c r="D79" s="12" t="n">
        <f aca="false">ITEM_MASTER_CLEAN!F79</f>
        <v>26.22</v>
      </c>
      <c r="E79" s="5" t="n">
        <f aca="false">ITEM_MASTER_CLEAN!H79</f>
        <v>30</v>
      </c>
      <c r="F79" s="5" t="n">
        <f aca="false">ITEM_MASTER_CLEAN!I79</f>
        <v>1</v>
      </c>
      <c r="G79" s="5" t="n">
        <f aca="false">PAR_LEVELS!J79</f>
        <v>16.7142857142857</v>
      </c>
      <c r="H79" s="5" t="n">
        <f aca="false">PAR_LEVELS!K79</f>
        <v>9.28571428571429</v>
      </c>
      <c r="I79" s="12" t="n">
        <f aca="false">E79*D79</f>
        <v>786.6</v>
      </c>
      <c r="J79" s="12" t="n">
        <f aca="false">F79*D79</f>
        <v>26.22</v>
      </c>
      <c r="K79" s="12" t="n">
        <f aca="false">MAX(E79-G79,0)*D79</f>
        <v>348.351428571429</v>
      </c>
      <c r="L79" s="12" t="n">
        <f aca="false">MAX(F79-H79,0)*D79</f>
        <v>0</v>
      </c>
      <c r="M79" s="12" t="n">
        <f aca="false">MAX(G79-E79,0)*D79</f>
        <v>0</v>
      </c>
      <c r="N79" s="12" t="n">
        <f aca="false">MAX(H79-F79,0)*D79</f>
        <v>217.251428571429</v>
      </c>
      <c r="O79" s="26" t="n">
        <f aca="false">IFERROR(E79/DEMAND_MODEL!K79,999)</f>
        <v>23.3333333333333</v>
      </c>
      <c r="P79" s="26" t="n">
        <f aca="false">IFERROR(F79/DEMAND_MODEL!L79,999)</f>
        <v>1.4</v>
      </c>
    </row>
    <row r="80" customFormat="false" ht="15" hidden="false" customHeight="false" outlineLevel="0" collapsed="false">
      <c r="A80" s="5" t="n">
        <f aca="false">ITEM_MASTER_CLEAN!A80</f>
        <v>79</v>
      </c>
      <c r="B80" s="5" t="n">
        <f aca="false">ITEM_MASTER_CLEAN!B80</f>
        <v>61558</v>
      </c>
      <c r="C80" s="5" t="str">
        <f aca="false">ITEM_MASTER_CLEAN!C80</f>
        <v>STRAW 8.5" BBL/TEA 12MM WH/PAP 2M</v>
      </c>
      <c r="D80" s="12" t="n">
        <f aca="false">ITEM_MASTER_CLEAN!F80</f>
        <v>19.18</v>
      </c>
      <c r="E80" s="5" t="n">
        <f aca="false">ITEM_MASTER_CLEAN!H80</f>
        <v>38</v>
      </c>
      <c r="F80" s="5" t="n">
        <f aca="false">ITEM_MASTER_CLEAN!I80</f>
        <v>27</v>
      </c>
      <c r="G80" s="5" t="n">
        <f aca="false">PAR_LEVELS!J80</f>
        <v>16.7142857142857</v>
      </c>
      <c r="H80" s="5" t="n">
        <f aca="false">PAR_LEVELS!K80</f>
        <v>11.1428571428571</v>
      </c>
      <c r="I80" s="12" t="n">
        <f aca="false">E80*D80</f>
        <v>728.84</v>
      </c>
      <c r="J80" s="12" t="n">
        <f aca="false">F80*D80</f>
        <v>517.86</v>
      </c>
      <c r="K80" s="12" t="n">
        <f aca="false">MAX(E80-G80,0)*D80</f>
        <v>408.26</v>
      </c>
      <c r="L80" s="12" t="n">
        <f aca="false">MAX(F80-H80,0)*D80</f>
        <v>304.14</v>
      </c>
      <c r="M80" s="12" t="n">
        <f aca="false">MAX(G80-E80,0)*D80</f>
        <v>0</v>
      </c>
      <c r="N80" s="12" t="n">
        <f aca="false">MAX(H80-F80,0)*D80</f>
        <v>0</v>
      </c>
      <c r="O80" s="26" t="n">
        <f aca="false">IFERROR(E80/DEMAND_MODEL!K80,999)</f>
        <v>29.5555555555556</v>
      </c>
      <c r="P80" s="26" t="n">
        <f aca="false">IFERROR(F80/DEMAND_MODEL!L80,999)</f>
        <v>31.5</v>
      </c>
    </row>
    <row r="81" customFormat="false" ht="15" hidden="false" customHeight="false" outlineLevel="0" collapsed="false">
      <c r="A81" s="5" t="n">
        <f aca="false">ITEM_MASTER_CLEAN!A81</f>
        <v>80</v>
      </c>
      <c r="B81" s="5" t="n">
        <f aca="false">ITEM_MASTER_CLEAN!B81</f>
        <v>23511</v>
      </c>
      <c r="C81" s="5" t="str">
        <f aca="false">ITEM_MASTER_CLEAN!C81</f>
        <v>Nouv CRM GLC BISC MONSTRE 11.4L</v>
      </c>
      <c r="D81" s="12" t="n">
        <f aca="false">ITEM_MASTER_CLEAN!F81</f>
        <v>36.97</v>
      </c>
      <c r="E81" s="5" t="n">
        <f aca="false">ITEM_MASTER_CLEAN!H81</f>
        <v>3</v>
      </c>
      <c r="F81" s="5" t="n">
        <f aca="false">ITEM_MASTER_CLEAN!I81</f>
        <v>2</v>
      </c>
      <c r="G81" s="5" t="n">
        <f aca="false">PAR_LEVELS!J81</f>
        <v>11.1428571428571</v>
      </c>
      <c r="H81" s="5" t="n">
        <f aca="false">PAR_LEVELS!K81</f>
        <v>7.42857142857143</v>
      </c>
      <c r="I81" s="12" t="n">
        <f aca="false">E81*D81</f>
        <v>110.91</v>
      </c>
      <c r="J81" s="12" t="n">
        <f aca="false">F81*D81</f>
        <v>73.94</v>
      </c>
      <c r="K81" s="12" t="n">
        <f aca="false">MAX(E81-G81,0)*D81</f>
        <v>0</v>
      </c>
      <c r="L81" s="12" t="n">
        <f aca="false">MAX(F81-H81,0)*D81</f>
        <v>0</v>
      </c>
      <c r="M81" s="12" t="n">
        <f aca="false">MAX(G81-E81,0)*D81</f>
        <v>301.041428571429</v>
      </c>
      <c r="N81" s="12" t="n">
        <f aca="false">MAX(H81-F81,0)*D81</f>
        <v>200.694285714286</v>
      </c>
      <c r="O81" s="26" t="n">
        <f aca="false">IFERROR(E81/DEMAND_MODEL!K81,999)</f>
        <v>3.5</v>
      </c>
      <c r="P81" s="26" t="n">
        <f aca="false">IFERROR(F81/DEMAND_MODEL!L81,999)</f>
        <v>3.5</v>
      </c>
    </row>
    <row r="82" customFormat="false" ht="15" hidden="false" customHeight="false" outlineLevel="0" collapsed="false">
      <c r="A82" s="5" t="n">
        <f aca="false">ITEM_MASTER_CLEAN!A82</f>
        <v>81</v>
      </c>
      <c r="B82" s="5" t="n">
        <f aca="false">ITEM_MASTER_CLEAN!B82</f>
        <v>15422</v>
      </c>
      <c r="C82" s="5" t="str">
        <f aca="false">ITEM_MASTER_CLEAN!C82</f>
        <v>ICE CREAM CHOCOLATE 11.4L</v>
      </c>
      <c r="D82" s="12" t="n">
        <f aca="false">ITEM_MASTER_CLEAN!F82</f>
        <v>34.08</v>
      </c>
      <c r="E82" s="5" t="n">
        <f aca="false">ITEM_MASTER_CLEAN!H82</f>
        <v>6</v>
      </c>
      <c r="F82" s="5" t="n">
        <f aca="false">ITEM_MASTER_CLEAN!I82</f>
        <v>4</v>
      </c>
      <c r="G82" s="5" t="n">
        <f aca="false">PAR_LEVELS!J82</f>
        <v>7.42857142857143</v>
      </c>
      <c r="H82" s="5" t="n">
        <f aca="false">PAR_LEVELS!K82</f>
        <v>5.57142857142857</v>
      </c>
      <c r="I82" s="12" t="n">
        <f aca="false">E82*D82</f>
        <v>204.48</v>
      </c>
      <c r="J82" s="12" t="n">
        <f aca="false">F82*D82</f>
        <v>136.32</v>
      </c>
      <c r="K82" s="12" t="n">
        <f aca="false">MAX(E82-G82,0)*D82</f>
        <v>0</v>
      </c>
      <c r="L82" s="12" t="n">
        <f aca="false">MAX(F82-H82,0)*D82</f>
        <v>0</v>
      </c>
      <c r="M82" s="12" t="n">
        <f aca="false">MAX(G82-E82,0)*D82</f>
        <v>48.6857142857143</v>
      </c>
      <c r="N82" s="12" t="n">
        <f aca="false">MAX(H82-F82,0)*D82</f>
        <v>53.5542857142857</v>
      </c>
      <c r="O82" s="26" t="n">
        <f aca="false">IFERROR(E82/DEMAND_MODEL!K82,999)</f>
        <v>10.5</v>
      </c>
      <c r="P82" s="26" t="n">
        <f aca="false">IFERROR(F82/DEMAND_MODEL!L82,999)</f>
        <v>9.33333333333333</v>
      </c>
    </row>
    <row r="83" customFormat="false" ht="15" hidden="false" customHeight="false" outlineLevel="0" collapsed="false">
      <c r="A83" s="5" t="n">
        <f aca="false">ITEM_MASTER_CLEAN!A83</f>
        <v>82</v>
      </c>
      <c r="B83" s="5" t="n">
        <f aca="false">ITEM_MASTER_CLEAN!B83</f>
        <v>36840</v>
      </c>
      <c r="C83" s="5" t="str">
        <f aca="false">ITEM_MASTER_CLEAN!C83</f>
        <v>ICE CREAM COTTON CANDY 11449 11.4L</v>
      </c>
      <c r="D83" s="12" t="n">
        <f aca="false">ITEM_MASTER_CLEAN!F83</f>
        <v>36.7</v>
      </c>
      <c r="E83" s="5" t="n">
        <f aca="false">ITEM_MASTER_CLEAN!H83</f>
        <v>5</v>
      </c>
      <c r="F83" s="5" t="n">
        <f aca="false">ITEM_MASTER_CLEAN!I83</f>
        <v>0</v>
      </c>
      <c r="G83" s="5" t="n">
        <f aca="false">PAR_LEVELS!J83</f>
        <v>3.71428571428571</v>
      </c>
      <c r="H83" s="5" t="n">
        <f aca="false">PAR_LEVELS!K83</f>
        <v>3.71428571428571</v>
      </c>
      <c r="I83" s="12" t="n">
        <f aca="false">E83*D83</f>
        <v>183.5</v>
      </c>
      <c r="J83" s="12" t="n">
        <f aca="false">F83*D83</f>
        <v>0</v>
      </c>
      <c r="K83" s="12" t="n">
        <f aca="false">MAX(E83-G83,0)*D83</f>
        <v>47.1857142857143</v>
      </c>
      <c r="L83" s="12" t="n">
        <f aca="false">MAX(F83-H83,0)*D83</f>
        <v>0</v>
      </c>
      <c r="M83" s="12" t="n">
        <f aca="false">MAX(G83-E83,0)*D83</f>
        <v>0</v>
      </c>
      <c r="N83" s="12" t="n">
        <f aca="false">MAX(H83-F83,0)*D83</f>
        <v>136.314285714286</v>
      </c>
      <c r="O83" s="26" t="n">
        <f aca="false">IFERROR(E83/DEMAND_MODEL!K83,999)</f>
        <v>17.5</v>
      </c>
      <c r="P83" s="26" t="n">
        <f aca="false">IFERROR(F83/DEMAND_MODEL!L83,999)</f>
        <v>0</v>
      </c>
    </row>
    <row r="84" customFormat="false" ht="15" hidden="false" customHeight="false" outlineLevel="0" collapsed="false">
      <c r="A84" s="5" t="n">
        <f aca="false">ITEM_MASTER_CLEAN!A84</f>
        <v>83</v>
      </c>
      <c r="B84" s="5" t="n">
        <f aca="false">ITEM_MASTER_CLEAN!B84</f>
        <v>36827</v>
      </c>
      <c r="C84" s="5" t="str">
        <f aca="false">ITEM_MASTER_CLEAN!C84</f>
        <v>ICE CREAM COOKIE/CRM 11438 11.4L</v>
      </c>
      <c r="D84" s="12" t="n">
        <f aca="false">ITEM_MASTER_CLEAN!F84</f>
        <v>39.91</v>
      </c>
      <c r="E84" s="5" t="n">
        <f aca="false">ITEM_MASTER_CLEAN!H84</f>
        <v>3</v>
      </c>
      <c r="F84" s="5" t="n">
        <f aca="false">ITEM_MASTER_CLEAN!I84</f>
        <v>1</v>
      </c>
      <c r="G84" s="5" t="n">
        <f aca="false">PAR_LEVELS!J84</f>
        <v>11.1428571428571</v>
      </c>
      <c r="H84" s="5" t="n">
        <f aca="false">PAR_LEVELS!K84</f>
        <v>3.71428571428571</v>
      </c>
      <c r="I84" s="12" t="n">
        <f aca="false">E84*D84</f>
        <v>119.73</v>
      </c>
      <c r="J84" s="12" t="n">
        <f aca="false">F84*D84</f>
        <v>39.91</v>
      </c>
      <c r="K84" s="12" t="n">
        <f aca="false">MAX(E84-G84,0)*D84</f>
        <v>0</v>
      </c>
      <c r="L84" s="12" t="n">
        <f aca="false">MAX(F84-H84,0)*D84</f>
        <v>0</v>
      </c>
      <c r="M84" s="12" t="n">
        <f aca="false">MAX(G84-E84,0)*D84</f>
        <v>324.981428571429</v>
      </c>
      <c r="N84" s="12" t="n">
        <f aca="false">MAX(H84-F84,0)*D84</f>
        <v>108.327142857143</v>
      </c>
      <c r="O84" s="26" t="n">
        <f aca="false">IFERROR(E84/DEMAND_MODEL!K84,999)</f>
        <v>3.5</v>
      </c>
      <c r="P84" s="26" t="n">
        <f aca="false">IFERROR(F84/DEMAND_MODEL!L84,999)</f>
        <v>3.5</v>
      </c>
    </row>
    <row r="85" customFormat="false" ht="15" hidden="false" customHeight="false" outlineLevel="0" collapsed="false">
      <c r="A85" s="5" t="n">
        <f aca="false">ITEM_MASTER_CLEAN!A85</f>
        <v>84</v>
      </c>
      <c r="B85" s="5" t="n">
        <f aca="false">ITEM_MASTER_CLEAN!B85</f>
        <v>36830</v>
      </c>
      <c r="C85" s="5" t="str">
        <f aca="false">ITEM_MASTER_CLEAN!C85</f>
        <v>ICE CREAM CHOC BROWNIE 11446 11.4L</v>
      </c>
      <c r="D85" s="12" t="n">
        <f aca="false">ITEM_MASTER_CLEAN!F85</f>
        <v>32.71</v>
      </c>
      <c r="E85" s="5" t="n">
        <f aca="false">ITEM_MASTER_CLEAN!H85</f>
        <v>13</v>
      </c>
      <c r="F85" s="5" t="n">
        <f aca="false">ITEM_MASTER_CLEAN!I85</f>
        <v>14</v>
      </c>
      <c r="G85" s="5" t="n">
        <f aca="false">PAR_LEVELS!J85</f>
        <v>5.57142857142857</v>
      </c>
      <c r="H85" s="5" t="n">
        <f aca="false">PAR_LEVELS!K85</f>
        <v>5.57142857142857</v>
      </c>
      <c r="I85" s="12" t="n">
        <f aca="false">E85*D85</f>
        <v>425.23</v>
      </c>
      <c r="J85" s="12" t="n">
        <f aca="false">F85*D85</f>
        <v>457.94</v>
      </c>
      <c r="K85" s="12" t="n">
        <f aca="false">MAX(E85-G85,0)*D85</f>
        <v>242.988571428571</v>
      </c>
      <c r="L85" s="12" t="n">
        <f aca="false">MAX(F85-H85,0)*D85</f>
        <v>275.698571428571</v>
      </c>
      <c r="M85" s="12" t="n">
        <f aca="false">MAX(G85-E85,0)*D85</f>
        <v>0</v>
      </c>
      <c r="N85" s="12" t="n">
        <f aca="false">MAX(H85-F85,0)*D85</f>
        <v>0</v>
      </c>
      <c r="O85" s="26" t="n">
        <f aca="false">IFERROR(E85/DEMAND_MODEL!K85,999)</f>
        <v>30.3333333333333</v>
      </c>
      <c r="P85" s="26" t="n">
        <f aca="false">IFERROR(F85/DEMAND_MODEL!L85,999)</f>
        <v>32.6666666666667</v>
      </c>
    </row>
    <row r="86" customFormat="false" ht="15" hidden="false" customHeight="false" outlineLevel="0" collapsed="false">
      <c r="A86" s="5" t="n">
        <f aca="false">ITEM_MASTER_CLEAN!A86</f>
        <v>85</v>
      </c>
      <c r="B86" s="5" t="n">
        <f aca="false">ITEM_MASTER_CLEAN!B86</f>
        <v>36828</v>
      </c>
      <c r="C86" s="5" t="str">
        <f aca="false">ITEM_MASTER_CLEAN!C86</f>
        <v>ICE CREAM PRALN/CRM 11440 11.4L</v>
      </c>
      <c r="D86" s="12" t="n">
        <f aca="false">ITEM_MASTER_CLEAN!F86</f>
        <v>35.04</v>
      </c>
      <c r="E86" s="5" t="n">
        <f aca="false">ITEM_MASTER_CLEAN!H86</f>
        <v>16</v>
      </c>
      <c r="F86" s="5" t="n">
        <f aca="false">ITEM_MASTER_CLEAN!I86</f>
        <v>0</v>
      </c>
      <c r="G86" s="5" t="n">
        <f aca="false">PAR_LEVELS!J86</f>
        <v>9.28571428571429</v>
      </c>
      <c r="H86" s="5" t="n">
        <f aca="false">PAR_LEVELS!K86</f>
        <v>5.57142857142857</v>
      </c>
      <c r="I86" s="12" t="n">
        <f aca="false">E86*D86</f>
        <v>560.64</v>
      </c>
      <c r="J86" s="12" t="n">
        <f aca="false">F86*D86</f>
        <v>0</v>
      </c>
      <c r="K86" s="12" t="n">
        <f aca="false">MAX(E86-G86,0)*D86</f>
        <v>235.268571428571</v>
      </c>
      <c r="L86" s="12" t="n">
        <f aca="false">MAX(F86-H86,0)*D86</f>
        <v>0</v>
      </c>
      <c r="M86" s="12" t="n">
        <f aca="false">MAX(G86-E86,0)*D86</f>
        <v>0</v>
      </c>
      <c r="N86" s="12" t="n">
        <f aca="false">MAX(H86-F86,0)*D86</f>
        <v>195.222857142857</v>
      </c>
      <c r="O86" s="26" t="n">
        <f aca="false">IFERROR(E86/DEMAND_MODEL!K86,999)</f>
        <v>22.4</v>
      </c>
      <c r="P86" s="26" t="n">
        <f aca="false">IFERROR(F86/DEMAND_MODEL!L86,999)</f>
        <v>0</v>
      </c>
    </row>
    <row r="87" customFormat="false" ht="15" hidden="false" customHeight="false" outlineLevel="0" collapsed="false">
      <c r="A87" s="5" t="n">
        <f aca="false">ITEM_MASTER_CLEAN!A87</f>
        <v>86</v>
      </c>
      <c r="B87" s="5" t="n">
        <f aca="false">ITEM_MASTER_CLEAN!B87</f>
        <v>36837</v>
      </c>
      <c r="C87" s="5" t="str">
        <f aca="false">ITEM_MASTER_CLEAN!C87</f>
        <v>ICE CREAM RIBAMBL 3-COL 11429 11.4L</v>
      </c>
      <c r="D87" s="12" t="n">
        <f aca="false">ITEM_MASTER_CLEAN!F87</f>
        <v>34.5</v>
      </c>
      <c r="E87" s="5" t="n">
        <f aca="false">ITEM_MASTER_CLEAN!H87</f>
        <v>3</v>
      </c>
      <c r="F87" s="5" t="n">
        <f aca="false">ITEM_MASTER_CLEAN!I87</f>
        <v>2</v>
      </c>
      <c r="G87" s="5" t="n">
        <f aca="false">PAR_LEVELS!J87</f>
        <v>3.71428571428571</v>
      </c>
      <c r="H87" s="5" t="n">
        <f aca="false">PAR_LEVELS!K87</f>
        <v>3.71428571428571</v>
      </c>
      <c r="I87" s="12" t="n">
        <f aca="false">E87*D87</f>
        <v>103.5</v>
      </c>
      <c r="J87" s="12" t="n">
        <f aca="false">F87*D87</f>
        <v>69</v>
      </c>
      <c r="K87" s="12" t="n">
        <f aca="false">MAX(E87-G87,0)*D87</f>
        <v>0</v>
      </c>
      <c r="L87" s="12" t="n">
        <f aca="false">MAX(F87-H87,0)*D87</f>
        <v>0</v>
      </c>
      <c r="M87" s="12" t="n">
        <f aca="false">MAX(G87-E87,0)*D87</f>
        <v>24.6428571428571</v>
      </c>
      <c r="N87" s="12" t="n">
        <f aca="false">MAX(H87-F87,0)*D87</f>
        <v>59.1428571428571</v>
      </c>
      <c r="O87" s="26" t="n">
        <f aca="false">IFERROR(E87/DEMAND_MODEL!K87,999)</f>
        <v>10.5</v>
      </c>
      <c r="P87" s="26" t="n">
        <f aca="false">IFERROR(F87/DEMAND_MODEL!L87,999)</f>
        <v>7</v>
      </c>
    </row>
    <row r="88" customFormat="false" ht="15" hidden="false" customHeight="false" outlineLevel="0" collapsed="false">
      <c r="A88" s="5" t="n">
        <f aca="false">ITEM_MASTER_CLEAN!A88</f>
        <v>87</v>
      </c>
      <c r="B88" s="5" t="n">
        <f aca="false">ITEM_MASTER_CLEAN!B88</f>
        <v>36835</v>
      </c>
      <c r="C88" s="5" t="str">
        <f aca="false">ITEM_MASTER_CLEAN!C88</f>
        <v>ICE CREAM MAPLE TAFFY 11426 11.4L</v>
      </c>
      <c r="D88" s="12" t="n">
        <f aca="false">ITEM_MASTER_CLEAN!F88</f>
        <v>38.72</v>
      </c>
      <c r="E88" s="5" t="n">
        <f aca="false">ITEM_MASTER_CLEAN!H88</f>
        <v>0</v>
      </c>
      <c r="F88" s="5" t="n">
        <f aca="false">ITEM_MASTER_CLEAN!I88</f>
        <v>1</v>
      </c>
      <c r="G88" s="5" t="n">
        <f aca="false">PAR_LEVELS!J88</f>
        <v>7.42857142857143</v>
      </c>
      <c r="H88" s="5" t="n">
        <f aca="false">PAR_LEVELS!K88</f>
        <v>1.85714285714286</v>
      </c>
      <c r="I88" s="12" t="n">
        <f aca="false">E88*D88</f>
        <v>0</v>
      </c>
      <c r="J88" s="12" t="n">
        <f aca="false">F88*D88</f>
        <v>38.72</v>
      </c>
      <c r="K88" s="12" t="n">
        <f aca="false">MAX(E88-G88,0)*D88</f>
        <v>0</v>
      </c>
      <c r="L88" s="12" t="n">
        <f aca="false">MAX(F88-H88,0)*D88</f>
        <v>0</v>
      </c>
      <c r="M88" s="12" t="n">
        <f aca="false">MAX(G88-E88,0)*D88</f>
        <v>287.634285714286</v>
      </c>
      <c r="N88" s="12" t="n">
        <f aca="false">MAX(H88-F88,0)*D88</f>
        <v>33.1885714285714</v>
      </c>
      <c r="O88" s="26" t="n">
        <f aca="false">IFERROR(E88/DEMAND_MODEL!K88,999)</f>
        <v>0</v>
      </c>
      <c r="P88" s="26" t="n">
        <f aca="false">IFERROR(F88/DEMAND_MODEL!L88,999)</f>
        <v>7</v>
      </c>
    </row>
    <row r="89" customFormat="false" ht="15" hidden="false" customHeight="false" outlineLevel="0" collapsed="false">
      <c r="A89" s="5" t="n">
        <f aca="false">ITEM_MASTER_CLEAN!A89</f>
        <v>88</v>
      </c>
      <c r="B89" s="5" t="n">
        <f aca="false">ITEM_MASTER_CLEAN!B89</f>
        <v>36831</v>
      </c>
      <c r="C89" s="5" t="str">
        <f aca="false">ITEM_MASTER_CLEAN!C89</f>
        <v>ICE CREAM VANILLA 11401 11.4L</v>
      </c>
      <c r="D89" s="12" t="n">
        <f aca="false">ITEM_MASTER_CLEAN!F89</f>
        <v>33.56</v>
      </c>
      <c r="E89" s="5" t="n">
        <f aca="false">ITEM_MASTER_CLEAN!H89</f>
        <v>22</v>
      </c>
      <c r="F89" s="5" t="n">
        <f aca="false">ITEM_MASTER_CLEAN!I89</f>
        <v>1</v>
      </c>
      <c r="G89" s="5" t="n">
        <f aca="false">PAR_LEVELS!J89</f>
        <v>14.8571428571429</v>
      </c>
      <c r="H89" s="5" t="n">
        <f aca="false">PAR_LEVELS!K89</f>
        <v>7.42857142857143</v>
      </c>
      <c r="I89" s="12" t="n">
        <f aca="false">E89*D89</f>
        <v>738.32</v>
      </c>
      <c r="J89" s="12" t="n">
        <f aca="false">F89*D89</f>
        <v>33.56</v>
      </c>
      <c r="K89" s="12" t="n">
        <f aca="false">MAX(E89-G89,0)*D89</f>
        <v>239.714285714286</v>
      </c>
      <c r="L89" s="12" t="n">
        <f aca="false">MAX(F89-H89,0)*D89</f>
        <v>0</v>
      </c>
      <c r="M89" s="12" t="n">
        <f aca="false">MAX(G89-E89,0)*D89</f>
        <v>0</v>
      </c>
      <c r="N89" s="12" t="n">
        <f aca="false">MAX(H89-F89,0)*D89</f>
        <v>215.742857142857</v>
      </c>
      <c r="O89" s="26" t="n">
        <f aca="false">IFERROR(E89/DEMAND_MODEL!K89,999)</f>
        <v>19.25</v>
      </c>
      <c r="P89" s="26" t="n">
        <f aca="false">IFERROR(F89/DEMAND_MODEL!L89,999)</f>
        <v>1.75</v>
      </c>
    </row>
    <row r="90" customFormat="false" ht="15" hidden="false" customHeight="false" outlineLevel="0" collapsed="false">
      <c r="A90" s="5" t="n">
        <f aca="false">ITEM_MASTER_CLEAN!A90</f>
        <v>89</v>
      </c>
      <c r="B90" s="5" t="n">
        <f aca="false">ITEM_MASTER_CLEAN!B90</f>
        <v>15425</v>
      </c>
      <c r="C90" s="5" t="str">
        <f aca="false">ITEM_MASTER_CLEAN!C90</f>
        <v>ICE CRM COOKIE DGH/CHOC FUDGE 11.4L</v>
      </c>
      <c r="D90" s="12" t="n">
        <f aca="false">ITEM_MASTER_CLEAN!F90</f>
        <v>36.95</v>
      </c>
      <c r="E90" s="5" t="n">
        <f aca="false">ITEM_MASTER_CLEAN!H90</f>
        <v>1</v>
      </c>
      <c r="F90" s="5" t="n">
        <f aca="false">ITEM_MASTER_CLEAN!I90</f>
        <v>0</v>
      </c>
      <c r="G90" s="5" t="n">
        <f aca="false">PAR_LEVELS!J90</f>
        <v>9.28571428571429</v>
      </c>
      <c r="H90" s="5" t="n">
        <f aca="false">PAR_LEVELS!K90</f>
        <v>1.85714285714286</v>
      </c>
      <c r="I90" s="12" t="n">
        <f aca="false">E90*D90</f>
        <v>36.95</v>
      </c>
      <c r="J90" s="12" t="n">
        <f aca="false">F90*D90</f>
        <v>0</v>
      </c>
      <c r="K90" s="12" t="n">
        <f aca="false">MAX(E90-G90,0)*D90</f>
        <v>0</v>
      </c>
      <c r="L90" s="12" t="n">
        <f aca="false">MAX(F90-H90,0)*D90</f>
        <v>0</v>
      </c>
      <c r="M90" s="12" t="n">
        <f aca="false">MAX(G90-E90,0)*D90</f>
        <v>306.157142857143</v>
      </c>
      <c r="N90" s="12" t="n">
        <f aca="false">MAX(H90-F90,0)*D90</f>
        <v>68.6214285714286</v>
      </c>
      <c r="O90" s="26" t="n">
        <f aca="false">IFERROR(E90/DEMAND_MODEL!K90,999)</f>
        <v>1.4</v>
      </c>
      <c r="P90" s="26" t="n">
        <f aca="false">IFERROR(F90/DEMAND_MODEL!L90,999)</f>
        <v>0</v>
      </c>
    </row>
    <row r="91" customFormat="false" ht="15" hidden="false" customHeight="false" outlineLevel="0" collapsed="false">
      <c r="A91" s="5" t="n">
        <f aca="false">ITEM_MASTER_CLEAN!A91</f>
        <v>90</v>
      </c>
      <c r="B91" s="5" t="n">
        <f aca="false">ITEM_MASTER_CLEAN!B91</f>
        <v>15424</v>
      </c>
      <c r="C91" s="5" t="str">
        <f aca="false">ITEM_MASTER_CLEAN!C91</f>
        <v>ICE CREAM MINT CHOC CHIP  11.4L</v>
      </c>
      <c r="D91" s="12" t="n">
        <f aca="false">ITEM_MASTER_CLEAN!F91</f>
        <v>37.15</v>
      </c>
      <c r="E91" s="5" t="n">
        <f aca="false">ITEM_MASTER_CLEAN!H91</f>
        <v>0</v>
      </c>
      <c r="F91" s="5" t="n">
        <f aca="false">ITEM_MASTER_CLEAN!I91</f>
        <v>1</v>
      </c>
      <c r="G91" s="5" t="n">
        <f aca="false">PAR_LEVELS!J91</f>
        <v>3.71428571428571</v>
      </c>
      <c r="H91" s="5" t="n">
        <f aca="false">PAR_LEVELS!K91</f>
        <v>7.42857142857143</v>
      </c>
      <c r="I91" s="12" t="n">
        <f aca="false">E91*D91</f>
        <v>0</v>
      </c>
      <c r="J91" s="12" t="n">
        <f aca="false">F91*D91</f>
        <v>37.15</v>
      </c>
      <c r="K91" s="12" t="n">
        <f aca="false">MAX(E91-G91,0)*D91</f>
        <v>0</v>
      </c>
      <c r="L91" s="12" t="n">
        <f aca="false">MAX(F91-H91,0)*D91</f>
        <v>0</v>
      </c>
      <c r="M91" s="12" t="n">
        <f aca="false">MAX(G91-E91,0)*D91</f>
        <v>137.985714285714</v>
      </c>
      <c r="N91" s="12" t="n">
        <f aca="false">MAX(H91-F91,0)*D91</f>
        <v>238.821428571429</v>
      </c>
      <c r="O91" s="26" t="n">
        <f aca="false">IFERROR(E91/DEMAND_MODEL!K91,999)</f>
        <v>0</v>
      </c>
      <c r="P91" s="26" t="n">
        <f aca="false">IFERROR(F91/DEMAND_MODEL!L91,999)</f>
        <v>1.75</v>
      </c>
    </row>
    <row r="92" customFormat="false" ht="15" hidden="false" customHeight="false" outlineLevel="0" collapsed="false">
      <c r="A92" s="5" t="n">
        <f aca="false">ITEM_MASTER_CLEAN!A92</f>
        <v>91</v>
      </c>
      <c r="B92" s="5" t="n">
        <f aca="false">ITEM_MASTER_CLEAN!B92</f>
        <v>36884</v>
      </c>
      <c r="C92" s="5" t="str">
        <f aca="false">ITEM_MASTER_CLEAN!C92</f>
        <v>ICE CRM CHOC/CHERRY/AMARETTO 11.4L</v>
      </c>
      <c r="D92" s="12" t="n">
        <f aca="false">ITEM_MASTER_CLEAN!F92</f>
        <v>39.6</v>
      </c>
      <c r="E92" s="5" t="n">
        <f aca="false">ITEM_MASTER_CLEAN!H92</f>
        <v>1</v>
      </c>
      <c r="F92" s="5" t="n">
        <f aca="false">ITEM_MASTER_CLEAN!I92</f>
        <v>11</v>
      </c>
      <c r="G92" s="5" t="n">
        <f aca="false">PAR_LEVELS!J92</f>
        <v>5.57142857142857</v>
      </c>
      <c r="H92" s="5" t="n">
        <f aca="false">PAR_LEVELS!K92</f>
        <v>5.57142857142857</v>
      </c>
      <c r="I92" s="12" t="n">
        <f aca="false">E92*D92</f>
        <v>39.6</v>
      </c>
      <c r="J92" s="12" t="n">
        <f aca="false">F92*D92</f>
        <v>435.6</v>
      </c>
      <c r="K92" s="12" t="n">
        <f aca="false">MAX(E92-G92,0)*D92</f>
        <v>0</v>
      </c>
      <c r="L92" s="12" t="n">
        <f aca="false">MAX(F92-H92,0)*D92</f>
        <v>214.971428571429</v>
      </c>
      <c r="M92" s="12" t="n">
        <f aca="false">MAX(G92-E92,0)*D92</f>
        <v>181.028571428571</v>
      </c>
      <c r="N92" s="12" t="n">
        <f aca="false">MAX(H92-F92,0)*D92</f>
        <v>0</v>
      </c>
      <c r="O92" s="26" t="n">
        <f aca="false">IFERROR(E92/DEMAND_MODEL!K92,999)</f>
        <v>2.33333333333333</v>
      </c>
      <c r="P92" s="26" t="n">
        <f aca="false">IFERROR(F92/DEMAND_MODEL!L92,999)</f>
        <v>25.6666666666667</v>
      </c>
    </row>
    <row r="93" customFormat="false" ht="15" hidden="false" customHeight="false" outlineLevel="0" collapsed="false">
      <c r="A93" s="5" t="n">
        <f aca="false">ITEM_MASTER_CLEAN!A93</f>
        <v>92</v>
      </c>
      <c r="B93" s="5" t="n">
        <f aca="false">ITEM_MASTER_CLEAN!B93</f>
        <v>15426</v>
      </c>
      <c r="C93" s="5" t="str">
        <f aca="false">ITEM_MASTER_CLEAN!C93</f>
        <v>ICE CRM DBL STRAWBERRY 11407 11.4L</v>
      </c>
      <c r="D93" s="12" t="n">
        <f aca="false">ITEM_MASTER_CLEAN!F93</f>
        <v>19.58</v>
      </c>
      <c r="E93" s="5" t="n">
        <f aca="false">ITEM_MASTER_CLEAN!H93</f>
        <v>19</v>
      </c>
      <c r="F93" s="5" t="n">
        <f aca="false">ITEM_MASTER_CLEAN!I93</f>
        <v>4</v>
      </c>
      <c r="G93" s="5" t="n">
        <f aca="false">PAR_LEVELS!J93</f>
        <v>11.1428571428571</v>
      </c>
      <c r="H93" s="5" t="n">
        <f aca="false">PAR_LEVELS!K93</f>
        <v>1.85714285714286</v>
      </c>
      <c r="I93" s="12" t="n">
        <f aca="false">E93*D93</f>
        <v>372.02</v>
      </c>
      <c r="J93" s="12" t="n">
        <f aca="false">F93*D93</f>
        <v>78.32</v>
      </c>
      <c r="K93" s="12" t="n">
        <f aca="false">MAX(E93-G93,0)*D93</f>
        <v>153.842857142857</v>
      </c>
      <c r="L93" s="12" t="n">
        <f aca="false">MAX(F93-H93,0)*D93</f>
        <v>41.9571428571429</v>
      </c>
      <c r="M93" s="12" t="n">
        <f aca="false">MAX(G93-E93,0)*D93</f>
        <v>0</v>
      </c>
      <c r="N93" s="12" t="n">
        <f aca="false">MAX(H93-F93,0)*D93</f>
        <v>0</v>
      </c>
      <c r="O93" s="26" t="n">
        <f aca="false">IFERROR(E93/DEMAND_MODEL!K93,999)</f>
        <v>22.1666666666667</v>
      </c>
      <c r="P93" s="26" t="n">
        <f aca="false">IFERROR(F93/DEMAND_MODEL!L93,999)</f>
        <v>28</v>
      </c>
    </row>
    <row r="94" customFormat="false" ht="15" hidden="false" customHeight="false" outlineLevel="0" collapsed="false">
      <c r="A94" s="5" t="n">
        <f aca="false">ITEM_MASTER_CLEAN!A94</f>
        <v>93</v>
      </c>
      <c r="B94" s="5" t="n">
        <f aca="false">ITEM_MASTER_CLEAN!B94</f>
        <v>36846</v>
      </c>
      <c r="C94" s="5" t="str">
        <f aca="false">ITEM_MASTER_CLEAN!C94</f>
        <v>ICE CRM SALTED CARAMEL 11445 11.4L</v>
      </c>
      <c r="D94" s="12" t="n">
        <f aca="false">ITEM_MASTER_CLEAN!F94</f>
        <v>33.17</v>
      </c>
      <c r="E94" s="5" t="n">
        <f aca="false">ITEM_MASTER_CLEAN!H94</f>
        <v>3</v>
      </c>
      <c r="F94" s="5" t="n">
        <f aca="false">ITEM_MASTER_CLEAN!I94</f>
        <v>5</v>
      </c>
      <c r="G94" s="5" t="n">
        <f aca="false">PAR_LEVELS!J94</f>
        <v>5.57142857142857</v>
      </c>
      <c r="H94" s="5" t="n">
        <f aca="false">PAR_LEVELS!K94</f>
        <v>7.42857142857143</v>
      </c>
      <c r="I94" s="12" t="n">
        <f aca="false">E94*D94</f>
        <v>99.51</v>
      </c>
      <c r="J94" s="12" t="n">
        <f aca="false">F94*D94</f>
        <v>165.85</v>
      </c>
      <c r="K94" s="12" t="n">
        <f aca="false">MAX(E94-G94,0)*D94</f>
        <v>0</v>
      </c>
      <c r="L94" s="12" t="n">
        <f aca="false">MAX(F94-H94,0)*D94</f>
        <v>0</v>
      </c>
      <c r="M94" s="12" t="n">
        <f aca="false">MAX(G94-E94,0)*D94</f>
        <v>85.2942857142857</v>
      </c>
      <c r="N94" s="12" t="n">
        <f aca="false">MAX(H94-F94,0)*D94</f>
        <v>80.5557142857143</v>
      </c>
      <c r="O94" s="26" t="n">
        <f aca="false">IFERROR(E94/DEMAND_MODEL!K94,999)</f>
        <v>7</v>
      </c>
      <c r="P94" s="26" t="n">
        <f aca="false">IFERROR(F94/DEMAND_MODEL!L94,999)</f>
        <v>8.75</v>
      </c>
    </row>
    <row r="95" customFormat="false" ht="15" hidden="false" customHeight="false" outlineLevel="0" collapsed="false">
      <c r="A95" s="5" t="n">
        <f aca="false">ITEM_MASTER_CLEAN!A95</f>
        <v>94</v>
      </c>
      <c r="B95" s="5" t="n">
        <f aca="false">ITEM_MASTER_CLEAN!B95</f>
        <v>15423</v>
      </c>
      <c r="C95" s="5" t="str">
        <f aca="false">ITEM_MASTER_CLEAN!C95</f>
        <v>ICE CREAM PISTACHIO 11416 11.4L</v>
      </c>
      <c r="D95" s="12" t="n">
        <f aca="false">ITEM_MASTER_CLEAN!F95</f>
        <v>36.72</v>
      </c>
      <c r="E95" s="5" t="n">
        <f aca="false">ITEM_MASTER_CLEAN!H95</f>
        <v>3</v>
      </c>
      <c r="F95" s="5" t="n">
        <f aca="false">ITEM_MASTER_CLEAN!I95</f>
        <v>1</v>
      </c>
      <c r="G95" s="5" t="n">
        <f aca="false">PAR_LEVELS!J95</f>
        <v>9.28571428571429</v>
      </c>
      <c r="H95" s="5" t="n">
        <f aca="false">PAR_LEVELS!K95</f>
        <v>3.71428571428571</v>
      </c>
      <c r="I95" s="12" t="n">
        <f aca="false">E95*D95</f>
        <v>110.16</v>
      </c>
      <c r="J95" s="12" t="n">
        <f aca="false">F95*D95</f>
        <v>36.72</v>
      </c>
      <c r="K95" s="12" t="n">
        <f aca="false">MAX(E95-G95,0)*D95</f>
        <v>0</v>
      </c>
      <c r="L95" s="12" t="n">
        <f aca="false">MAX(F95-H95,0)*D95</f>
        <v>0</v>
      </c>
      <c r="M95" s="12" t="n">
        <f aca="false">MAX(G95-E95,0)*D95</f>
        <v>230.811428571429</v>
      </c>
      <c r="N95" s="12" t="n">
        <f aca="false">MAX(H95-F95,0)*D95</f>
        <v>99.6685714285714</v>
      </c>
      <c r="O95" s="26" t="n">
        <f aca="false">IFERROR(E95/DEMAND_MODEL!K95,999)</f>
        <v>4.2</v>
      </c>
      <c r="P95" s="26" t="n">
        <f aca="false">IFERROR(F95/DEMAND_MODEL!L95,999)</f>
        <v>3.5</v>
      </c>
    </row>
    <row r="96" customFormat="false" ht="15" hidden="false" customHeight="false" outlineLevel="0" collapsed="false">
      <c r="A96" s="5" t="n">
        <f aca="false">ITEM_MASTER_CLEAN!A96</f>
        <v>95</v>
      </c>
      <c r="B96" s="5" t="n">
        <f aca="false">ITEM_MASTER_CLEAN!B96</f>
        <v>36824</v>
      </c>
      <c r="C96" s="5" t="str">
        <f aca="false">ITEM_MASTER_CLEAN!C96</f>
        <v>LC ICE CRM PCN/CARAM/FDG11435 11.4L</v>
      </c>
      <c r="D96" s="12" t="n">
        <f aca="false">ITEM_MASTER_CLEAN!F96</f>
        <v>34.76</v>
      </c>
      <c r="E96" s="5" t="n">
        <f aca="false">ITEM_MASTER_CLEAN!H96</f>
        <v>6</v>
      </c>
      <c r="F96" s="5" t="n">
        <f aca="false">ITEM_MASTER_CLEAN!I96</f>
        <v>4</v>
      </c>
      <c r="G96" s="5" t="n">
        <f aca="false">PAR_LEVELS!J96</f>
        <v>9.28571428571429</v>
      </c>
      <c r="H96" s="5" t="n">
        <f aca="false">PAR_LEVELS!K96</f>
        <v>5.57142857142857</v>
      </c>
      <c r="I96" s="12" t="n">
        <f aca="false">E96*D96</f>
        <v>208.56</v>
      </c>
      <c r="J96" s="12" t="n">
        <f aca="false">F96*D96</f>
        <v>139.04</v>
      </c>
      <c r="K96" s="12" t="n">
        <f aca="false">MAX(E96-G96,0)*D96</f>
        <v>0</v>
      </c>
      <c r="L96" s="12" t="n">
        <f aca="false">MAX(F96-H96,0)*D96</f>
        <v>0</v>
      </c>
      <c r="M96" s="12" t="n">
        <f aca="false">MAX(G96-E96,0)*D96</f>
        <v>114.211428571429</v>
      </c>
      <c r="N96" s="12" t="n">
        <f aca="false">MAX(H96-F96,0)*D96</f>
        <v>54.6228571428571</v>
      </c>
      <c r="O96" s="26" t="n">
        <f aca="false">IFERROR(E96/DEMAND_MODEL!K96,999)</f>
        <v>8.4</v>
      </c>
      <c r="P96" s="26" t="n">
        <f aca="false">IFERROR(F96/DEMAND_MODEL!L96,999)</f>
        <v>9.33333333333333</v>
      </c>
    </row>
    <row r="97" customFormat="false" ht="15" hidden="false" customHeight="false" outlineLevel="0" collapsed="false">
      <c r="A97" s="5" t="n">
        <f aca="false">ITEM_MASTER_CLEAN!A97</f>
        <v>96</v>
      </c>
      <c r="B97" s="5" t="n">
        <f aca="false">ITEM_MASTER_CLEAN!B97</f>
        <v>36833</v>
      </c>
      <c r="C97" s="5" t="str">
        <f aca="false">ITEM_MASTER_CLEAN!C97</f>
        <v>ICE CREAM BUBBLE GUM 11413 11.4L</v>
      </c>
      <c r="D97" s="12" t="n">
        <f aca="false">ITEM_MASTER_CLEAN!F97</f>
        <v>37.87</v>
      </c>
      <c r="E97" s="5" t="n">
        <f aca="false">ITEM_MASTER_CLEAN!H97</f>
        <v>2</v>
      </c>
      <c r="F97" s="5" t="n">
        <f aca="false">ITEM_MASTER_CLEAN!I97</f>
        <v>0</v>
      </c>
      <c r="G97" s="5" t="n">
        <f aca="false">PAR_LEVELS!J97</f>
        <v>9.28571428571429</v>
      </c>
      <c r="H97" s="5" t="n">
        <f aca="false">PAR_LEVELS!K97</f>
        <v>3.71428571428571</v>
      </c>
      <c r="I97" s="12" t="n">
        <f aca="false">E97*D97</f>
        <v>75.74</v>
      </c>
      <c r="J97" s="12" t="n">
        <f aca="false">F97*D97</f>
        <v>0</v>
      </c>
      <c r="K97" s="12" t="n">
        <f aca="false">MAX(E97-G97,0)*D97</f>
        <v>0</v>
      </c>
      <c r="L97" s="12" t="n">
        <f aca="false">MAX(F97-H97,0)*D97</f>
        <v>0</v>
      </c>
      <c r="M97" s="12" t="n">
        <f aca="false">MAX(G97-E97,0)*D97</f>
        <v>275.91</v>
      </c>
      <c r="N97" s="12" t="n">
        <f aca="false">MAX(H97-F97,0)*D97</f>
        <v>140.66</v>
      </c>
      <c r="O97" s="26" t="n">
        <f aca="false">IFERROR(E97/DEMAND_MODEL!K97,999)</f>
        <v>2.8</v>
      </c>
      <c r="P97" s="26" t="n">
        <f aca="false">IFERROR(F97/DEMAND_MODEL!L97,999)</f>
        <v>0</v>
      </c>
    </row>
    <row r="98" customFormat="false" ht="15" hidden="false" customHeight="false" outlineLevel="0" collapsed="false">
      <c r="A98" s="5" t="n">
        <f aca="false">ITEM_MASTER_CLEAN!A98</f>
        <v>97</v>
      </c>
      <c r="B98" s="5" t="n">
        <f aca="false">ITEM_MASTER_CLEAN!B98</f>
        <v>32183</v>
      </c>
      <c r="C98" s="5" t="str">
        <f aca="false">ITEM_MASTER_CLEAN!C98</f>
        <v>ICE CREAM MANGO 851 11.4L</v>
      </c>
      <c r="D98" s="12" t="n">
        <f aca="false">ITEM_MASTER_CLEAN!F98</f>
        <v>43.33</v>
      </c>
      <c r="E98" s="5" t="n">
        <f aca="false">ITEM_MASTER_CLEAN!H98</f>
        <v>10</v>
      </c>
      <c r="F98" s="5" t="n">
        <f aca="false">ITEM_MASTER_CLEAN!I98</f>
        <v>0</v>
      </c>
      <c r="G98" s="5" t="n">
        <f aca="false">PAR_LEVELS!J98</f>
        <v>5.57142857142857</v>
      </c>
      <c r="H98" s="5" t="n">
        <f aca="false">PAR_LEVELS!K98</f>
        <v>3.71428571428571</v>
      </c>
      <c r="I98" s="12" t="n">
        <f aca="false">E98*D98</f>
        <v>433.3</v>
      </c>
      <c r="J98" s="12" t="n">
        <f aca="false">F98*D98</f>
        <v>0</v>
      </c>
      <c r="K98" s="12" t="n">
        <f aca="false">MAX(E98-G98,0)*D98</f>
        <v>191.89</v>
      </c>
      <c r="L98" s="12" t="n">
        <f aca="false">MAX(F98-H98,0)*D98</f>
        <v>0</v>
      </c>
      <c r="M98" s="12" t="n">
        <f aca="false">MAX(G98-E98,0)*D98</f>
        <v>0</v>
      </c>
      <c r="N98" s="12" t="n">
        <f aca="false">MAX(H98-F98,0)*D98</f>
        <v>160.94</v>
      </c>
      <c r="O98" s="26" t="n">
        <f aca="false">IFERROR(E98/DEMAND_MODEL!K98,999)</f>
        <v>23.3333333333333</v>
      </c>
      <c r="P98" s="26" t="n">
        <f aca="false">IFERROR(F98/DEMAND_MODEL!L98,999)</f>
        <v>0</v>
      </c>
    </row>
    <row r="99" customFormat="false" ht="15" hidden="false" customHeight="false" outlineLevel="0" collapsed="false">
      <c r="A99" s="5" t="n">
        <f aca="false">ITEM_MASTER_CLEAN!A99</f>
        <v>98</v>
      </c>
      <c r="B99" s="5" t="n">
        <f aca="false">ITEM_MASTER_CLEAN!B99</f>
        <v>15427</v>
      </c>
      <c r="C99" s="5" t="str">
        <f aca="false">ITEM_MASTER_CLEAN!C99</f>
        <v>ICE CREAM RHUM&amp;RAISIN 11.4L</v>
      </c>
      <c r="D99" s="12" t="n">
        <f aca="false">ITEM_MASTER_CLEAN!F99</f>
        <v>40.11</v>
      </c>
      <c r="E99" s="5" t="n">
        <f aca="false">ITEM_MASTER_CLEAN!H99</f>
        <v>1</v>
      </c>
      <c r="F99" s="5" t="n">
        <f aca="false">ITEM_MASTER_CLEAN!I99</f>
        <v>1</v>
      </c>
      <c r="G99" s="5" t="n">
        <f aca="false">PAR_LEVELS!J99</f>
        <v>9.28571428571429</v>
      </c>
      <c r="H99" s="5" t="n">
        <f aca="false">PAR_LEVELS!K99</f>
        <v>3.71428571428571</v>
      </c>
      <c r="I99" s="12" t="n">
        <f aca="false">E99*D99</f>
        <v>40.11</v>
      </c>
      <c r="J99" s="12" t="n">
        <f aca="false">F99*D99</f>
        <v>40.11</v>
      </c>
      <c r="K99" s="12" t="n">
        <f aca="false">MAX(E99-G99,0)*D99</f>
        <v>0</v>
      </c>
      <c r="L99" s="12" t="n">
        <f aca="false">MAX(F99-H99,0)*D99</f>
        <v>0</v>
      </c>
      <c r="M99" s="12" t="n">
        <f aca="false">MAX(G99-E99,0)*D99</f>
        <v>332.34</v>
      </c>
      <c r="N99" s="12" t="n">
        <f aca="false">MAX(H99-F99,0)*D99</f>
        <v>108.87</v>
      </c>
      <c r="O99" s="26" t="n">
        <f aca="false">IFERROR(E99/DEMAND_MODEL!K99,999)</f>
        <v>1.4</v>
      </c>
      <c r="P99" s="26" t="n">
        <f aca="false">IFERROR(F99/DEMAND_MODEL!L99,999)</f>
        <v>3.5</v>
      </c>
    </row>
    <row r="100" customFormat="false" ht="15" hidden="false" customHeight="false" outlineLevel="0" collapsed="false">
      <c r="A100" s="5" t="n">
        <f aca="false">ITEM_MASTER_CLEAN!A100</f>
        <v>99</v>
      </c>
      <c r="B100" s="5" t="n">
        <f aca="false">ITEM_MASTER_CLEAN!B100</f>
        <v>15429</v>
      </c>
      <c r="C100" s="5" t="str">
        <f aca="false">ITEM_MASTER_CLEAN!C100</f>
        <v>ICE CREAM CHERRY CHEESECAKE 11.4L</v>
      </c>
      <c r="D100" s="12" t="n">
        <f aca="false">ITEM_MASTER_CLEAN!F100</f>
        <v>40.74</v>
      </c>
      <c r="E100" s="5" t="n">
        <f aca="false">ITEM_MASTER_CLEAN!H100</f>
        <v>2</v>
      </c>
      <c r="F100" s="5" t="n">
        <f aca="false">ITEM_MASTER_CLEAN!I100</f>
        <v>0</v>
      </c>
      <c r="G100" s="5" t="n">
        <f aca="false">PAR_LEVELS!J100</f>
        <v>9.28571428571429</v>
      </c>
      <c r="H100" s="5" t="n">
        <f aca="false">PAR_LEVELS!K100</f>
        <v>1.85714285714286</v>
      </c>
      <c r="I100" s="12" t="n">
        <f aca="false">E100*D100</f>
        <v>81.48</v>
      </c>
      <c r="J100" s="12" t="n">
        <f aca="false">F100*D100</f>
        <v>0</v>
      </c>
      <c r="K100" s="12" t="n">
        <f aca="false">MAX(E100-G100,0)*D100</f>
        <v>0</v>
      </c>
      <c r="L100" s="12" t="n">
        <f aca="false">MAX(F100-H100,0)*D100</f>
        <v>0</v>
      </c>
      <c r="M100" s="12" t="n">
        <f aca="false">MAX(G100-E100,0)*D100</f>
        <v>296.82</v>
      </c>
      <c r="N100" s="12" t="n">
        <f aca="false">MAX(H100-F100,0)*D100</f>
        <v>75.66</v>
      </c>
      <c r="O100" s="26" t="n">
        <f aca="false">IFERROR(E100/DEMAND_MODEL!K100,999)</f>
        <v>2.8</v>
      </c>
      <c r="P100" s="26" t="n">
        <f aca="false">IFERROR(F100/DEMAND_MODEL!L100,999)</f>
        <v>0</v>
      </c>
    </row>
    <row r="101" customFormat="false" ht="15" hidden="false" customHeight="false" outlineLevel="0" collapsed="false">
      <c r="A101" s="5" t="n">
        <f aca="false">ITEM_MASTER_CLEAN!A101</f>
        <v>100</v>
      </c>
      <c r="B101" s="5" t="n">
        <f aca="false">ITEM_MASTER_CLEAN!B101</f>
        <v>32180</v>
      </c>
      <c r="C101" s="5" t="str">
        <f aca="false">ITEM_MASTER_CLEAN!C101</f>
        <v>SORBET LEMON LIME 152 11.4L</v>
      </c>
      <c r="D101" s="12" t="n">
        <f aca="false">ITEM_MASTER_CLEAN!F101</f>
        <v>35.54</v>
      </c>
      <c r="E101" s="5" t="n">
        <f aca="false">ITEM_MASTER_CLEAN!H101</f>
        <v>9</v>
      </c>
      <c r="F101" s="5" t="n">
        <f aca="false">ITEM_MASTER_CLEAN!I101</f>
        <v>9</v>
      </c>
      <c r="G101" s="5" t="n">
        <f aca="false">PAR_LEVELS!J101</f>
        <v>3.71428571428571</v>
      </c>
      <c r="H101" s="5" t="n">
        <f aca="false">PAR_LEVELS!K101</f>
        <v>3.71428571428571</v>
      </c>
      <c r="I101" s="12" t="n">
        <f aca="false">E101*D101</f>
        <v>319.86</v>
      </c>
      <c r="J101" s="12" t="n">
        <f aca="false">F101*D101</f>
        <v>319.86</v>
      </c>
      <c r="K101" s="12" t="n">
        <f aca="false">MAX(E101-G101,0)*D101</f>
        <v>187.854285714286</v>
      </c>
      <c r="L101" s="12" t="n">
        <f aca="false">MAX(F101-H101,0)*D101</f>
        <v>187.854285714286</v>
      </c>
      <c r="M101" s="12" t="n">
        <f aca="false">MAX(G101-E101,0)*D101</f>
        <v>0</v>
      </c>
      <c r="N101" s="12" t="n">
        <f aca="false">MAX(H101-F101,0)*D101</f>
        <v>0</v>
      </c>
      <c r="O101" s="26" t="n">
        <f aca="false">IFERROR(E101/DEMAND_MODEL!K101,999)</f>
        <v>31.5</v>
      </c>
      <c r="P101" s="26" t="n">
        <f aca="false">IFERROR(F101/DEMAND_MODEL!L101,999)</f>
        <v>31.5</v>
      </c>
    </row>
    <row r="102" customFormat="false" ht="15" hidden="false" customHeight="false" outlineLevel="0" collapsed="false">
      <c r="A102" s="5" t="n">
        <f aca="false">ITEM_MASTER_CLEAN!A102</f>
        <v>101</v>
      </c>
      <c r="B102" s="5" t="n">
        <f aca="false">ITEM_MASTER_CLEAN!B102</f>
        <v>32181</v>
      </c>
      <c r="C102" s="5" t="str">
        <f aca="false">ITEM_MASTER_CLEAN!C102</f>
        <v>SORBET STRAWBERRY 162 11.4L</v>
      </c>
      <c r="D102" s="12" t="n">
        <f aca="false">ITEM_MASTER_CLEAN!F102</f>
        <v>25.19</v>
      </c>
      <c r="E102" s="5" t="n">
        <f aca="false">ITEM_MASTER_CLEAN!H102</f>
        <v>1</v>
      </c>
      <c r="F102" s="5" t="n">
        <f aca="false">ITEM_MASTER_CLEAN!I102</f>
        <v>3</v>
      </c>
      <c r="G102" s="5" t="n">
        <f aca="false">PAR_LEVELS!J102</f>
        <v>5.57142857142857</v>
      </c>
      <c r="H102" s="5" t="n">
        <f aca="false">PAR_LEVELS!K102</f>
        <v>1.85714285714286</v>
      </c>
      <c r="I102" s="12" t="n">
        <f aca="false">E102*D102</f>
        <v>25.19</v>
      </c>
      <c r="J102" s="12" t="n">
        <f aca="false">F102*D102</f>
        <v>75.57</v>
      </c>
      <c r="K102" s="12" t="n">
        <f aca="false">MAX(E102-G102,0)*D102</f>
        <v>0</v>
      </c>
      <c r="L102" s="12" t="n">
        <f aca="false">MAX(F102-H102,0)*D102</f>
        <v>28.7885714285714</v>
      </c>
      <c r="M102" s="12" t="n">
        <f aca="false">MAX(G102-E102,0)*D102</f>
        <v>115.154285714286</v>
      </c>
      <c r="N102" s="12" t="n">
        <f aca="false">MAX(H102-F102,0)*D102</f>
        <v>0</v>
      </c>
      <c r="O102" s="26" t="n">
        <f aca="false">IFERROR(E102/DEMAND_MODEL!K102,999)</f>
        <v>2.33333333333333</v>
      </c>
      <c r="P102" s="26" t="n">
        <f aca="false">IFERROR(F102/DEMAND_MODEL!L102,999)</f>
        <v>21</v>
      </c>
    </row>
    <row r="103" customFormat="false" ht="15" hidden="false" customHeight="false" outlineLevel="0" collapsed="false">
      <c r="A103" s="5" t="n">
        <f aca="false">ITEM_MASTER_CLEAN!A103</f>
        <v>102</v>
      </c>
      <c r="B103" s="5" t="n">
        <f aca="false">ITEM_MASTER_CLEAN!B103</f>
        <v>32182</v>
      </c>
      <c r="C103" s="5" t="str">
        <f aca="false">ITEM_MASTER_CLEAN!C103</f>
        <v>SHERBERT WATERMELON 860 11.4L</v>
      </c>
      <c r="D103" s="12" t="n">
        <f aca="false">ITEM_MASTER_CLEAN!F103</f>
        <v>41.04</v>
      </c>
      <c r="E103" s="5" t="n">
        <f aca="false">ITEM_MASTER_CLEAN!H103</f>
        <v>1</v>
      </c>
      <c r="F103" s="5" t="n">
        <f aca="false">ITEM_MASTER_CLEAN!I103</f>
        <v>2</v>
      </c>
      <c r="G103" s="5" t="n">
        <f aca="false">PAR_LEVELS!J103</f>
        <v>1.85714285714286</v>
      </c>
      <c r="H103" s="5" t="n">
        <f aca="false">PAR_LEVELS!K103</f>
        <v>3.71428571428571</v>
      </c>
      <c r="I103" s="12" t="n">
        <f aca="false">E103*D103</f>
        <v>41.04</v>
      </c>
      <c r="J103" s="12" t="n">
        <f aca="false">F103*D103</f>
        <v>82.08</v>
      </c>
      <c r="K103" s="12" t="n">
        <f aca="false">MAX(E103-G103,0)*D103</f>
        <v>0</v>
      </c>
      <c r="L103" s="12" t="n">
        <f aca="false">MAX(F103-H103,0)*D103</f>
        <v>0</v>
      </c>
      <c r="M103" s="12" t="n">
        <f aca="false">MAX(G103-E103,0)*D103</f>
        <v>35.1771428571429</v>
      </c>
      <c r="N103" s="12" t="n">
        <f aca="false">MAX(H103-F103,0)*D103</f>
        <v>70.3542857142857</v>
      </c>
      <c r="O103" s="26" t="n">
        <f aca="false">IFERROR(E103/DEMAND_MODEL!K103,999)</f>
        <v>7</v>
      </c>
      <c r="P103" s="26" t="n">
        <f aca="false">IFERROR(F103/DEMAND_MODEL!L103,999)</f>
        <v>7</v>
      </c>
    </row>
    <row r="104" customFormat="false" ht="15" hidden="false" customHeight="false" outlineLevel="0" collapsed="false">
      <c r="A104" s="5" t="n">
        <f aca="false">ITEM_MASTER_CLEAN!A104</f>
        <v>103</v>
      </c>
      <c r="B104" s="5" t="n">
        <f aca="false">ITEM_MASTER_CLEAN!B104</f>
        <v>32184</v>
      </c>
      <c r="C104" s="5" t="str">
        <f aca="false">ITEM_MASTER_CLEAN!C104</f>
        <v>SORBET PEACH 11.4L</v>
      </c>
      <c r="D104" s="12" t="n">
        <f aca="false">ITEM_MASTER_CLEAN!F104</f>
        <v>35.46</v>
      </c>
      <c r="E104" s="5" t="n">
        <f aca="false">ITEM_MASTER_CLEAN!H104</f>
        <v>4</v>
      </c>
      <c r="F104" s="5" t="n">
        <f aca="false">ITEM_MASTER_CLEAN!I104</f>
        <v>1</v>
      </c>
      <c r="G104" s="5" t="n">
        <f aca="false">PAR_LEVELS!J104</f>
        <v>5.57142857142857</v>
      </c>
      <c r="H104" s="5" t="n">
        <f aca="false">PAR_LEVELS!K104</f>
        <v>1.85714285714286</v>
      </c>
      <c r="I104" s="12" t="n">
        <f aca="false">E104*D104</f>
        <v>141.84</v>
      </c>
      <c r="J104" s="12" t="n">
        <f aca="false">F104*D104</f>
        <v>35.46</v>
      </c>
      <c r="K104" s="12" t="n">
        <f aca="false">MAX(E104-G104,0)*D104</f>
        <v>0</v>
      </c>
      <c r="L104" s="12" t="n">
        <f aca="false">MAX(F104-H104,0)*D104</f>
        <v>0</v>
      </c>
      <c r="M104" s="12" t="n">
        <f aca="false">MAX(G104-E104,0)*D104</f>
        <v>55.7228571428571</v>
      </c>
      <c r="N104" s="12" t="n">
        <f aca="false">MAX(H104-F104,0)*D104</f>
        <v>30.3942857142857</v>
      </c>
      <c r="O104" s="26" t="n">
        <f aca="false">IFERROR(E104/DEMAND_MODEL!K104,999)</f>
        <v>9.33333333333333</v>
      </c>
      <c r="P104" s="26" t="n">
        <f aca="false">IFERROR(F104/DEMAND_MODEL!L104,999)</f>
        <v>7</v>
      </c>
    </row>
    <row r="105" customFormat="false" ht="15" hidden="false" customHeight="false" outlineLevel="0" collapsed="false">
      <c r="A105" s="5" t="n">
        <f aca="false">ITEM_MASTER_CLEAN!A105</f>
        <v>104</v>
      </c>
      <c r="B105" s="5" t="n">
        <f aca="false">ITEM_MASTER_CLEAN!B105</f>
        <v>32185</v>
      </c>
      <c r="C105" s="5" t="str">
        <f aca="false">ITEM_MASTER_CLEAN!C105</f>
        <v>MONSTER COOKIE ICE CRM BAR 8X4UN</v>
      </c>
      <c r="D105" s="12" t="n">
        <f aca="false">ITEM_MASTER_CLEAN!F105</f>
        <v>53.26</v>
      </c>
      <c r="E105" s="5" t="n">
        <f aca="false">ITEM_MASTER_CLEAN!H105</f>
        <v>3</v>
      </c>
      <c r="F105" s="5" t="n">
        <f aca="false">ITEM_MASTER_CLEAN!I105</f>
        <v>0</v>
      </c>
      <c r="G105" s="5" t="n">
        <f aca="false">PAR_LEVELS!J105</f>
        <v>1.85714285714286</v>
      </c>
      <c r="H105" s="5" t="n">
        <f aca="false">PAR_LEVELS!K105</f>
        <v>5.57142857142857</v>
      </c>
      <c r="I105" s="12" t="n">
        <f aca="false">E105*D105</f>
        <v>159.78</v>
      </c>
      <c r="J105" s="12" t="n">
        <f aca="false">F105*D105</f>
        <v>0</v>
      </c>
      <c r="K105" s="12" t="n">
        <f aca="false">MAX(E105-G105,0)*D105</f>
        <v>60.8685714285714</v>
      </c>
      <c r="L105" s="12" t="n">
        <f aca="false">MAX(F105-H105,0)*D105</f>
        <v>0</v>
      </c>
      <c r="M105" s="12" t="n">
        <f aca="false">MAX(G105-E105,0)*D105</f>
        <v>0</v>
      </c>
      <c r="N105" s="12" t="n">
        <f aca="false">MAX(H105-F105,0)*D105</f>
        <v>296.734285714286</v>
      </c>
      <c r="O105" s="26" t="n">
        <f aca="false">IFERROR(E105/DEMAND_MODEL!K105,999)</f>
        <v>21</v>
      </c>
      <c r="P105" s="26" t="n">
        <f aca="false">IFERROR(F105/DEMAND_MODEL!L105,999)</f>
        <v>0</v>
      </c>
    </row>
    <row r="106" customFormat="false" ht="15" hidden="false" customHeight="false" outlineLevel="0" collapsed="false">
      <c r="A106" s="5" t="n">
        <f aca="false">ITEM_MASTER_CLEAN!A106</f>
        <v>105</v>
      </c>
      <c r="B106" s="5" t="n">
        <f aca="false">ITEM_MASTER_CLEAN!B106</f>
        <v>37191</v>
      </c>
      <c r="C106" s="5" t="str">
        <f aca="false">ITEM_MASTER_CLEAN!C106</f>
        <v>BAR VEGAN CHOC SV20214 24UN</v>
      </c>
      <c r="D106" s="12" t="n">
        <f aca="false">ITEM_MASTER_CLEAN!F106</f>
        <v>48.55</v>
      </c>
      <c r="E106" s="5" t="n">
        <f aca="false">ITEM_MASTER_CLEAN!H106</f>
        <v>0</v>
      </c>
      <c r="F106" s="5" t="n">
        <f aca="false">ITEM_MASTER_CLEAN!I106</f>
        <v>0</v>
      </c>
      <c r="G106" s="5" t="n">
        <f aca="false">PAR_LEVELS!J106</f>
        <v>1.85714285714286</v>
      </c>
      <c r="H106" s="5" t="n">
        <f aca="false">PAR_LEVELS!K106</f>
        <v>5.57142857142857</v>
      </c>
      <c r="I106" s="12" t="n">
        <f aca="false">E106*D106</f>
        <v>0</v>
      </c>
      <c r="J106" s="12" t="n">
        <f aca="false">F106*D106</f>
        <v>0</v>
      </c>
      <c r="K106" s="12" t="n">
        <f aca="false">MAX(E106-G106,0)*D106</f>
        <v>0</v>
      </c>
      <c r="L106" s="12" t="n">
        <f aca="false">MAX(F106-H106,0)*D106</f>
        <v>0</v>
      </c>
      <c r="M106" s="12" t="n">
        <f aca="false">MAX(G106-E106,0)*D106</f>
        <v>90.1642857142857</v>
      </c>
      <c r="N106" s="12" t="n">
        <f aca="false">MAX(H106-F106,0)*D106</f>
        <v>270.492857142857</v>
      </c>
      <c r="O106" s="26" t="n">
        <f aca="false">IFERROR(E106/DEMAND_MODEL!K106,999)</f>
        <v>0</v>
      </c>
      <c r="P106" s="26" t="n">
        <f aca="false">IFERROR(F106/DEMAND_MODEL!L106,999)</f>
        <v>0</v>
      </c>
    </row>
    <row r="107" customFormat="false" ht="15" hidden="false" customHeight="false" outlineLevel="0" collapsed="false">
      <c r="A107" s="5" t="n">
        <f aca="false">ITEM_MASTER_CLEAN!A107</f>
        <v>106</v>
      </c>
      <c r="B107" s="5" t="n">
        <f aca="false">ITEM_MASTER_CLEAN!B107</f>
        <v>37190</v>
      </c>
      <c r="C107" s="5" t="str">
        <f aca="false">ITEM_MASTER_CLEAN!C107</f>
        <v>BAR VEGAN VANIL SV20114 24UN</v>
      </c>
      <c r="D107" s="12" t="n">
        <f aca="false">ITEM_MASTER_CLEAN!F107</f>
        <v>40</v>
      </c>
      <c r="E107" s="5" t="n">
        <f aca="false">ITEM_MASTER_CLEAN!H107</f>
        <v>3</v>
      </c>
      <c r="F107" s="5" t="n">
        <f aca="false">ITEM_MASTER_CLEAN!I107</f>
        <v>1</v>
      </c>
      <c r="G107" s="5" t="n">
        <f aca="false">PAR_LEVELS!J107</f>
        <v>3.71428571428571</v>
      </c>
      <c r="H107" s="5" t="n">
        <f aca="false">PAR_LEVELS!K107</f>
        <v>5.57142857142857</v>
      </c>
      <c r="I107" s="12" t="n">
        <f aca="false">E107*D107</f>
        <v>120</v>
      </c>
      <c r="J107" s="12" t="n">
        <f aca="false">F107*D107</f>
        <v>40</v>
      </c>
      <c r="K107" s="12" t="n">
        <f aca="false">MAX(E107-G107,0)*D107</f>
        <v>0</v>
      </c>
      <c r="L107" s="12" t="n">
        <f aca="false">MAX(F107-H107,0)*D107</f>
        <v>0</v>
      </c>
      <c r="M107" s="12" t="n">
        <f aca="false">MAX(G107-E107,0)*D107</f>
        <v>28.5714285714286</v>
      </c>
      <c r="N107" s="12" t="n">
        <f aca="false">MAX(H107-F107,0)*D107</f>
        <v>182.857142857143</v>
      </c>
      <c r="O107" s="26" t="n">
        <f aca="false">IFERROR(E107/DEMAND_MODEL!K107,999)</f>
        <v>10.5</v>
      </c>
      <c r="P107" s="26" t="n">
        <f aca="false">IFERROR(F107/DEMAND_MODEL!L107,999)</f>
        <v>2.33333333333333</v>
      </c>
    </row>
    <row r="108" customFormat="false" ht="15" hidden="false" customHeight="false" outlineLevel="0" collapsed="false">
      <c r="A108" s="5" t="n">
        <f aca="false">ITEM_MASTER_CLEAN!A108</f>
        <v>107</v>
      </c>
      <c r="B108" s="5" t="n">
        <f aca="false">ITEM_MASTER_CLEAN!B108</f>
        <v>12586</v>
      </c>
      <c r="C108" s="5" t="str">
        <f aca="false">ITEM_MASTER_CLEAN!C108</f>
        <v>MTY DIP 56% CHOCOLATE 6X1K</v>
      </c>
      <c r="D108" s="12" t="n">
        <f aca="false">ITEM_MASTER_CLEAN!F108</f>
        <v>40.96</v>
      </c>
      <c r="E108" s="5" t="n">
        <f aca="false">ITEM_MASTER_CLEAN!H108</f>
        <v>1</v>
      </c>
      <c r="F108" s="5" t="n">
        <f aca="false">ITEM_MASTER_CLEAN!I108</f>
        <v>24</v>
      </c>
      <c r="G108" s="5" t="n">
        <f aca="false">PAR_LEVELS!J108</f>
        <v>11.1428571428571</v>
      </c>
      <c r="H108" s="5" t="n">
        <f aca="false">PAR_LEVELS!K108</f>
        <v>13</v>
      </c>
      <c r="I108" s="12" t="n">
        <f aca="false">E108*D108</f>
        <v>40.96</v>
      </c>
      <c r="J108" s="12" t="n">
        <f aca="false">F108*D108</f>
        <v>983.04</v>
      </c>
      <c r="K108" s="12" t="n">
        <f aca="false">MAX(E108-G108,0)*D108</f>
        <v>0</v>
      </c>
      <c r="L108" s="12" t="n">
        <f aca="false">MAX(F108-H108,0)*D108</f>
        <v>450.56</v>
      </c>
      <c r="M108" s="12" t="n">
        <f aca="false">MAX(G108-E108,0)*D108</f>
        <v>415.451428571429</v>
      </c>
      <c r="N108" s="12" t="n">
        <f aca="false">MAX(H108-F108,0)*D108</f>
        <v>0</v>
      </c>
      <c r="O108" s="26" t="n">
        <f aca="false">IFERROR(E108/DEMAND_MODEL!K108,999)</f>
        <v>1.16666666666667</v>
      </c>
      <c r="P108" s="26" t="n">
        <f aca="false">IFERROR(F108/DEMAND_MODEL!L108,999)</f>
        <v>24</v>
      </c>
    </row>
    <row r="109" customFormat="false" ht="15" hidden="false" customHeight="false" outlineLevel="0" collapsed="false">
      <c r="A109" s="5" t="n">
        <f aca="false">ITEM_MASTER_CLEAN!A109</f>
        <v>108</v>
      </c>
      <c r="B109" s="5" t="n">
        <f aca="false">ITEM_MASTER_CLEAN!B109</f>
        <v>12597</v>
      </c>
      <c r="C109" s="5" t="str">
        <f aca="false">ITEM_MASTER_CLEAN!C109</f>
        <v>MTY DIP 70% DARK CHOC 6X1K</v>
      </c>
      <c r="D109" s="12" t="n">
        <f aca="false">ITEM_MASTER_CLEAN!F109</f>
        <v>47.04</v>
      </c>
      <c r="E109" s="5" t="n">
        <f aca="false">ITEM_MASTER_CLEAN!H109</f>
        <v>25</v>
      </c>
      <c r="F109" s="5" t="n">
        <f aca="false">ITEM_MASTER_CLEAN!I109</f>
        <v>13</v>
      </c>
      <c r="G109" s="5" t="n">
        <f aca="false">PAR_LEVELS!J109</f>
        <v>11.1428571428571</v>
      </c>
      <c r="H109" s="5" t="n">
        <f aca="false">PAR_LEVELS!K109</f>
        <v>5.57142857142857</v>
      </c>
      <c r="I109" s="12" t="n">
        <f aca="false">E109*D109</f>
        <v>1176</v>
      </c>
      <c r="J109" s="12" t="n">
        <f aca="false">F109*D109</f>
        <v>611.52</v>
      </c>
      <c r="K109" s="12" t="n">
        <f aca="false">MAX(E109-G109,0)*D109</f>
        <v>651.84</v>
      </c>
      <c r="L109" s="12" t="n">
        <f aca="false">MAX(F109-H109,0)*D109</f>
        <v>349.44</v>
      </c>
      <c r="M109" s="12" t="n">
        <f aca="false">MAX(G109-E109,0)*D109</f>
        <v>0</v>
      </c>
      <c r="N109" s="12" t="n">
        <f aca="false">MAX(H109-F109,0)*D109</f>
        <v>0</v>
      </c>
      <c r="O109" s="26" t="n">
        <f aca="false">IFERROR(E109/DEMAND_MODEL!K109,999)</f>
        <v>29.1666666666667</v>
      </c>
      <c r="P109" s="26" t="n">
        <f aca="false">IFERROR(F109/DEMAND_MODEL!L109,999)</f>
        <v>30.3333333333333</v>
      </c>
    </row>
    <row r="110" customFormat="false" ht="15" hidden="false" customHeight="false" outlineLevel="0" collapsed="false">
      <c r="A110" s="5" t="n">
        <f aca="false">ITEM_MASTER_CLEAN!A110</f>
        <v>109</v>
      </c>
      <c r="B110" s="5" t="n">
        <f aca="false">ITEM_MASTER_CLEAN!B110</f>
        <v>19646</v>
      </c>
      <c r="C110" s="5" t="str">
        <f aca="false">ITEM_MASTER_CLEAN!C110</f>
        <v>MTY DIP BANANA 6X1K</v>
      </c>
      <c r="D110" s="12" t="n">
        <f aca="false">ITEM_MASTER_CLEAN!F110</f>
        <v>46.38</v>
      </c>
      <c r="E110" s="5" t="n">
        <f aca="false">ITEM_MASTER_CLEAN!H110</f>
        <v>11</v>
      </c>
      <c r="F110" s="5" t="n">
        <f aca="false">ITEM_MASTER_CLEAN!I110</f>
        <v>2</v>
      </c>
      <c r="G110" s="5" t="n">
        <f aca="false">PAR_LEVELS!J110</f>
        <v>14.8571428571429</v>
      </c>
      <c r="H110" s="5" t="n">
        <f aca="false">PAR_LEVELS!K110</f>
        <v>3.71428571428571</v>
      </c>
      <c r="I110" s="12" t="n">
        <f aca="false">E110*D110</f>
        <v>510.18</v>
      </c>
      <c r="J110" s="12" t="n">
        <f aca="false">F110*D110</f>
        <v>92.76</v>
      </c>
      <c r="K110" s="12" t="n">
        <f aca="false">MAX(E110-G110,0)*D110</f>
        <v>0</v>
      </c>
      <c r="L110" s="12" t="n">
        <f aca="false">MAX(F110-H110,0)*D110</f>
        <v>0</v>
      </c>
      <c r="M110" s="12" t="n">
        <f aca="false">MAX(G110-E110,0)*D110</f>
        <v>178.894285714286</v>
      </c>
      <c r="N110" s="12" t="n">
        <f aca="false">MAX(H110-F110,0)*D110</f>
        <v>79.5085714285714</v>
      </c>
      <c r="O110" s="26" t="n">
        <f aca="false">IFERROR(E110/DEMAND_MODEL!K110,999)</f>
        <v>9.625</v>
      </c>
      <c r="P110" s="26" t="n">
        <f aca="false">IFERROR(F110/DEMAND_MODEL!L110,999)</f>
        <v>7</v>
      </c>
    </row>
    <row r="111" customFormat="false" ht="15" hidden="false" customHeight="false" outlineLevel="0" collapsed="false">
      <c r="A111" s="5" t="n">
        <f aca="false">ITEM_MASTER_CLEAN!A111</f>
        <v>110</v>
      </c>
      <c r="B111" s="5" t="n">
        <f aca="false">ITEM_MASTER_CLEAN!B111</f>
        <v>19647</v>
      </c>
      <c r="C111" s="5" t="str">
        <f aca="false">ITEM_MASTER_CLEAN!C111</f>
        <v>MTY DIP PEANUT BUTTER 6X1K</v>
      </c>
      <c r="D111" s="12" t="n">
        <f aca="false">ITEM_MASTER_CLEAN!F111</f>
        <v>45.32</v>
      </c>
      <c r="E111" s="5" t="n">
        <f aca="false">ITEM_MASTER_CLEAN!H111</f>
        <v>1</v>
      </c>
      <c r="F111" s="5" t="n">
        <f aca="false">ITEM_MASTER_CLEAN!I111</f>
        <v>1</v>
      </c>
      <c r="G111" s="5" t="n">
        <f aca="false">PAR_LEVELS!J111</f>
        <v>5.57142857142857</v>
      </c>
      <c r="H111" s="5" t="n">
        <f aca="false">PAR_LEVELS!K111</f>
        <v>7.42857142857143</v>
      </c>
      <c r="I111" s="12" t="n">
        <f aca="false">E111*D111</f>
        <v>45.32</v>
      </c>
      <c r="J111" s="12" t="n">
        <f aca="false">F111*D111</f>
        <v>45.32</v>
      </c>
      <c r="K111" s="12" t="n">
        <f aca="false">MAX(E111-G111,0)*D111</f>
        <v>0</v>
      </c>
      <c r="L111" s="12" t="n">
        <f aca="false">MAX(F111-H111,0)*D111</f>
        <v>0</v>
      </c>
      <c r="M111" s="12" t="n">
        <f aca="false">MAX(G111-E111,0)*D111</f>
        <v>207.177142857143</v>
      </c>
      <c r="N111" s="12" t="n">
        <f aca="false">MAX(H111-F111,0)*D111</f>
        <v>291.342857142857</v>
      </c>
      <c r="O111" s="26" t="n">
        <f aca="false">IFERROR(E111/DEMAND_MODEL!K111,999)</f>
        <v>2.33333333333333</v>
      </c>
      <c r="P111" s="26" t="n">
        <f aca="false">IFERROR(F111/DEMAND_MODEL!L111,999)</f>
        <v>1.75</v>
      </c>
    </row>
    <row r="112" customFormat="false" ht="15" hidden="false" customHeight="false" outlineLevel="0" collapsed="false">
      <c r="A112" s="5" t="n">
        <f aca="false">ITEM_MASTER_CLEAN!A112</f>
        <v>111</v>
      </c>
      <c r="B112" s="5" t="n">
        <f aca="false">ITEM_MASTER_CLEAN!B112</f>
        <v>24809</v>
      </c>
      <c r="C112" s="5" t="str">
        <f aca="false">ITEM_MASTER_CLEAN!C112</f>
        <v>MTY DIP MAPLE 6X1K</v>
      </c>
      <c r="D112" s="12" t="n">
        <f aca="false">ITEM_MASTER_CLEAN!F112</f>
        <v>39.32</v>
      </c>
      <c r="E112" s="5" t="n">
        <f aca="false">ITEM_MASTER_CLEAN!H112</f>
        <v>8</v>
      </c>
      <c r="F112" s="5" t="n">
        <f aca="false">ITEM_MASTER_CLEAN!I112</f>
        <v>5</v>
      </c>
      <c r="G112" s="5" t="n">
        <f aca="false">PAR_LEVELS!J112</f>
        <v>13</v>
      </c>
      <c r="H112" s="5" t="n">
        <f aca="false">PAR_LEVELS!K112</f>
        <v>7.42857142857143</v>
      </c>
      <c r="I112" s="12" t="n">
        <f aca="false">E112*D112</f>
        <v>314.56</v>
      </c>
      <c r="J112" s="12" t="n">
        <f aca="false">F112*D112</f>
        <v>196.6</v>
      </c>
      <c r="K112" s="12" t="n">
        <f aca="false">MAX(E112-G112,0)*D112</f>
        <v>0</v>
      </c>
      <c r="L112" s="12" t="n">
        <f aca="false">MAX(F112-H112,0)*D112</f>
        <v>0</v>
      </c>
      <c r="M112" s="12" t="n">
        <f aca="false">MAX(G112-E112,0)*D112</f>
        <v>196.6</v>
      </c>
      <c r="N112" s="12" t="n">
        <f aca="false">MAX(H112-F112,0)*D112</f>
        <v>95.4914285714285</v>
      </c>
      <c r="O112" s="26" t="n">
        <f aca="false">IFERROR(E112/DEMAND_MODEL!K112,999)</f>
        <v>8</v>
      </c>
      <c r="P112" s="26" t="n">
        <f aca="false">IFERROR(F112/DEMAND_MODEL!L112,999)</f>
        <v>8.75</v>
      </c>
    </row>
    <row r="113" customFormat="false" ht="15" hidden="false" customHeight="false" outlineLevel="0" collapsed="false">
      <c r="A113" s="5" t="n">
        <f aca="false">ITEM_MASTER_CLEAN!A113</f>
        <v>112</v>
      </c>
      <c r="B113" s="5" t="n">
        <f aca="false">ITEM_MASTER_CLEAN!B113</f>
        <v>24805</v>
      </c>
      <c r="C113" s="5" t="str">
        <f aca="false">ITEM_MASTER_CLEAN!C113</f>
        <v>MTY DIP WHITE 6X1K</v>
      </c>
      <c r="D113" s="12" t="n">
        <f aca="false">ITEM_MASTER_CLEAN!F113</f>
        <v>46.93</v>
      </c>
      <c r="E113" s="5" t="n">
        <f aca="false">ITEM_MASTER_CLEAN!H113</f>
        <v>1</v>
      </c>
      <c r="F113" s="5" t="n">
        <f aca="false">ITEM_MASTER_CLEAN!I113</f>
        <v>1</v>
      </c>
      <c r="G113" s="5" t="n">
        <f aca="false">PAR_LEVELS!J113</f>
        <v>9.28571428571429</v>
      </c>
      <c r="H113" s="5" t="n">
        <f aca="false">PAR_LEVELS!K113</f>
        <v>3.71428571428571</v>
      </c>
      <c r="I113" s="12" t="n">
        <f aca="false">E113*D113</f>
        <v>46.93</v>
      </c>
      <c r="J113" s="12" t="n">
        <f aca="false">F113*D113</f>
        <v>46.93</v>
      </c>
      <c r="K113" s="12" t="n">
        <f aca="false">MAX(E113-G113,0)*D113</f>
        <v>0</v>
      </c>
      <c r="L113" s="12" t="n">
        <f aca="false">MAX(F113-H113,0)*D113</f>
        <v>0</v>
      </c>
      <c r="M113" s="12" t="n">
        <f aca="false">MAX(G113-E113,0)*D113</f>
        <v>388.848571428571</v>
      </c>
      <c r="N113" s="12" t="n">
        <f aca="false">MAX(H113-F113,0)*D113</f>
        <v>127.381428571429</v>
      </c>
      <c r="O113" s="26" t="n">
        <f aca="false">IFERROR(E113/DEMAND_MODEL!K113,999)</f>
        <v>1.4</v>
      </c>
      <c r="P113" s="26" t="n">
        <f aca="false">IFERROR(F113/DEMAND_MODEL!L113,999)</f>
        <v>3.5</v>
      </c>
    </row>
    <row r="114" customFormat="false" ht="15" hidden="false" customHeight="false" outlineLevel="0" collapsed="false">
      <c r="A114" s="5" t="n">
        <f aca="false">ITEM_MASTER_CLEAN!A114</f>
        <v>113</v>
      </c>
      <c r="B114" s="5" t="n">
        <f aca="false">ITEM_MASTER_CLEAN!B114</f>
        <v>19600</v>
      </c>
      <c r="C114" s="5" t="str">
        <f aca="false">ITEM_MASTER_CLEAN!C114</f>
        <v>MTY DIP CARAMEL ET SEL 6X1K</v>
      </c>
      <c r="D114" s="12" t="n">
        <f aca="false">ITEM_MASTER_CLEAN!F114</f>
        <v>44.74</v>
      </c>
      <c r="E114" s="5" t="n">
        <f aca="false">ITEM_MASTER_CLEAN!H114</f>
        <v>4</v>
      </c>
      <c r="F114" s="5" t="n">
        <f aca="false">ITEM_MASTER_CLEAN!I114</f>
        <v>1</v>
      </c>
      <c r="G114" s="5" t="n">
        <f aca="false">PAR_LEVELS!J114</f>
        <v>11.1428571428571</v>
      </c>
      <c r="H114" s="5" t="n">
        <f aca="false">PAR_LEVELS!K114</f>
        <v>11.1428571428571</v>
      </c>
      <c r="I114" s="12" t="n">
        <f aca="false">E114*D114</f>
        <v>178.96</v>
      </c>
      <c r="J114" s="12" t="n">
        <f aca="false">F114*D114</f>
        <v>44.74</v>
      </c>
      <c r="K114" s="12" t="n">
        <f aca="false">MAX(E114-G114,0)*D114</f>
        <v>0</v>
      </c>
      <c r="L114" s="12" t="n">
        <f aca="false">MAX(F114-H114,0)*D114</f>
        <v>0</v>
      </c>
      <c r="M114" s="12" t="n">
        <f aca="false">MAX(G114-E114,0)*D114</f>
        <v>319.571428571429</v>
      </c>
      <c r="N114" s="12" t="n">
        <f aca="false">MAX(H114-F114,0)*D114</f>
        <v>453.791428571429</v>
      </c>
      <c r="O114" s="26" t="n">
        <f aca="false">IFERROR(E114/DEMAND_MODEL!K114,999)</f>
        <v>4.66666666666667</v>
      </c>
      <c r="P114" s="26" t="n">
        <f aca="false">IFERROR(F114/DEMAND_MODEL!L114,999)</f>
        <v>1.16666666666667</v>
      </c>
    </row>
    <row r="115" customFormat="false" ht="15" hidden="false" customHeight="false" outlineLevel="0" collapsed="false">
      <c r="A115" s="5" t="n">
        <f aca="false">ITEM_MASTER_CLEAN!A115</f>
        <v>114</v>
      </c>
      <c r="B115" s="5" t="n">
        <f aca="false">ITEM_MASTER_CLEAN!B115</f>
        <v>24759</v>
      </c>
      <c r="C115" s="5" t="str">
        <f aca="false">ITEM_MASTER_CLEAN!C115</f>
        <v>MTY DIP CHOC CARAMEL PECAN 6X1K</v>
      </c>
      <c r="D115" s="12" t="n">
        <f aca="false">ITEM_MASTER_CLEAN!F115</f>
        <v>44.73</v>
      </c>
      <c r="E115" s="5" t="n">
        <f aca="false">ITEM_MASTER_CLEAN!H115</f>
        <v>23</v>
      </c>
      <c r="F115" s="5" t="n">
        <f aca="false">ITEM_MASTER_CLEAN!I115</f>
        <v>0</v>
      </c>
      <c r="G115" s="5" t="n">
        <f aca="false">PAR_LEVELS!J115</f>
        <v>14.8571428571429</v>
      </c>
      <c r="H115" s="5" t="n">
        <f aca="false">PAR_LEVELS!K115</f>
        <v>7.42857142857143</v>
      </c>
      <c r="I115" s="12" t="n">
        <f aca="false">E115*D115</f>
        <v>1028.79</v>
      </c>
      <c r="J115" s="12" t="n">
        <f aca="false">F115*D115</f>
        <v>0</v>
      </c>
      <c r="K115" s="12" t="n">
        <f aca="false">MAX(E115-G115,0)*D115</f>
        <v>364.23</v>
      </c>
      <c r="L115" s="12" t="n">
        <f aca="false">MAX(F115-H115,0)*D115</f>
        <v>0</v>
      </c>
      <c r="M115" s="12" t="n">
        <f aca="false">MAX(G115-E115,0)*D115</f>
        <v>0</v>
      </c>
      <c r="N115" s="12" t="n">
        <f aca="false">MAX(H115-F115,0)*D115</f>
        <v>332.28</v>
      </c>
      <c r="O115" s="26" t="n">
        <f aca="false">IFERROR(E115/DEMAND_MODEL!K115,999)</f>
        <v>20.125</v>
      </c>
      <c r="P115" s="26" t="n">
        <f aca="false">IFERROR(F115/DEMAND_MODEL!L115,999)</f>
        <v>0</v>
      </c>
    </row>
    <row r="116" customFormat="false" ht="15" hidden="false" customHeight="false" outlineLevel="0" collapsed="false">
      <c r="A116" s="5" t="n">
        <f aca="false">ITEM_MASTER_CLEAN!A116</f>
        <v>115</v>
      </c>
      <c r="B116" s="5" t="n">
        <f aca="false">ITEM_MASTER_CLEAN!B116</f>
        <v>19598</v>
      </c>
      <c r="C116" s="5" t="str">
        <f aca="false">ITEM_MASTER_CLEAN!C116</f>
        <v>MTY DIP DULCE DE LECHE 6X1K</v>
      </c>
      <c r="D116" s="12" t="n">
        <f aca="false">ITEM_MASTER_CLEAN!F116</f>
        <v>46.84</v>
      </c>
      <c r="E116" s="5" t="n">
        <f aca="false">ITEM_MASTER_CLEAN!H116</f>
        <v>7</v>
      </c>
      <c r="F116" s="5" t="n">
        <f aca="false">ITEM_MASTER_CLEAN!I116</f>
        <v>4</v>
      </c>
      <c r="G116" s="5" t="n">
        <f aca="false">PAR_LEVELS!J116</f>
        <v>13</v>
      </c>
      <c r="H116" s="5" t="n">
        <f aca="false">PAR_LEVELS!K116</f>
        <v>7.42857142857143</v>
      </c>
      <c r="I116" s="12" t="n">
        <f aca="false">E116*D116</f>
        <v>327.88</v>
      </c>
      <c r="J116" s="12" t="n">
        <f aca="false">F116*D116</f>
        <v>187.36</v>
      </c>
      <c r="K116" s="12" t="n">
        <f aca="false">MAX(E116-G116,0)*D116</f>
        <v>0</v>
      </c>
      <c r="L116" s="12" t="n">
        <f aca="false">MAX(F116-H116,0)*D116</f>
        <v>0</v>
      </c>
      <c r="M116" s="12" t="n">
        <f aca="false">MAX(G116-E116,0)*D116</f>
        <v>281.04</v>
      </c>
      <c r="N116" s="12" t="n">
        <f aca="false">MAX(H116-F116,0)*D116</f>
        <v>160.594285714286</v>
      </c>
      <c r="O116" s="26" t="n">
        <f aca="false">IFERROR(E116/DEMAND_MODEL!K116,999)</f>
        <v>7</v>
      </c>
      <c r="P116" s="26" t="n">
        <f aca="false">IFERROR(F116/DEMAND_MODEL!L116,999)</f>
        <v>7</v>
      </c>
    </row>
    <row r="117" customFormat="false" ht="15" hidden="false" customHeight="false" outlineLevel="0" collapsed="false">
      <c r="A117" s="5" t="n">
        <f aca="false">ITEM_MASTER_CLEAN!A117</f>
        <v>116</v>
      </c>
      <c r="B117" s="5" t="n">
        <f aca="false">ITEM_MASTER_CLEAN!B117</f>
        <v>12603</v>
      </c>
      <c r="C117" s="5" t="str">
        <f aca="false">ITEM_MASTER_CLEAN!C117</f>
        <v>MTY DIP MILK CHOCOLATE 6X1K</v>
      </c>
      <c r="D117" s="12" t="n">
        <f aca="false">ITEM_MASTER_CLEAN!F117</f>
        <v>41.02</v>
      </c>
      <c r="E117" s="5" t="n">
        <f aca="false">ITEM_MASTER_CLEAN!H117</f>
        <v>26</v>
      </c>
      <c r="F117" s="5" t="n">
        <f aca="false">ITEM_MASTER_CLEAN!I117</f>
        <v>0</v>
      </c>
      <c r="G117" s="5" t="n">
        <f aca="false">PAR_LEVELS!J117</f>
        <v>13</v>
      </c>
      <c r="H117" s="5" t="n">
        <f aca="false">PAR_LEVELS!K117</f>
        <v>7.42857142857143</v>
      </c>
      <c r="I117" s="12" t="n">
        <f aca="false">E117*D117</f>
        <v>1066.52</v>
      </c>
      <c r="J117" s="12" t="n">
        <f aca="false">F117*D117</f>
        <v>0</v>
      </c>
      <c r="K117" s="12" t="n">
        <f aca="false">MAX(E117-G117,0)*D117</f>
        <v>533.26</v>
      </c>
      <c r="L117" s="12" t="n">
        <f aca="false">MAX(F117-H117,0)*D117</f>
        <v>0</v>
      </c>
      <c r="M117" s="12" t="n">
        <f aca="false">MAX(G117-E117,0)*D117</f>
        <v>0</v>
      </c>
      <c r="N117" s="12" t="n">
        <f aca="false">MAX(H117-F117,0)*D117</f>
        <v>304.72</v>
      </c>
      <c r="O117" s="26" t="n">
        <f aca="false">IFERROR(E117/DEMAND_MODEL!K117,999)</f>
        <v>26</v>
      </c>
      <c r="P117" s="26" t="n">
        <f aca="false">IFERROR(F117/DEMAND_MODEL!L117,999)</f>
        <v>0</v>
      </c>
    </row>
    <row r="118" customFormat="false" ht="15" hidden="false" customHeight="false" outlineLevel="0" collapsed="false">
      <c r="A118" s="5" t="n">
        <f aca="false">ITEM_MASTER_CLEAN!A118</f>
        <v>117</v>
      </c>
      <c r="B118" s="5" t="n">
        <f aca="false">ITEM_MASTER_CLEAN!B118</f>
        <v>24475</v>
      </c>
      <c r="C118" s="5" t="str">
        <f aca="false">ITEM_MASTER_CLEAN!C118</f>
        <v>MTY DIP IRISH CRM BAILEYS WH 6X1K</v>
      </c>
      <c r="D118" s="12" t="n">
        <f aca="false">ITEM_MASTER_CLEAN!F118</f>
        <v>42.54</v>
      </c>
      <c r="E118" s="5" t="n">
        <f aca="false">ITEM_MASTER_CLEAN!H118</f>
        <v>2</v>
      </c>
      <c r="F118" s="5" t="n">
        <f aca="false">ITEM_MASTER_CLEAN!I118</f>
        <v>19</v>
      </c>
      <c r="G118" s="5" t="n">
        <f aca="false">PAR_LEVELS!J118</f>
        <v>14.8571428571429</v>
      </c>
      <c r="H118" s="5" t="n">
        <f aca="false">PAR_LEVELS!K118</f>
        <v>11.1428571428571</v>
      </c>
      <c r="I118" s="12" t="n">
        <f aca="false">E118*D118</f>
        <v>85.08</v>
      </c>
      <c r="J118" s="12" t="n">
        <f aca="false">F118*D118</f>
        <v>808.26</v>
      </c>
      <c r="K118" s="12" t="n">
        <f aca="false">MAX(E118-G118,0)*D118</f>
        <v>0</v>
      </c>
      <c r="L118" s="12" t="n">
        <f aca="false">MAX(F118-H118,0)*D118</f>
        <v>334.242857142857</v>
      </c>
      <c r="M118" s="12" t="n">
        <f aca="false">MAX(G118-E118,0)*D118</f>
        <v>546.942857142857</v>
      </c>
      <c r="N118" s="12" t="n">
        <f aca="false">MAX(H118-F118,0)*D118</f>
        <v>0</v>
      </c>
      <c r="O118" s="26" t="n">
        <f aca="false">IFERROR(E118/DEMAND_MODEL!K118,999)</f>
        <v>1.75</v>
      </c>
      <c r="P118" s="26" t="n">
        <f aca="false">IFERROR(F118/DEMAND_MODEL!L118,999)</f>
        <v>22.1666666666667</v>
      </c>
    </row>
    <row r="119" customFormat="false" ht="15" hidden="false" customHeight="false" outlineLevel="0" collapsed="false">
      <c r="A119" s="5" t="n">
        <f aca="false">ITEM_MASTER_CLEAN!A119</f>
        <v>118</v>
      </c>
      <c r="B119" s="5" t="n">
        <f aca="false">ITEM_MASTER_CLEAN!B119</f>
        <v>12558</v>
      </c>
      <c r="C119" s="5" t="str">
        <f aca="false">ITEM_MASTER_CLEAN!C119</f>
        <v>MTY DIP ESPRESSO 6X1KG</v>
      </c>
      <c r="D119" s="12" t="n">
        <f aca="false">ITEM_MASTER_CLEAN!F119</f>
        <v>47.52</v>
      </c>
      <c r="E119" s="5" t="n">
        <f aca="false">ITEM_MASTER_CLEAN!H119</f>
        <v>5</v>
      </c>
      <c r="F119" s="5" t="n">
        <f aca="false">ITEM_MASTER_CLEAN!I119</f>
        <v>6</v>
      </c>
      <c r="G119" s="5" t="n">
        <f aca="false">PAR_LEVELS!J119</f>
        <v>5.57142857142857</v>
      </c>
      <c r="H119" s="5" t="n">
        <f aca="false">PAR_LEVELS!K119</f>
        <v>7.42857142857143</v>
      </c>
      <c r="I119" s="12" t="n">
        <f aca="false">E119*D119</f>
        <v>237.6</v>
      </c>
      <c r="J119" s="12" t="n">
        <f aca="false">F119*D119</f>
        <v>285.12</v>
      </c>
      <c r="K119" s="12" t="n">
        <f aca="false">MAX(E119-G119,0)*D119</f>
        <v>0</v>
      </c>
      <c r="L119" s="12" t="n">
        <f aca="false">MAX(F119-H119,0)*D119</f>
        <v>0</v>
      </c>
      <c r="M119" s="12" t="n">
        <f aca="false">MAX(G119-E119,0)*D119</f>
        <v>27.1542857142857</v>
      </c>
      <c r="N119" s="12" t="n">
        <f aca="false">MAX(H119-F119,0)*D119</f>
        <v>67.8857142857143</v>
      </c>
      <c r="O119" s="26" t="n">
        <f aca="false">IFERROR(E119/DEMAND_MODEL!K119,999)</f>
        <v>11.6666666666667</v>
      </c>
      <c r="P119" s="26" t="n">
        <f aca="false">IFERROR(F119/DEMAND_MODEL!L119,999)</f>
        <v>10.5</v>
      </c>
    </row>
    <row r="120" customFormat="false" ht="15" hidden="false" customHeight="false" outlineLevel="0" collapsed="false">
      <c r="A120" s="5" t="n">
        <f aca="false">ITEM_MASTER_CLEAN!A120</f>
        <v>119</v>
      </c>
      <c r="B120" s="5" t="n">
        <f aca="false">ITEM_MASTER_CLEAN!B120</f>
        <v>12582</v>
      </c>
      <c r="C120" s="5" t="str">
        <f aca="false">ITEM_MASTER_CLEAN!C120</f>
        <v>MTY DIP FLEUR DE SEL DARK 6X1K</v>
      </c>
      <c r="D120" s="12" t="n">
        <f aca="false">ITEM_MASTER_CLEAN!F120</f>
        <v>41.67</v>
      </c>
      <c r="E120" s="5" t="n">
        <f aca="false">ITEM_MASTER_CLEAN!H120</f>
        <v>1</v>
      </c>
      <c r="F120" s="5" t="n">
        <f aca="false">ITEM_MASTER_CLEAN!I120</f>
        <v>11</v>
      </c>
      <c r="G120" s="5" t="n">
        <f aca="false">PAR_LEVELS!J120</f>
        <v>7.42857142857143</v>
      </c>
      <c r="H120" s="5" t="n">
        <f aca="false">PAR_LEVELS!K120</f>
        <v>7.42857142857143</v>
      </c>
      <c r="I120" s="12" t="n">
        <f aca="false">E120*D120</f>
        <v>41.67</v>
      </c>
      <c r="J120" s="12" t="n">
        <f aca="false">F120*D120</f>
        <v>458.37</v>
      </c>
      <c r="K120" s="12" t="n">
        <f aca="false">MAX(E120-G120,0)*D120</f>
        <v>0</v>
      </c>
      <c r="L120" s="12" t="n">
        <f aca="false">MAX(F120-H120,0)*D120</f>
        <v>148.821428571429</v>
      </c>
      <c r="M120" s="12" t="n">
        <f aca="false">MAX(G120-E120,0)*D120</f>
        <v>267.878571428571</v>
      </c>
      <c r="N120" s="12" t="n">
        <f aca="false">MAX(H120-F120,0)*D120</f>
        <v>0</v>
      </c>
      <c r="O120" s="26" t="n">
        <f aca="false">IFERROR(E120/DEMAND_MODEL!K120,999)</f>
        <v>1.75</v>
      </c>
      <c r="P120" s="26" t="n">
        <f aca="false">IFERROR(F120/DEMAND_MODEL!L120,999)</f>
        <v>19.25</v>
      </c>
    </row>
    <row r="121" customFormat="false" ht="15" hidden="false" customHeight="false" outlineLevel="0" collapsed="false">
      <c r="A121" s="5" t="n">
        <f aca="false">ITEM_MASTER_CLEAN!A121</f>
        <v>120</v>
      </c>
      <c r="B121" s="5" t="n">
        <f aca="false">ITEM_MASTER_CLEAN!B121</f>
        <v>24435</v>
      </c>
      <c r="C121" s="5" t="str">
        <f aca="false">ITEM_MASTER_CLEAN!C121</f>
        <v>MTY DIP STRAWBERRY CREAM 6X1K</v>
      </c>
      <c r="D121" s="12" t="n">
        <f aca="false">ITEM_MASTER_CLEAN!F121</f>
        <v>18.51</v>
      </c>
      <c r="E121" s="5" t="n">
        <f aca="false">ITEM_MASTER_CLEAN!H121</f>
        <v>7</v>
      </c>
      <c r="F121" s="5" t="n">
        <f aca="false">ITEM_MASTER_CLEAN!I121</f>
        <v>3</v>
      </c>
      <c r="G121" s="5" t="n">
        <f aca="false">PAR_LEVELS!J121</f>
        <v>9.28571428571429</v>
      </c>
      <c r="H121" s="5" t="n">
        <f aca="false">PAR_LEVELS!K121</f>
        <v>5.57142857142857</v>
      </c>
      <c r="I121" s="12" t="n">
        <f aca="false">E121*D121</f>
        <v>129.57</v>
      </c>
      <c r="J121" s="12" t="n">
        <f aca="false">F121*D121</f>
        <v>55.53</v>
      </c>
      <c r="K121" s="12" t="n">
        <f aca="false">MAX(E121-G121,0)*D121</f>
        <v>0</v>
      </c>
      <c r="L121" s="12" t="n">
        <f aca="false">MAX(F121-H121,0)*D121</f>
        <v>0</v>
      </c>
      <c r="M121" s="12" t="n">
        <f aca="false">MAX(G121-E121,0)*D121</f>
        <v>42.3085714285715</v>
      </c>
      <c r="N121" s="12" t="n">
        <f aca="false">MAX(H121-F121,0)*D121</f>
        <v>47.5971428571429</v>
      </c>
      <c r="O121" s="26" t="n">
        <f aca="false">IFERROR(E121/DEMAND_MODEL!K121,999)</f>
        <v>9.8</v>
      </c>
      <c r="P121" s="26" t="n">
        <f aca="false">IFERROR(F121/DEMAND_MODEL!L121,999)</f>
        <v>7</v>
      </c>
    </row>
    <row r="122" customFormat="false" ht="15" hidden="false" customHeight="false" outlineLevel="0" collapsed="false">
      <c r="A122" s="5" t="n">
        <f aca="false">ITEM_MASTER_CLEAN!A122</f>
        <v>121</v>
      </c>
      <c r="B122" s="5" t="n">
        <f aca="false">ITEM_MASTER_CLEAN!B122</f>
        <v>24768</v>
      </c>
      <c r="C122" s="5" t="str">
        <f aca="false">ITEM_MASTER_CLEAN!C122</f>
        <v>MTY DIP CHEESE CAKE 6X1K</v>
      </c>
      <c r="D122" s="12" t="n">
        <f aca="false">ITEM_MASTER_CLEAN!F122</f>
        <v>43.86</v>
      </c>
      <c r="E122" s="5" t="n">
        <f aca="false">ITEM_MASTER_CLEAN!H122</f>
        <v>0</v>
      </c>
      <c r="F122" s="5" t="n">
        <f aca="false">ITEM_MASTER_CLEAN!I122</f>
        <v>11</v>
      </c>
      <c r="G122" s="5" t="n">
        <f aca="false">PAR_LEVELS!J122</f>
        <v>7.42857142857143</v>
      </c>
      <c r="H122" s="5" t="n">
        <f aca="false">PAR_LEVELS!K122</f>
        <v>7.42857142857143</v>
      </c>
      <c r="I122" s="12" t="n">
        <f aca="false">E122*D122</f>
        <v>0</v>
      </c>
      <c r="J122" s="12" t="n">
        <f aca="false">F122*D122</f>
        <v>482.46</v>
      </c>
      <c r="K122" s="12" t="n">
        <f aca="false">MAX(E122-G122,0)*D122</f>
        <v>0</v>
      </c>
      <c r="L122" s="12" t="n">
        <f aca="false">MAX(F122-H122,0)*D122</f>
        <v>156.642857142857</v>
      </c>
      <c r="M122" s="12" t="n">
        <f aca="false">MAX(G122-E122,0)*D122</f>
        <v>325.817142857143</v>
      </c>
      <c r="N122" s="12" t="n">
        <f aca="false">MAX(H122-F122,0)*D122</f>
        <v>0</v>
      </c>
      <c r="O122" s="26" t="n">
        <f aca="false">IFERROR(E122/DEMAND_MODEL!K122,999)</f>
        <v>0</v>
      </c>
      <c r="P122" s="26" t="n">
        <f aca="false">IFERROR(F122/DEMAND_MODEL!L122,999)</f>
        <v>19.25</v>
      </c>
    </row>
    <row r="123" customFormat="false" ht="15" hidden="false" customHeight="false" outlineLevel="0" collapsed="false">
      <c r="A123" s="5" t="n">
        <f aca="false">ITEM_MASTER_CLEAN!A123</f>
        <v>122</v>
      </c>
      <c r="B123" s="5" t="n">
        <f aca="false">ITEM_MASTER_CLEAN!B123</f>
        <v>24777</v>
      </c>
      <c r="C123" s="5" t="str">
        <f aca="false">ITEM_MASTER_CLEAN!C123</f>
        <v>MTY DIP BIRTHDAY CAKE  6X1K</v>
      </c>
      <c r="D123" s="12" t="n">
        <f aca="false">ITEM_MASTER_CLEAN!F123</f>
        <v>39.74</v>
      </c>
      <c r="E123" s="5" t="n">
        <f aca="false">ITEM_MASTER_CLEAN!H123</f>
        <v>1</v>
      </c>
      <c r="F123" s="5" t="n">
        <f aca="false">ITEM_MASTER_CLEAN!I123</f>
        <v>5</v>
      </c>
      <c r="G123" s="5" t="n">
        <f aca="false">PAR_LEVELS!J123</f>
        <v>14.8571428571429</v>
      </c>
      <c r="H123" s="5" t="n">
        <f aca="false">PAR_LEVELS!K123</f>
        <v>3.71428571428571</v>
      </c>
      <c r="I123" s="12" t="n">
        <f aca="false">E123*D123</f>
        <v>39.74</v>
      </c>
      <c r="J123" s="12" t="n">
        <f aca="false">F123*D123</f>
        <v>198.7</v>
      </c>
      <c r="K123" s="12" t="n">
        <f aca="false">MAX(E123-G123,0)*D123</f>
        <v>0</v>
      </c>
      <c r="L123" s="12" t="n">
        <f aca="false">MAX(F123-H123,0)*D123</f>
        <v>51.0942857142857</v>
      </c>
      <c r="M123" s="12" t="n">
        <f aca="false">MAX(G123-E123,0)*D123</f>
        <v>550.682857142857</v>
      </c>
      <c r="N123" s="12" t="n">
        <f aca="false">MAX(H123-F123,0)*D123</f>
        <v>0</v>
      </c>
      <c r="O123" s="26" t="n">
        <f aca="false">IFERROR(E123/DEMAND_MODEL!K123,999)</f>
        <v>0.875</v>
      </c>
      <c r="P123" s="26" t="n">
        <f aca="false">IFERROR(F123/DEMAND_MODEL!L123,999)</f>
        <v>17.5</v>
      </c>
    </row>
    <row r="124" customFormat="false" ht="15" hidden="false" customHeight="false" outlineLevel="0" collapsed="false">
      <c r="A124" s="5" t="n">
        <f aca="false">ITEM_MASTER_CLEAN!A124</f>
        <v>123</v>
      </c>
      <c r="B124" s="5" t="n">
        <f aca="false">ITEM_MASTER_CLEAN!B124</f>
        <v>24766</v>
      </c>
      <c r="C124" s="5" t="str">
        <f aca="false">ITEM_MASTER_CLEAN!C124</f>
        <v>MTY DIP LEMONADE 6X1K</v>
      </c>
      <c r="D124" s="12" t="n">
        <f aca="false">ITEM_MASTER_CLEAN!F124</f>
        <v>42.21</v>
      </c>
      <c r="E124" s="5" t="n">
        <f aca="false">ITEM_MASTER_CLEAN!H124</f>
        <v>9</v>
      </c>
      <c r="F124" s="5" t="n">
        <f aca="false">ITEM_MASTER_CLEAN!I124</f>
        <v>0</v>
      </c>
      <c r="G124" s="5" t="n">
        <f aca="false">PAR_LEVELS!J124</f>
        <v>5.57142857142857</v>
      </c>
      <c r="H124" s="5" t="n">
        <f aca="false">PAR_LEVELS!K124</f>
        <v>3.71428571428571</v>
      </c>
      <c r="I124" s="12" t="n">
        <f aca="false">E124*D124</f>
        <v>379.89</v>
      </c>
      <c r="J124" s="12" t="n">
        <f aca="false">F124*D124</f>
        <v>0</v>
      </c>
      <c r="K124" s="12" t="n">
        <f aca="false">MAX(E124-G124,0)*D124</f>
        <v>144.72</v>
      </c>
      <c r="L124" s="12" t="n">
        <f aca="false">MAX(F124-H124,0)*D124</f>
        <v>0</v>
      </c>
      <c r="M124" s="12" t="n">
        <f aca="false">MAX(G124-E124,0)*D124</f>
        <v>0</v>
      </c>
      <c r="N124" s="12" t="n">
        <f aca="false">MAX(H124-F124,0)*D124</f>
        <v>156.78</v>
      </c>
      <c r="O124" s="26" t="n">
        <f aca="false">IFERROR(E124/DEMAND_MODEL!K124,999)</f>
        <v>21</v>
      </c>
      <c r="P124" s="26" t="n">
        <f aca="false">IFERROR(F124/DEMAND_MODEL!L124,999)</f>
        <v>0</v>
      </c>
    </row>
    <row r="125" customFormat="false" ht="15" hidden="false" customHeight="false" outlineLevel="0" collapsed="false">
      <c r="A125" s="5" t="n">
        <f aca="false">ITEM_MASTER_CLEAN!A125</f>
        <v>124</v>
      </c>
      <c r="B125" s="5" t="n">
        <f aca="false">ITEM_MASTER_CLEAN!B125</f>
        <v>12584</v>
      </c>
      <c r="C125" s="5" t="str">
        <f aca="false">ITEM_MASTER_CLEAN!C125</f>
        <v>MTY DIP MANGO 6X1K</v>
      </c>
      <c r="D125" s="12" t="n">
        <f aca="false">ITEM_MASTER_CLEAN!F125</f>
        <v>38.43</v>
      </c>
      <c r="E125" s="5" t="n">
        <f aca="false">ITEM_MASTER_CLEAN!H125</f>
        <v>4</v>
      </c>
      <c r="F125" s="5" t="n">
        <f aca="false">ITEM_MASTER_CLEAN!I125</f>
        <v>1</v>
      </c>
      <c r="G125" s="5" t="n">
        <f aca="false">PAR_LEVELS!J125</f>
        <v>14.8571428571429</v>
      </c>
      <c r="H125" s="5" t="n">
        <f aca="false">PAR_LEVELS!K125</f>
        <v>11.1428571428571</v>
      </c>
      <c r="I125" s="12" t="n">
        <f aca="false">E125*D125</f>
        <v>153.72</v>
      </c>
      <c r="J125" s="12" t="n">
        <f aca="false">F125*D125</f>
        <v>38.43</v>
      </c>
      <c r="K125" s="12" t="n">
        <f aca="false">MAX(E125-G125,0)*D125</f>
        <v>0</v>
      </c>
      <c r="L125" s="12" t="n">
        <f aca="false">MAX(F125-H125,0)*D125</f>
        <v>0</v>
      </c>
      <c r="M125" s="12" t="n">
        <f aca="false">MAX(G125-E125,0)*D125</f>
        <v>417.24</v>
      </c>
      <c r="N125" s="12" t="n">
        <f aca="false">MAX(H125-F125,0)*D125</f>
        <v>389.79</v>
      </c>
      <c r="O125" s="26" t="n">
        <f aca="false">IFERROR(E125/DEMAND_MODEL!K125,999)</f>
        <v>3.5</v>
      </c>
      <c r="P125" s="26" t="n">
        <f aca="false">IFERROR(F125/DEMAND_MODEL!L125,999)</f>
        <v>1.16666666666667</v>
      </c>
    </row>
    <row r="126" customFormat="false" ht="15" hidden="false" customHeight="false" outlineLevel="0" collapsed="false">
      <c r="A126" s="5" t="n">
        <f aca="false">ITEM_MASTER_CLEAN!A126</f>
        <v>125</v>
      </c>
      <c r="B126" s="5" t="n">
        <f aca="false">ITEM_MASTER_CLEAN!B126</f>
        <v>24763</v>
      </c>
      <c r="C126" s="5" t="str">
        <f aca="false">ITEM_MASTER_CLEAN!C126</f>
        <v>MTY MINT DARK CHOC  6X1K</v>
      </c>
      <c r="D126" s="12" t="n">
        <f aca="false">ITEM_MASTER_CLEAN!F126</f>
        <v>42.26</v>
      </c>
      <c r="E126" s="5" t="n">
        <f aca="false">ITEM_MASTER_CLEAN!H126</f>
        <v>24</v>
      </c>
      <c r="F126" s="5" t="n">
        <f aca="false">ITEM_MASTER_CLEAN!I126</f>
        <v>1</v>
      </c>
      <c r="G126" s="5" t="n">
        <f aca="false">PAR_LEVELS!J126</f>
        <v>13</v>
      </c>
      <c r="H126" s="5" t="n">
        <f aca="false">PAR_LEVELS!K126</f>
        <v>5.57142857142857</v>
      </c>
      <c r="I126" s="12" t="n">
        <f aca="false">E126*D126</f>
        <v>1014.24</v>
      </c>
      <c r="J126" s="12" t="n">
        <f aca="false">F126*D126</f>
        <v>42.26</v>
      </c>
      <c r="K126" s="12" t="n">
        <f aca="false">MAX(E126-G126,0)*D126</f>
        <v>464.86</v>
      </c>
      <c r="L126" s="12" t="n">
        <f aca="false">MAX(F126-H126,0)*D126</f>
        <v>0</v>
      </c>
      <c r="M126" s="12" t="n">
        <f aca="false">MAX(G126-E126,0)*D126</f>
        <v>0</v>
      </c>
      <c r="N126" s="12" t="n">
        <f aca="false">MAX(H126-F126,0)*D126</f>
        <v>193.188571428571</v>
      </c>
      <c r="O126" s="26" t="n">
        <f aca="false">IFERROR(E126/DEMAND_MODEL!K126,999)</f>
        <v>24</v>
      </c>
      <c r="P126" s="26" t="n">
        <f aca="false">IFERROR(F126/DEMAND_MODEL!L126,999)</f>
        <v>2.33333333333333</v>
      </c>
    </row>
    <row r="127" customFormat="false" ht="15" hidden="false" customHeight="false" outlineLevel="0" collapsed="false">
      <c r="A127" s="5" t="n">
        <f aca="false">ITEM_MASTER_CLEAN!A127</f>
        <v>126</v>
      </c>
      <c r="B127" s="5" t="n">
        <f aca="false">ITEM_MASTER_CLEAN!B127</f>
        <v>24761</v>
      </c>
      <c r="C127" s="5" t="str">
        <f aca="false">ITEM_MASTER_CLEAN!C127</f>
        <v>MTY DIP ORANGE SORBET 6X1K</v>
      </c>
      <c r="D127" s="12" t="n">
        <f aca="false">ITEM_MASTER_CLEAN!F127</f>
        <v>45.12</v>
      </c>
      <c r="E127" s="5" t="n">
        <f aca="false">ITEM_MASTER_CLEAN!H127</f>
        <v>21</v>
      </c>
      <c r="F127" s="5" t="n">
        <f aca="false">ITEM_MASTER_CLEAN!I127</f>
        <v>2</v>
      </c>
      <c r="G127" s="5" t="n">
        <f aca="false">PAR_LEVELS!J127</f>
        <v>11.1428571428571</v>
      </c>
      <c r="H127" s="5" t="n">
        <f aca="false">PAR_LEVELS!K127</f>
        <v>11.1428571428571</v>
      </c>
      <c r="I127" s="12" t="n">
        <f aca="false">E127*D127</f>
        <v>947.52</v>
      </c>
      <c r="J127" s="12" t="n">
        <f aca="false">F127*D127</f>
        <v>90.24</v>
      </c>
      <c r="K127" s="12" t="n">
        <f aca="false">MAX(E127-G127,0)*D127</f>
        <v>444.754285714286</v>
      </c>
      <c r="L127" s="12" t="n">
        <f aca="false">MAX(F127-H127,0)*D127</f>
        <v>0</v>
      </c>
      <c r="M127" s="12" t="n">
        <f aca="false">MAX(G127-E127,0)*D127</f>
        <v>0</v>
      </c>
      <c r="N127" s="12" t="n">
        <f aca="false">MAX(H127-F127,0)*D127</f>
        <v>412.525714285714</v>
      </c>
      <c r="O127" s="26" t="n">
        <f aca="false">IFERROR(E127/DEMAND_MODEL!K127,999)</f>
        <v>24.5</v>
      </c>
      <c r="P127" s="26" t="n">
        <f aca="false">IFERROR(F127/DEMAND_MODEL!L127,999)</f>
        <v>2.33333333333333</v>
      </c>
    </row>
    <row r="128" customFormat="false" ht="15" hidden="false" customHeight="false" outlineLevel="0" collapsed="false">
      <c r="A128" s="5" t="n">
        <f aca="false">ITEM_MASTER_CLEAN!A128</f>
        <v>127</v>
      </c>
      <c r="B128" s="5" t="n">
        <f aca="false">ITEM_MASTER_CLEAN!B128</f>
        <v>24822</v>
      </c>
      <c r="C128" s="5" t="str">
        <f aca="false">ITEM_MASTER_CLEAN!C128</f>
        <v>MTY DIP OREO 6X1K</v>
      </c>
      <c r="D128" s="12" t="n">
        <f aca="false">ITEM_MASTER_CLEAN!F128</f>
        <v>45.02</v>
      </c>
      <c r="E128" s="5" t="n">
        <f aca="false">ITEM_MASTER_CLEAN!H128</f>
        <v>5</v>
      </c>
      <c r="F128" s="5" t="n">
        <f aca="false">ITEM_MASTER_CLEAN!I128</f>
        <v>1</v>
      </c>
      <c r="G128" s="5" t="n">
        <f aca="false">PAR_LEVELS!J128</f>
        <v>13</v>
      </c>
      <c r="H128" s="5" t="n">
        <f aca="false">PAR_LEVELS!K128</f>
        <v>5.57142857142857</v>
      </c>
      <c r="I128" s="12" t="n">
        <f aca="false">E128*D128</f>
        <v>225.1</v>
      </c>
      <c r="J128" s="12" t="n">
        <f aca="false">F128*D128</f>
        <v>45.02</v>
      </c>
      <c r="K128" s="12" t="n">
        <f aca="false">MAX(E128-G128,0)*D128</f>
        <v>0</v>
      </c>
      <c r="L128" s="12" t="n">
        <f aca="false">MAX(F128-H128,0)*D128</f>
        <v>0</v>
      </c>
      <c r="M128" s="12" t="n">
        <f aca="false">MAX(G128-E128,0)*D128</f>
        <v>360.16</v>
      </c>
      <c r="N128" s="12" t="n">
        <f aca="false">MAX(H128-F128,0)*D128</f>
        <v>205.805714285714</v>
      </c>
      <c r="O128" s="26" t="n">
        <f aca="false">IFERROR(E128/DEMAND_MODEL!K128,999)</f>
        <v>5</v>
      </c>
      <c r="P128" s="26" t="n">
        <f aca="false">IFERROR(F128/DEMAND_MODEL!L128,999)</f>
        <v>2.33333333333333</v>
      </c>
    </row>
    <row r="129" customFormat="false" ht="15" hidden="false" customHeight="false" outlineLevel="0" collapsed="false">
      <c r="A129" s="5" t="n">
        <f aca="false">ITEM_MASTER_CLEAN!A129</f>
        <v>128</v>
      </c>
      <c r="B129" s="5" t="n">
        <f aca="false">ITEM_MASTER_CLEAN!B129</f>
        <v>19648</v>
      </c>
      <c r="C129" s="5" t="str">
        <f aca="false">ITEM_MASTER_CLEAN!C129</f>
        <v>MTY DIP COOKIE DOUGH 6X1K</v>
      </c>
      <c r="D129" s="12" t="n">
        <f aca="false">ITEM_MASTER_CLEAN!F129</f>
        <v>45.3</v>
      </c>
      <c r="E129" s="5" t="n">
        <f aca="false">ITEM_MASTER_CLEAN!H129</f>
        <v>1</v>
      </c>
      <c r="F129" s="5" t="n">
        <f aca="false">ITEM_MASTER_CLEAN!I129</f>
        <v>3</v>
      </c>
      <c r="G129" s="5" t="n">
        <f aca="false">PAR_LEVELS!J129</f>
        <v>9.28571428571429</v>
      </c>
      <c r="H129" s="5" t="n">
        <f aca="false">PAR_LEVELS!K129</f>
        <v>9.28571428571429</v>
      </c>
      <c r="I129" s="12" t="n">
        <f aca="false">E129*D129</f>
        <v>45.3</v>
      </c>
      <c r="J129" s="12" t="n">
        <f aca="false">F129*D129</f>
        <v>135.9</v>
      </c>
      <c r="K129" s="12" t="n">
        <f aca="false">MAX(E129-G129,0)*D129</f>
        <v>0</v>
      </c>
      <c r="L129" s="12" t="n">
        <f aca="false">MAX(F129-H129,0)*D129</f>
        <v>0</v>
      </c>
      <c r="M129" s="12" t="n">
        <f aca="false">MAX(G129-E129,0)*D129</f>
        <v>375.342857142857</v>
      </c>
      <c r="N129" s="12" t="n">
        <f aca="false">MAX(H129-F129,0)*D129</f>
        <v>284.742857142857</v>
      </c>
      <c r="O129" s="26" t="n">
        <f aca="false">IFERROR(E129/DEMAND_MODEL!K129,999)</f>
        <v>1.4</v>
      </c>
      <c r="P129" s="26" t="n">
        <f aca="false">IFERROR(F129/DEMAND_MODEL!L129,999)</f>
        <v>4.2</v>
      </c>
    </row>
    <row r="130" customFormat="false" ht="15" hidden="false" customHeight="false" outlineLevel="0" collapsed="false">
      <c r="A130" s="5" t="n">
        <f aca="false">ITEM_MASTER_CLEAN!A130</f>
        <v>129</v>
      </c>
      <c r="B130" s="5" t="n">
        <f aca="false">ITEM_MASTER_CLEAN!B130</f>
        <v>24762</v>
      </c>
      <c r="C130" s="5" t="str">
        <f aca="false">ITEM_MASTER_CLEAN!C130</f>
        <v>MTY DIP PISTACHIO 6X1K</v>
      </c>
      <c r="D130" s="12" t="n">
        <f aca="false">ITEM_MASTER_CLEAN!F130</f>
        <v>38.91</v>
      </c>
      <c r="E130" s="5" t="n">
        <f aca="false">ITEM_MASTER_CLEAN!H130</f>
        <v>8</v>
      </c>
      <c r="F130" s="5" t="n">
        <f aca="false">ITEM_MASTER_CLEAN!I130</f>
        <v>0</v>
      </c>
      <c r="G130" s="5" t="n">
        <f aca="false">PAR_LEVELS!J130</f>
        <v>5.57142857142857</v>
      </c>
      <c r="H130" s="5" t="n">
        <f aca="false">PAR_LEVELS!K130</f>
        <v>3.71428571428571</v>
      </c>
      <c r="I130" s="12" t="n">
        <f aca="false">E130*D130</f>
        <v>311.28</v>
      </c>
      <c r="J130" s="12" t="n">
        <f aca="false">F130*D130</f>
        <v>0</v>
      </c>
      <c r="K130" s="12" t="n">
        <f aca="false">MAX(E130-G130,0)*D130</f>
        <v>94.4957142857143</v>
      </c>
      <c r="L130" s="12" t="n">
        <f aca="false">MAX(F130-H130,0)*D130</f>
        <v>0</v>
      </c>
      <c r="M130" s="12" t="n">
        <f aca="false">MAX(G130-E130,0)*D130</f>
        <v>0</v>
      </c>
      <c r="N130" s="12" t="n">
        <f aca="false">MAX(H130-F130,0)*D130</f>
        <v>144.522857142857</v>
      </c>
      <c r="O130" s="26" t="n">
        <f aca="false">IFERROR(E130/DEMAND_MODEL!K130,999)</f>
        <v>18.6666666666667</v>
      </c>
      <c r="P130" s="26" t="n">
        <f aca="false">IFERROR(F130/DEMAND_MODEL!L130,999)</f>
        <v>0</v>
      </c>
    </row>
    <row r="131" customFormat="false" ht="15" hidden="false" customHeight="false" outlineLevel="0" collapsed="false">
      <c r="A131" s="5" t="n">
        <f aca="false">ITEM_MASTER_CLEAN!A131</f>
        <v>130</v>
      </c>
      <c r="B131" s="5" t="n">
        <f aca="false">ITEM_MASTER_CLEAN!B131</f>
        <v>19649</v>
      </c>
      <c r="C131" s="5" t="str">
        <f aca="false">ITEM_MASTER_CLEAN!C131</f>
        <v>MTY DIP PRALINE/HAZLENUT 6X1K</v>
      </c>
      <c r="D131" s="12" t="n">
        <f aca="false">ITEM_MASTER_CLEAN!F131</f>
        <v>43.62</v>
      </c>
      <c r="E131" s="5" t="n">
        <f aca="false">ITEM_MASTER_CLEAN!H131</f>
        <v>5</v>
      </c>
      <c r="F131" s="5" t="n">
        <f aca="false">ITEM_MASTER_CLEAN!I131</f>
        <v>1</v>
      </c>
      <c r="G131" s="5" t="n">
        <f aca="false">PAR_LEVELS!J131</f>
        <v>14.8571428571429</v>
      </c>
      <c r="H131" s="5" t="n">
        <f aca="false">PAR_LEVELS!K131</f>
        <v>3.71428571428571</v>
      </c>
      <c r="I131" s="12" t="n">
        <f aca="false">E131*D131</f>
        <v>218.1</v>
      </c>
      <c r="J131" s="12" t="n">
        <f aca="false">F131*D131</f>
        <v>43.62</v>
      </c>
      <c r="K131" s="12" t="n">
        <f aca="false">MAX(E131-G131,0)*D131</f>
        <v>0</v>
      </c>
      <c r="L131" s="12" t="n">
        <f aca="false">MAX(F131-H131,0)*D131</f>
        <v>0</v>
      </c>
      <c r="M131" s="12" t="n">
        <f aca="false">MAX(G131-E131,0)*D131</f>
        <v>429.968571428571</v>
      </c>
      <c r="N131" s="12" t="n">
        <f aca="false">MAX(H131-F131,0)*D131</f>
        <v>118.397142857143</v>
      </c>
      <c r="O131" s="26" t="n">
        <f aca="false">IFERROR(E131/DEMAND_MODEL!K131,999)</f>
        <v>4.375</v>
      </c>
      <c r="P131" s="26" t="n">
        <f aca="false">IFERROR(F131/DEMAND_MODEL!L131,999)</f>
        <v>3.5</v>
      </c>
    </row>
    <row r="132" customFormat="false" ht="15" hidden="false" customHeight="false" outlineLevel="0" collapsed="false">
      <c r="A132" s="5" t="n">
        <f aca="false">ITEM_MASTER_CLEAN!A132</f>
        <v>131</v>
      </c>
      <c r="B132" s="5" t="n">
        <f aca="false">ITEM_MASTER_CLEAN!B132</f>
        <v>19594</v>
      </c>
      <c r="C132" s="5" t="str">
        <f aca="false">ITEM_MASTER_CLEAN!C132</f>
        <v>MTY DIP RED VELVET 6X1K</v>
      </c>
      <c r="D132" s="12" t="n">
        <f aca="false">ITEM_MASTER_CLEAN!F132</f>
        <v>38.51</v>
      </c>
      <c r="E132" s="5" t="n">
        <f aca="false">ITEM_MASTER_CLEAN!H132</f>
        <v>16</v>
      </c>
      <c r="F132" s="5" t="n">
        <f aca="false">ITEM_MASTER_CLEAN!I132</f>
        <v>2</v>
      </c>
      <c r="G132" s="5" t="n">
        <f aca="false">PAR_LEVELS!J132</f>
        <v>9.28571428571429</v>
      </c>
      <c r="H132" s="5" t="n">
        <f aca="false">PAR_LEVELS!K132</f>
        <v>11.1428571428571</v>
      </c>
      <c r="I132" s="12" t="n">
        <f aca="false">E132*D132</f>
        <v>616.16</v>
      </c>
      <c r="J132" s="12" t="n">
        <f aca="false">F132*D132</f>
        <v>77.02</v>
      </c>
      <c r="K132" s="12" t="n">
        <f aca="false">MAX(E132-G132,0)*D132</f>
        <v>258.567142857143</v>
      </c>
      <c r="L132" s="12" t="n">
        <f aca="false">MAX(F132-H132,0)*D132</f>
        <v>0</v>
      </c>
      <c r="M132" s="12" t="n">
        <f aca="false">MAX(G132-E132,0)*D132</f>
        <v>0</v>
      </c>
      <c r="N132" s="12" t="n">
        <f aca="false">MAX(H132-F132,0)*D132</f>
        <v>352.091428571429</v>
      </c>
      <c r="O132" s="26" t="n">
        <f aca="false">IFERROR(E132/DEMAND_MODEL!K132,999)</f>
        <v>22.4</v>
      </c>
      <c r="P132" s="26" t="n">
        <f aca="false">IFERROR(F132/DEMAND_MODEL!L132,999)</f>
        <v>2.33333333333333</v>
      </c>
    </row>
    <row r="133" customFormat="false" ht="15" hidden="false" customHeight="false" outlineLevel="0" collapsed="false">
      <c r="A133" s="5" t="n">
        <f aca="false">ITEM_MASTER_CLEAN!A133</f>
        <v>132</v>
      </c>
      <c r="B133" s="5" t="n">
        <f aca="false">ITEM_MASTER_CLEAN!B133</f>
        <v>24434</v>
      </c>
      <c r="C133" s="5" t="str">
        <f aca="false">ITEM_MASTER_CLEAN!C133</f>
        <v>MTY DIP SMORES 6X1K</v>
      </c>
      <c r="D133" s="12" t="n">
        <f aca="false">ITEM_MASTER_CLEAN!F133</f>
        <v>41.5</v>
      </c>
      <c r="E133" s="5" t="n">
        <f aca="false">ITEM_MASTER_CLEAN!H133</f>
        <v>10</v>
      </c>
      <c r="F133" s="5" t="n">
        <f aca="false">ITEM_MASTER_CLEAN!I133</f>
        <v>6</v>
      </c>
      <c r="G133" s="5" t="n">
        <f aca="false">PAR_LEVELS!J133</f>
        <v>13</v>
      </c>
      <c r="H133" s="5" t="n">
        <f aca="false">PAR_LEVELS!K133</f>
        <v>7.42857142857143</v>
      </c>
      <c r="I133" s="12" t="n">
        <f aca="false">E133*D133</f>
        <v>415</v>
      </c>
      <c r="J133" s="12" t="n">
        <f aca="false">F133*D133</f>
        <v>249</v>
      </c>
      <c r="K133" s="12" t="n">
        <f aca="false">MAX(E133-G133,0)*D133</f>
        <v>0</v>
      </c>
      <c r="L133" s="12" t="n">
        <f aca="false">MAX(F133-H133,0)*D133</f>
        <v>0</v>
      </c>
      <c r="M133" s="12" t="n">
        <f aca="false">MAX(G133-E133,0)*D133</f>
        <v>124.5</v>
      </c>
      <c r="N133" s="12" t="n">
        <f aca="false">MAX(H133-F133,0)*D133</f>
        <v>59.2857142857143</v>
      </c>
      <c r="O133" s="26" t="n">
        <f aca="false">IFERROR(E133/DEMAND_MODEL!K133,999)</f>
        <v>10</v>
      </c>
      <c r="P133" s="26" t="n">
        <f aca="false">IFERROR(F133/DEMAND_MODEL!L133,999)</f>
        <v>10.5</v>
      </c>
    </row>
    <row r="134" customFormat="false" ht="15" hidden="false" customHeight="false" outlineLevel="0" collapsed="false">
      <c r="A134" s="5" t="n">
        <f aca="false">ITEM_MASTER_CLEAN!A134</f>
        <v>133</v>
      </c>
      <c r="B134" s="5" t="n">
        <f aca="false">ITEM_MASTER_CLEAN!B134</f>
        <v>19651</v>
      </c>
      <c r="C134" s="5" t="str">
        <f aca="false">ITEM_MASTER_CLEAN!C134</f>
        <v>MTY DIP BUENO 6X1K</v>
      </c>
      <c r="D134" s="12" t="n">
        <f aca="false">ITEM_MASTER_CLEAN!F134</f>
        <v>45.67</v>
      </c>
      <c r="E134" s="5" t="n">
        <f aca="false">ITEM_MASTER_CLEAN!H134</f>
        <v>28</v>
      </c>
      <c r="F134" s="5" t="n">
        <f aca="false">ITEM_MASTER_CLEAN!I134</f>
        <v>25</v>
      </c>
      <c r="G134" s="5" t="n">
        <f aca="false">PAR_LEVELS!J134</f>
        <v>13</v>
      </c>
      <c r="H134" s="5" t="n">
        <f aca="false">PAR_LEVELS!K134</f>
        <v>11.1428571428571</v>
      </c>
      <c r="I134" s="12" t="n">
        <f aca="false">E134*D134</f>
        <v>1278.76</v>
      </c>
      <c r="J134" s="12" t="n">
        <f aca="false">F134*D134</f>
        <v>1141.75</v>
      </c>
      <c r="K134" s="12" t="n">
        <f aca="false">MAX(E134-G134,0)*D134</f>
        <v>685.05</v>
      </c>
      <c r="L134" s="12" t="n">
        <f aca="false">MAX(F134-H134,0)*D134</f>
        <v>632.855714285714</v>
      </c>
      <c r="M134" s="12" t="n">
        <f aca="false">MAX(G134-E134,0)*D134</f>
        <v>0</v>
      </c>
      <c r="N134" s="12" t="n">
        <f aca="false">MAX(H134-F134,0)*D134</f>
        <v>0</v>
      </c>
      <c r="O134" s="26" t="n">
        <f aca="false">IFERROR(E134/DEMAND_MODEL!K134,999)</f>
        <v>28</v>
      </c>
      <c r="P134" s="26" t="n">
        <f aca="false">IFERROR(F134/DEMAND_MODEL!L134,999)</f>
        <v>29.1666666666667</v>
      </c>
    </row>
    <row r="135" customFormat="false" ht="15" hidden="false" customHeight="false" outlineLevel="0" collapsed="false">
      <c r="A135" s="5" t="n">
        <f aca="false">ITEM_MASTER_CLEAN!A135</f>
        <v>134</v>
      </c>
      <c r="B135" s="5" t="n">
        <f aca="false">ITEM_MASTER_CLEAN!B135</f>
        <v>19652</v>
      </c>
      <c r="C135" s="5" t="str">
        <f aca="false">ITEM_MASTER_CLEAN!C135</f>
        <v>MTY DIP LOTUS BISCOFF 6X1K</v>
      </c>
      <c r="D135" s="12" t="n">
        <f aca="false">ITEM_MASTER_CLEAN!F135</f>
        <v>38.29</v>
      </c>
      <c r="E135" s="5" t="n">
        <f aca="false">ITEM_MASTER_CLEAN!H135</f>
        <v>17</v>
      </c>
      <c r="F135" s="5" t="n">
        <f aca="false">ITEM_MASTER_CLEAN!I135</f>
        <v>0</v>
      </c>
      <c r="G135" s="5" t="n">
        <f aca="false">PAR_LEVELS!J135</f>
        <v>9.28571428571429</v>
      </c>
      <c r="H135" s="5" t="n">
        <f aca="false">PAR_LEVELS!K135</f>
        <v>7.42857142857143</v>
      </c>
      <c r="I135" s="12" t="n">
        <f aca="false">E135*D135</f>
        <v>650.93</v>
      </c>
      <c r="J135" s="12" t="n">
        <f aca="false">F135*D135</f>
        <v>0</v>
      </c>
      <c r="K135" s="12" t="n">
        <f aca="false">MAX(E135-G135,0)*D135</f>
        <v>295.38</v>
      </c>
      <c r="L135" s="12" t="n">
        <f aca="false">MAX(F135-H135,0)*D135</f>
        <v>0</v>
      </c>
      <c r="M135" s="12" t="n">
        <f aca="false">MAX(G135-E135,0)*D135</f>
        <v>0</v>
      </c>
      <c r="N135" s="12" t="n">
        <f aca="false">MAX(H135-F135,0)*D135</f>
        <v>284.44</v>
      </c>
      <c r="O135" s="26" t="n">
        <f aca="false">IFERROR(E135/DEMAND_MODEL!K135,999)</f>
        <v>23.8</v>
      </c>
      <c r="P135" s="26" t="n">
        <f aca="false">IFERROR(F135/DEMAND_MODEL!L135,999)</f>
        <v>0</v>
      </c>
    </row>
    <row r="136" customFormat="false" ht="15" hidden="false" customHeight="false" outlineLevel="0" collapsed="false">
      <c r="A136" s="5" t="n">
        <f aca="false">ITEM_MASTER_CLEAN!A136</f>
        <v>135</v>
      </c>
      <c r="B136" s="5" t="n">
        <f aca="false">ITEM_MASTER_CLEAN!B136</f>
        <v>24775</v>
      </c>
      <c r="C136" s="5" t="str">
        <f aca="false">ITEM_MASTER_CLEAN!C136</f>
        <v>MTY LIQUIFIANT 6X700G</v>
      </c>
      <c r="D136" s="12" t="n">
        <f aca="false">ITEM_MASTER_CLEAN!F136</f>
        <v>46.82</v>
      </c>
      <c r="E136" s="5" t="n">
        <f aca="false">ITEM_MASTER_CLEAN!H136</f>
        <v>6</v>
      </c>
      <c r="F136" s="5" t="n">
        <f aca="false">ITEM_MASTER_CLEAN!I136</f>
        <v>4</v>
      </c>
      <c r="G136" s="5" t="n">
        <f aca="false">PAR_LEVELS!J136</f>
        <v>7.42857142857143</v>
      </c>
      <c r="H136" s="5" t="n">
        <f aca="false">PAR_LEVELS!K136</f>
        <v>5.57142857142857</v>
      </c>
      <c r="I136" s="12" t="n">
        <f aca="false">E136*D136</f>
        <v>280.92</v>
      </c>
      <c r="J136" s="12" t="n">
        <f aca="false">F136*D136</f>
        <v>187.28</v>
      </c>
      <c r="K136" s="12" t="n">
        <f aca="false">MAX(E136-G136,0)*D136</f>
        <v>0</v>
      </c>
      <c r="L136" s="12" t="n">
        <f aca="false">MAX(F136-H136,0)*D136</f>
        <v>0</v>
      </c>
      <c r="M136" s="12" t="n">
        <f aca="false">MAX(G136-E136,0)*D136</f>
        <v>66.8857142857143</v>
      </c>
      <c r="N136" s="12" t="n">
        <f aca="false">MAX(H136-F136,0)*D136</f>
        <v>73.5742857142857</v>
      </c>
      <c r="O136" s="26" t="n">
        <f aca="false">IFERROR(E136/DEMAND_MODEL!K136,999)</f>
        <v>10.5</v>
      </c>
      <c r="P136" s="26" t="n">
        <f aca="false">IFERROR(F136/DEMAND_MODEL!L136,999)</f>
        <v>9.33333333333333</v>
      </c>
    </row>
    <row r="137" customFormat="false" ht="15" hidden="false" customHeight="false" outlineLevel="0" collapsed="false">
      <c r="A137" s="5" t="n">
        <f aca="false">ITEM_MASTER_CLEAN!A137</f>
        <v>136</v>
      </c>
      <c r="B137" s="5" t="n">
        <f aca="false">ITEM_MASTER_CLEAN!B137</f>
        <v>50346</v>
      </c>
      <c r="C137" s="5" t="str">
        <f aca="false">ITEM_MASTER_CLEAN!C137</f>
        <v>MTY CONE SOFT #55 SML 920</v>
      </c>
      <c r="D137" s="12" t="n">
        <f aca="false">ITEM_MASTER_CLEAN!F137</f>
        <v>38.97</v>
      </c>
      <c r="E137" s="5" t="n">
        <f aca="false">ITEM_MASTER_CLEAN!H137</f>
        <v>16</v>
      </c>
      <c r="F137" s="5" t="n">
        <f aca="false">ITEM_MASTER_CLEAN!I137</f>
        <v>0</v>
      </c>
      <c r="G137" s="5" t="n">
        <f aca="false">PAR_LEVELS!J137</f>
        <v>9.28571428571429</v>
      </c>
      <c r="H137" s="5" t="n">
        <f aca="false">PAR_LEVELS!K137</f>
        <v>5.57142857142857</v>
      </c>
      <c r="I137" s="12" t="n">
        <f aca="false">E137*D137</f>
        <v>623.52</v>
      </c>
      <c r="J137" s="12" t="n">
        <f aca="false">F137*D137</f>
        <v>0</v>
      </c>
      <c r="K137" s="12" t="n">
        <f aca="false">MAX(E137-G137,0)*D137</f>
        <v>261.655714285714</v>
      </c>
      <c r="L137" s="12" t="n">
        <f aca="false">MAX(F137-H137,0)*D137</f>
        <v>0</v>
      </c>
      <c r="M137" s="12" t="n">
        <f aca="false">MAX(G137-E137,0)*D137</f>
        <v>0</v>
      </c>
      <c r="N137" s="12" t="n">
        <f aca="false">MAX(H137-F137,0)*D137</f>
        <v>217.118571428571</v>
      </c>
      <c r="O137" s="26" t="n">
        <f aca="false">IFERROR(E137/DEMAND_MODEL!K137,999)</f>
        <v>22.4</v>
      </c>
      <c r="P137" s="26" t="n">
        <f aca="false">IFERROR(F137/DEMAND_MODEL!L137,999)</f>
        <v>0</v>
      </c>
    </row>
    <row r="138" customFormat="false" ht="15" hidden="false" customHeight="false" outlineLevel="0" collapsed="false">
      <c r="A138" s="5" t="n">
        <f aca="false">ITEM_MASTER_CLEAN!A138</f>
        <v>137</v>
      </c>
      <c r="B138" s="5" t="n">
        <f aca="false">ITEM_MASTER_CLEAN!B138</f>
        <v>50335</v>
      </c>
      <c r="C138" s="5" t="str">
        <f aca="false">ITEM_MASTER_CLEAN!C138</f>
        <v>MTY CONE SOFT REG #59 10X100UN</v>
      </c>
      <c r="D138" s="12" t="n">
        <f aca="false">ITEM_MASTER_CLEAN!F138</f>
        <v>34.39</v>
      </c>
      <c r="E138" s="5" t="n">
        <f aca="false">ITEM_MASTER_CLEAN!H138</f>
        <v>35</v>
      </c>
      <c r="F138" s="5" t="n">
        <f aca="false">ITEM_MASTER_CLEAN!I138</f>
        <v>1</v>
      </c>
      <c r="G138" s="5" t="n">
        <f aca="false">PAR_LEVELS!J138</f>
        <v>18.5714285714286</v>
      </c>
      <c r="H138" s="5" t="n">
        <f aca="false">PAR_LEVELS!K138</f>
        <v>9.28571428571429</v>
      </c>
      <c r="I138" s="12" t="n">
        <f aca="false">E138*D138</f>
        <v>1203.65</v>
      </c>
      <c r="J138" s="12" t="n">
        <f aca="false">F138*D138</f>
        <v>34.39</v>
      </c>
      <c r="K138" s="12" t="n">
        <f aca="false">MAX(E138-G138,0)*D138</f>
        <v>564.978571428571</v>
      </c>
      <c r="L138" s="12" t="n">
        <f aca="false">MAX(F138-H138,0)*D138</f>
        <v>0</v>
      </c>
      <c r="M138" s="12" t="n">
        <f aca="false">MAX(G138-E138,0)*D138</f>
        <v>0</v>
      </c>
      <c r="N138" s="12" t="n">
        <f aca="false">MAX(H138-F138,0)*D138</f>
        <v>284.945714285714</v>
      </c>
      <c r="O138" s="26" t="n">
        <f aca="false">IFERROR(E138/DEMAND_MODEL!K138,999)</f>
        <v>24.5</v>
      </c>
      <c r="P138" s="26" t="n">
        <f aca="false">IFERROR(F138/DEMAND_MODEL!L138,999)</f>
        <v>1.4</v>
      </c>
    </row>
    <row r="139" customFormat="false" ht="15" hidden="false" customHeight="false" outlineLevel="0" collapsed="false">
      <c r="A139" s="5" t="n">
        <f aca="false">ITEM_MASTER_CLEAN!A139</f>
        <v>138</v>
      </c>
      <c r="B139" s="5" t="n">
        <f aca="false">ITEM_MASTER_CLEAN!B139</f>
        <v>34437</v>
      </c>
      <c r="C139" s="5" t="str">
        <f aca="false">ITEM_MASTER_CLEAN!C139</f>
        <v>CONE SUGAR #52 200UN</v>
      </c>
      <c r="D139" s="12" t="n">
        <f aca="false">ITEM_MASTER_CLEAN!F139</f>
        <v>32.23</v>
      </c>
      <c r="E139" s="5" t="n">
        <f aca="false">ITEM_MASTER_CLEAN!H139</f>
        <v>5</v>
      </c>
      <c r="F139" s="5" t="n">
        <f aca="false">ITEM_MASTER_CLEAN!I139</f>
        <v>6</v>
      </c>
      <c r="G139" s="5" t="n">
        <f aca="false">PAR_LEVELS!J139</f>
        <v>9.28571428571429</v>
      </c>
      <c r="H139" s="5" t="n">
        <f aca="false">PAR_LEVELS!K139</f>
        <v>11.1428571428571</v>
      </c>
      <c r="I139" s="12" t="n">
        <f aca="false">E139*D139</f>
        <v>161.15</v>
      </c>
      <c r="J139" s="12" t="n">
        <f aca="false">F139*D139</f>
        <v>193.38</v>
      </c>
      <c r="K139" s="12" t="n">
        <f aca="false">MAX(E139-G139,0)*D139</f>
        <v>0</v>
      </c>
      <c r="L139" s="12" t="n">
        <f aca="false">MAX(F139-H139,0)*D139</f>
        <v>0</v>
      </c>
      <c r="M139" s="12" t="n">
        <f aca="false">MAX(G139-E139,0)*D139</f>
        <v>138.128571428571</v>
      </c>
      <c r="N139" s="12" t="n">
        <f aca="false">MAX(H139-F139,0)*D139</f>
        <v>165.754285714286</v>
      </c>
      <c r="O139" s="26" t="n">
        <f aca="false">IFERROR(E139/DEMAND_MODEL!K139,999)</f>
        <v>7</v>
      </c>
      <c r="P139" s="26" t="n">
        <f aca="false">IFERROR(F139/DEMAND_MODEL!L139,999)</f>
        <v>7</v>
      </c>
    </row>
    <row r="140" customFormat="false" ht="15" hidden="false" customHeight="false" outlineLevel="0" collapsed="false">
      <c r="A140" s="5" t="n">
        <f aca="false">ITEM_MASTER_CLEAN!A140</f>
        <v>139</v>
      </c>
      <c r="B140" s="5" t="n">
        <f aca="false">ITEM_MASTER_CLEAN!B140</f>
        <v>50332</v>
      </c>
      <c r="C140" s="5" t="str">
        <f aca="false">ITEM_MASTER_CLEAN!C140</f>
        <v>WAFFLE CONE #60 312UN</v>
      </c>
      <c r="D140" s="12" t="n">
        <f aca="false">ITEM_MASTER_CLEAN!F140</f>
        <v>38.63</v>
      </c>
      <c r="E140" s="5" t="n">
        <f aca="false">ITEM_MASTER_CLEAN!H140</f>
        <v>2</v>
      </c>
      <c r="F140" s="5" t="n">
        <f aca="false">ITEM_MASTER_CLEAN!I140</f>
        <v>1</v>
      </c>
      <c r="G140" s="5" t="n">
        <f aca="false">PAR_LEVELS!J140</f>
        <v>11.1428571428571</v>
      </c>
      <c r="H140" s="5" t="n">
        <f aca="false">PAR_LEVELS!K140</f>
        <v>7.42857142857143</v>
      </c>
      <c r="I140" s="12" t="n">
        <f aca="false">E140*D140</f>
        <v>77.26</v>
      </c>
      <c r="J140" s="12" t="n">
        <f aca="false">F140*D140</f>
        <v>38.63</v>
      </c>
      <c r="K140" s="12" t="n">
        <f aca="false">MAX(E140-G140,0)*D140</f>
        <v>0</v>
      </c>
      <c r="L140" s="12" t="n">
        <f aca="false">MAX(F140-H140,0)*D140</f>
        <v>0</v>
      </c>
      <c r="M140" s="12" t="n">
        <f aca="false">MAX(G140-E140,0)*D140</f>
        <v>353.188571428571</v>
      </c>
      <c r="N140" s="12" t="n">
        <f aca="false">MAX(H140-F140,0)*D140</f>
        <v>248.335714285714</v>
      </c>
      <c r="O140" s="26" t="n">
        <f aca="false">IFERROR(E140/DEMAND_MODEL!K140,999)</f>
        <v>2.33333333333333</v>
      </c>
      <c r="P140" s="26" t="n">
        <f aca="false">IFERROR(F140/DEMAND_MODEL!L140,999)</f>
        <v>1.75</v>
      </c>
    </row>
    <row r="141" customFormat="false" ht="15" hidden="false" customHeight="false" outlineLevel="0" collapsed="false">
      <c r="A141" s="5" t="n">
        <f aca="false">ITEM_MASTER_CLEAN!A141</f>
        <v>140</v>
      </c>
      <c r="B141" s="5" t="n">
        <f aca="false">ITEM_MASTER_CLEAN!B141</f>
        <v>14929</v>
      </c>
      <c r="C141" s="5" t="str">
        <f aca="false">ITEM_MASTER_CLEAN!C141</f>
        <v>BISC OREO GRINDED 24X450G</v>
      </c>
      <c r="D141" s="12" t="n">
        <f aca="false">ITEM_MASTER_CLEAN!F141</f>
        <v>39.85</v>
      </c>
      <c r="E141" s="5" t="n">
        <f aca="false">ITEM_MASTER_CLEAN!H141</f>
        <v>1</v>
      </c>
      <c r="F141" s="5" t="n">
        <f aca="false">ITEM_MASTER_CLEAN!I141</f>
        <v>3</v>
      </c>
      <c r="G141" s="5" t="n">
        <f aca="false">PAR_LEVELS!J141</f>
        <v>7.42857142857143</v>
      </c>
      <c r="H141" s="5" t="n">
        <f aca="false">PAR_LEVELS!K141</f>
        <v>1.85714285714286</v>
      </c>
      <c r="I141" s="12" t="n">
        <f aca="false">E141*D141</f>
        <v>39.85</v>
      </c>
      <c r="J141" s="12" t="n">
        <f aca="false">F141*D141</f>
        <v>119.55</v>
      </c>
      <c r="K141" s="12" t="n">
        <f aca="false">MAX(E141-G141,0)*D141</f>
        <v>0</v>
      </c>
      <c r="L141" s="12" t="n">
        <f aca="false">MAX(F141-H141,0)*D141</f>
        <v>45.5428571428572</v>
      </c>
      <c r="M141" s="12" t="n">
        <f aca="false">MAX(G141-E141,0)*D141</f>
        <v>256.178571428571</v>
      </c>
      <c r="N141" s="12" t="n">
        <f aca="false">MAX(H141-F141,0)*D141</f>
        <v>0</v>
      </c>
      <c r="O141" s="26" t="n">
        <f aca="false">IFERROR(E141/DEMAND_MODEL!K141,999)</f>
        <v>1.75</v>
      </c>
      <c r="P141" s="26" t="n">
        <f aca="false">IFERROR(F141/DEMAND_MODEL!L141,999)</f>
        <v>21</v>
      </c>
    </row>
    <row r="142" customFormat="false" ht="15" hidden="false" customHeight="false" outlineLevel="0" collapsed="false">
      <c r="A142" s="5" t="n">
        <f aca="false">ITEM_MASTER_CLEAN!A142</f>
        <v>141</v>
      </c>
      <c r="B142" s="5" t="n">
        <f aca="false">ITEM_MASTER_CLEAN!B142</f>
        <v>61647</v>
      </c>
      <c r="C142" s="5" t="str">
        <f aca="false">ITEM_MASTER_CLEAN!C142</f>
        <v>CANDY COTTON CANDY PCS 80252 10LB</v>
      </c>
      <c r="D142" s="12" t="n">
        <f aca="false">ITEM_MASTER_CLEAN!F142</f>
        <v>31.05</v>
      </c>
      <c r="E142" s="5" t="n">
        <f aca="false">ITEM_MASTER_CLEAN!H142</f>
        <v>7</v>
      </c>
      <c r="F142" s="5" t="n">
        <f aca="false">ITEM_MASTER_CLEAN!I142</f>
        <v>4</v>
      </c>
      <c r="G142" s="5" t="n">
        <f aca="false">PAR_LEVELS!J142</f>
        <v>9.28571428571429</v>
      </c>
      <c r="H142" s="5" t="n">
        <f aca="false">PAR_LEVELS!K142</f>
        <v>5.57142857142857</v>
      </c>
      <c r="I142" s="12" t="n">
        <f aca="false">E142*D142</f>
        <v>217.35</v>
      </c>
      <c r="J142" s="12" t="n">
        <f aca="false">F142*D142</f>
        <v>124.2</v>
      </c>
      <c r="K142" s="12" t="n">
        <f aca="false">MAX(E142-G142,0)*D142</f>
        <v>0</v>
      </c>
      <c r="L142" s="12" t="n">
        <f aca="false">MAX(F142-H142,0)*D142</f>
        <v>0</v>
      </c>
      <c r="M142" s="12" t="n">
        <f aca="false">MAX(G142-E142,0)*D142</f>
        <v>70.9714285714286</v>
      </c>
      <c r="N142" s="12" t="n">
        <f aca="false">MAX(H142-F142,0)*D142</f>
        <v>48.7928571428571</v>
      </c>
      <c r="O142" s="26" t="n">
        <f aca="false">IFERROR(E142/DEMAND_MODEL!K142,999)</f>
        <v>9.8</v>
      </c>
      <c r="P142" s="26" t="n">
        <f aca="false">IFERROR(F142/DEMAND_MODEL!L142,999)</f>
        <v>9.33333333333333</v>
      </c>
    </row>
    <row r="143" customFormat="false" ht="15" hidden="false" customHeight="false" outlineLevel="0" collapsed="false">
      <c r="A143" s="5" t="n">
        <f aca="false">ITEM_MASTER_CLEAN!A143</f>
        <v>142</v>
      </c>
      <c r="B143" s="5" t="n">
        <f aca="false">ITEM_MASTER_CLEAN!B143</f>
        <v>23656</v>
      </c>
      <c r="C143" s="5" t="str">
        <f aca="false">ITEM_MASTER_CLEAN!C143</f>
        <v>CANDY GUMMIE BEAR ASS'T 1X1.5K</v>
      </c>
      <c r="D143" s="12" t="n">
        <f aca="false">ITEM_MASTER_CLEAN!F143</f>
        <v>55.43</v>
      </c>
      <c r="E143" s="5" t="n">
        <f aca="false">ITEM_MASTER_CLEAN!H143</f>
        <v>1</v>
      </c>
      <c r="F143" s="5" t="n">
        <f aca="false">ITEM_MASTER_CLEAN!I143</f>
        <v>3</v>
      </c>
      <c r="G143" s="5" t="n">
        <f aca="false">PAR_LEVELS!J143</f>
        <v>7.42857142857143</v>
      </c>
      <c r="H143" s="5" t="n">
        <f aca="false">PAR_LEVELS!K143</f>
        <v>1.85714285714286</v>
      </c>
      <c r="I143" s="12" t="n">
        <f aca="false">E143*D143</f>
        <v>55.43</v>
      </c>
      <c r="J143" s="12" t="n">
        <f aca="false">F143*D143</f>
        <v>166.29</v>
      </c>
      <c r="K143" s="12" t="n">
        <f aca="false">MAX(E143-G143,0)*D143</f>
        <v>0</v>
      </c>
      <c r="L143" s="12" t="n">
        <f aca="false">MAX(F143-H143,0)*D143</f>
        <v>63.3485714285714</v>
      </c>
      <c r="M143" s="12" t="n">
        <f aca="false">MAX(G143-E143,0)*D143</f>
        <v>356.335714285714</v>
      </c>
      <c r="N143" s="12" t="n">
        <f aca="false">MAX(H143-F143,0)*D143</f>
        <v>0</v>
      </c>
      <c r="O143" s="26" t="n">
        <f aca="false">IFERROR(E143/DEMAND_MODEL!K143,999)</f>
        <v>1.75</v>
      </c>
      <c r="P143" s="26" t="n">
        <f aca="false">IFERROR(F143/DEMAND_MODEL!L143,999)</f>
        <v>21</v>
      </c>
    </row>
    <row r="144" customFormat="false" ht="15" hidden="false" customHeight="false" outlineLevel="0" collapsed="false">
      <c r="A144" s="5" t="n">
        <f aca="false">ITEM_MASTER_CLEAN!A144</f>
        <v>143</v>
      </c>
      <c r="B144" s="5" t="n">
        <f aca="false">ITEM_MASTER_CLEAN!B144</f>
        <v>61654</v>
      </c>
      <c r="C144" s="5" t="str">
        <f aca="false">ITEM_MASTER_CLEAN!C144</f>
        <v>CANDY NERDS RAINBOW N390-100 2X5LB</v>
      </c>
      <c r="D144" s="12" t="n">
        <f aca="false">ITEM_MASTER_CLEAN!F144</f>
        <v>20.63</v>
      </c>
      <c r="E144" s="5" t="n">
        <f aca="false">ITEM_MASTER_CLEAN!H144</f>
        <v>0</v>
      </c>
      <c r="F144" s="5" t="n">
        <f aca="false">ITEM_MASTER_CLEAN!I144</f>
        <v>0</v>
      </c>
      <c r="G144" s="5" t="n">
        <f aca="false">PAR_LEVELS!J144</f>
        <v>5.57142857142857</v>
      </c>
      <c r="H144" s="5" t="n">
        <f aca="false">PAR_LEVELS!K144</f>
        <v>1.85714285714286</v>
      </c>
      <c r="I144" s="12" t="n">
        <f aca="false">E144*D144</f>
        <v>0</v>
      </c>
      <c r="J144" s="12" t="n">
        <f aca="false">F144*D144</f>
        <v>0</v>
      </c>
      <c r="K144" s="12" t="n">
        <f aca="false">MAX(E144-G144,0)*D144</f>
        <v>0</v>
      </c>
      <c r="L144" s="12" t="n">
        <f aca="false">MAX(F144-H144,0)*D144</f>
        <v>0</v>
      </c>
      <c r="M144" s="12" t="n">
        <f aca="false">MAX(G144-E144,0)*D144</f>
        <v>114.938571428571</v>
      </c>
      <c r="N144" s="12" t="n">
        <f aca="false">MAX(H144-F144,0)*D144</f>
        <v>38.3128571428571</v>
      </c>
      <c r="O144" s="26" t="n">
        <f aca="false">IFERROR(E144/DEMAND_MODEL!K144,999)</f>
        <v>0</v>
      </c>
      <c r="P144" s="26" t="n">
        <f aca="false">IFERROR(F144/DEMAND_MODEL!L144,999)</f>
        <v>0</v>
      </c>
    </row>
    <row r="145" customFormat="false" ht="15" hidden="false" customHeight="false" outlineLevel="0" collapsed="false">
      <c r="A145" s="5" t="n">
        <f aca="false">ITEM_MASTER_CLEAN!A145</f>
        <v>144</v>
      </c>
      <c r="B145" s="5" t="n">
        <f aca="false">ITEM_MASTER_CLEAN!B145</f>
        <v>14624</v>
      </c>
      <c r="C145" s="5" t="str">
        <f aca="false">ITEM_MASTER_CLEAN!C145</f>
        <v>CRUMB GRAHAM DARE 5K</v>
      </c>
      <c r="D145" s="12" t="n">
        <f aca="false">ITEM_MASTER_CLEAN!F145</f>
        <v>49.46</v>
      </c>
      <c r="E145" s="5" t="n">
        <f aca="false">ITEM_MASTER_CLEAN!H145</f>
        <v>10</v>
      </c>
      <c r="F145" s="5" t="n">
        <f aca="false">ITEM_MASTER_CLEAN!I145</f>
        <v>0</v>
      </c>
      <c r="G145" s="5" t="n">
        <f aca="false">PAR_LEVELS!J145</f>
        <v>5.57142857142857</v>
      </c>
      <c r="H145" s="5" t="n">
        <f aca="false">PAR_LEVELS!K145</f>
        <v>3.71428571428571</v>
      </c>
      <c r="I145" s="12" t="n">
        <f aca="false">E145*D145</f>
        <v>494.6</v>
      </c>
      <c r="J145" s="12" t="n">
        <f aca="false">F145*D145</f>
        <v>0</v>
      </c>
      <c r="K145" s="12" t="n">
        <f aca="false">MAX(E145-G145,0)*D145</f>
        <v>219.037142857143</v>
      </c>
      <c r="L145" s="12" t="n">
        <f aca="false">MAX(F145-H145,0)*D145</f>
        <v>0</v>
      </c>
      <c r="M145" s="12" t="n">
        <f aca="false">MAX(G145-E145,0)*D145</f>
        <v>0</v>
      </c>
      <c r="N145" s="12" t="n">
        <f aca="false">MAX(H145-F145,0)*D145</f>
        <v>183.708571428571</v>
      </c>
      <c r="O145" s="26" t="n">
        <f aca="false">IFERROR(E145/DEMAND_MODEL!K145,999)</f>
        <v>23.3333333333333</v>
      </c>
      <c r="P145" s="26" t="n">
        <f aca="false">IFERROR(F145/DEMAND_MODEL!L145,999)</f>
        <v>0</v>
      </c>
    </row>
    <row r="146" customFormat="false" ht="15" hidden="false" customHeight="false" outlineLevel="0" collapsed="false">
      <c r="A146" s="5" t="n">
        <f aca="false">ITEM_MASTER_CLEAN!A146</f>
        <v>145</v>
      </c>
      <c r="B146" s="5" t="n">
        <f aca="false">ITEM_MASTER_CLEAN!B146</f>
        <v>11692</v>
      </c>
      <c r="C146" s="5" t="str">
        <f aca="false">ITEM_MASTER_CLEAN!C146</f>
        <v>CHOC KIT KAT CRUSHED 4X907G</v>
      </c>
      <c r="D146" s="12" t="n">
        <f aca="false">ITEM_MASTER_CLEAN!F146</f>
        <v>62.22</v>
      </c>
      <c r="E146" s="5" t="n">
        <f aca="false">ITEM_MASTER_CLEAN!H146</f>
        <v>1</v>
      </c>
      <c r="F146" s="5" t="n">
        <f aca="false">ITEM_MASTER_CLEAN!I146</f>
        <v>1</v>
      </c>
      <c r="G146" s="5" t="n">
        <f aca="false">PAR_LEVELS!J146</f>
        <v>9.28571428571429</v>
      </c>
      <c r="H146" s="5" t="n">
        <f aca="false">PAR_LEVELS!K146</f>
        <v>7.42857142857143</v>
      </c>
      <c r="I146" s="12" t="n">
        <f aca="false">E146*D146</f>
        <v>62.22</v>
      </c>
      <c r="J146" s="12" t="n">
        <f aca="false">F146*D146</f>
        <v>62.22</v>
      </c>
      <c r="K146" s="12" t="n">
        <f aca="false">MAX(E146-G146,0)*D146</f>
        <v>0</v>
      </c>
      <c r="L146" s="12" t="n">
        <f aca="false">MAX(F146-H146,0)*D146</f>
        <v>0</v>
      </c>
      <c r="M146" s="12" t="n">
        <f aca="false">MAX(G146-E146,0)*D146</f>
        <v>515.537142857143</v>
      </c>
      <c r="N146" s="12" t="n">
        <f aca="false">MAX(H146-F146,0)*D146</f>
        <v>399.985714285714</v>
      </c>
      <c r="O146" s="26" t="n">
        <f aca="false">IFERROR(E146/DEMAND_MODEL!K146,999)</f>
        <v>1.4</v>
      </c>
      <c r="P146" s="26" t="n">
        <f aca="false">IFERROR(F146/DEMAND_MODEL!L146,999)</f>
        <v>1.75</v>
      </c>
    </row>
    <row r="147" customFormat="false" ht="15" hidden="false" customHeight="false" outlineLevel="0" collapsed="false">
      <c r="A147" s="5" t="n">
        <f aca="false">ITEM_MASTER_CLEAN!A147</f>
        <v>146</v>
      </c>
      <c r="B147" s="5" t="n">
        <f aca="false">ITEM_MASTER_CLEAN!B147</f>
        <v>62812</v>
      </c>
      <c r="C147" s="5" t="str">
        <f aca="false">ITEM_MASTER_CLEAN!C147</f>
        <v>CHOC SKOR BITE BULK 413 4X1.36K</v>
      </c>
      <c r="D147" s="12" t="n">
        <f aca="false">ITEM_MASTER_CLEAN!F147</f>
        <v>16.6</v>
      </c>
      <c r="E147" s="5" t="n">
        <f aca="false">ITEM_MASTER_CLEAN!H147</f>
        <v>6</v>
      </c>
      <c r="F147" s="5" t="n">
        <f aca="false">ITEM_MASTER_CLEAN!I147</f>
        <v>0</v>
      </c>
      <c r="G147" s="5" t="n">
        <f aca="false">PAR_LEVELS!J147</f>
        <v>3.71428571428571</v>
      </c>
      <c r="H147" s="5" t="n">
        <f aca="false">PAR_LEVELS!K147</f>
        <v>7.42857142857143</v>
      </c>
      <c r="I147" s="12" t="n">
        <f aca="false">E147*D147</f>
        <v>99.6</v>
      </c>
      <c r="J147" s="12" t="n">
        <f aca="false">F147*D147</f>
        <v>0</v>
      </c>
      <c r="K147" s="12" t="n">
        <f aca="false">MAX(E147-G147,0)*D147</f>
        <v>37.9428571428572</v>
      </c>
      <c r="L147" s="12" t="n">
        <f aca="false">MAX(F147-H147,0)*D147</f>
        <v>0</v>
      </c>
      <c r="M147" s="12" t="n">
        <f aca="false">MAX(G147-E147,0)*D147</f>
        <v>0</v>
      </c>
      <c r="N147" s="12" t="n">
        <f aca="false">MAX(H147-F147,0)*D147</f>
        <v>123.314285714286</v>
      </c>
      <c r="O147" s="26" t="n">
        <f aca="false">IFERROR(E147/DEMAND_MODEL!K147,999)</f>
        <v>21</v>
      </c>
      <c r="P147" s="26" t="n">
        <f aca="false">IFERROR(F147/DEMAND_MODEL!L147,999)</f>
        <v>0</v>
      </c>
    </row>
    <row r="148" customFormat="false" ht="15" hidden="false" customHeight="false" outlineLevel="0" collapsed="false">
      <c r="A148" s="5" t="n">
        <f aca="false">ITEM_MASTER_CLEAN!A148</f>
        <v>147</v>
      </c>
      <c r="B148" s="5" t="n">
        <f aca="false">ITEM_MASTER_CLEAN!B148</f>
        <v>44503</v>
      </c>
      <c r="C148" s="5" t="str">
        <f aca="false">ITEM_MASTER_CLEAN!C148</f>
        <v>CHOC SMARTIES CRUSHED BULK 10X1.1K</v>
      </c>
      <c r="D148" s="12" t="n">
        <f aca="false">ITEM_MASTER_CLEAN!F148</f>
        <v>33.76</v>
      </c>
      <c r="E148" s="5" t="n">
        <f aca="false">ITEM_MASTER_CLEAN!H148</f>
        <v>2</v>
      </c>
      <c r="F148" s="5" t="n">
        <f aca="false">ITEM_MASTER_CLEAN!I148</f>
        <v>4</v>
      </c>
      <c r="G148" s="5" t="n">
        <f aca="false">PAR_LEVELS!J148</f>
        <v>3.71428571428571</v>
      </c>
      <c r="H148" s="5" t="n">
        <f aca="false">PAR_LEVELS!K148</f>
        <v>5.57142857142857</v>
      </c>
      <c r="I148" s="12" t="n">
        <f aca="false">E148*D148</f>
        <v>67.52</v>
      </c>
      <c r="J148" s="12" t="n">
        <f aca="false">F148*D148</f>
        <v>135.04</v>
      </c>
      <c r="K148" s="12" t="n">
        <f aca="false">MAX(E148-G148,0)*D148</f>
        <v>0</v>
      </c>
      <c r="L148" s="12" t="n">
        <f aca="false">MAX(F148-H148,0)*D148</f>
        <v>0</v>
      </c>
      <c r="M148" s="12" t="n">
        <f aca="false">MAX(G148-E148,0)*D148</f>
        <v>57.8742857142857</v>
      </c>
      <c r="N148" s="12" t="n">
        <f aca="false">MAX(H148-F148,0)*D148</f>
        <v>53.0514285714286</v>
      </c>
      <c r="O148" s="26" t="n">
        <f aca="false">IFERROR(E148/DEMAND_MODEL!K148,999)</f>
        <v>7</v>
      </c>
      <c r="P148" s="26" t="n">
        <f aca="false">IFERROR(F148/DEMAND_MODEL!L148,999)</f>
        <v>9.33333333333333</v>
      </c>
    </row>
    <row r="149" customFormat="false" ht="15" hidden="false" customHeight="false" outlineLevel="0" collapsed="false">
      <c r="A149" s="5" t="n">
        <f aca="false">ITEM_MASTER_CLEAN!A149</f>
        <v>148</v>
      </c>
      <c r="B149" s="5" t="n">
        <f aca="false">ITEM_MASTER_CLEAN!B149</f>
        <v>37163</v>
      </c>
      <c r="C149" s="5" t="str">
        <f aca="false">ITEM_MASTER_CLEAN!C149</f>
        <v>MAPLE NUGGET SUGAR 4065 1X1K</v>
      </c>
      <c r="D149" s="12" t="n">
        <f aca="false">ITEM_MASTER_CLEAN!F149</f>
        <v>3.89</v>
      </c>
      <c r="E149" s="5" t="n">
        <f aca="false">ITEM_MASTER_CLEAN!H149</f>
        <v>4</v>
      </c>
      <c r="F149" s="5" t="n">
        <f aca="false">ITEM_MASTER_CLEAN!I149</f>
        <v>0</v>
      </c>
      <c r="G149" s="5" t="n">
        <f aca="false">PAR_LEVELS!J149</f>
        <v>11.1428571428571</v>
      </c>
      <c r="H149" s="5" t="n">
        <f aca="false">PAR_LEVELS!K149</f>
        <v>1.85714285714286</v>
      </c>
      <c r="I149" s="12" t="n">
        <f aca="false">E149*D149</f>
        <v>15.56</v>
      </c>
      <c r="J149" s="12" t="n">
        <f aca="false">F149*D149</f>
        <v>0</v>
      </c>
      <c r="K149" s="12" t="n">
        <f aca="false">MAX(E149-G149,0)*D149</f>
        <v>0</v>
      </c>
      <c r="L149" s="12" t="n">
        <f aca="false">MAX(F149-H149,0)*D149</f>
        <v>0</v>
      </c>
      <c r="M149" s="12" t="n">
        <f aca="false">MAX(G149-E149,0)*D149</f>
        <v>27.7857142857143</v>
      </c>
      <c r="N149" s="12" t="n">
        <f aca="false">MAX(H149-F149,0)*D149</f>
        <v>7.22428571428571</v>
      </c>
      <c r="O149" s="26" t="n">
        <f aca="false">IFERROR(E149/DEMAND_MODEL!K149,999)</f>
        <v>4.66666666666667</v>
      </c>
      <c r="P149" s="26" t="n">
        <f aca="false">IFERROR(F149/DEMAND_MODEL!L149,999)</f>
        <v>0</v>
      </c>
    </row>
    <row r="150" customFormat="false" ht="15" hidden="false" customHeight="false" outlineLevel="0" collapsed="false">
      <c r="A150" s="5" t="n">
        <f aca="false">ITEM_MASTER_CLEAN!A150</f>
        <v>149</v>
      </c>
      <c r="B150" s="5" t="n">
        <f aca="false">ITEM_MASTER_CLEAN!B150</f>
        <v>32978</v>
      </c>
      <c r="C150" s="5" t="str">
        <f aca="false">ITEM_MASTER_CLEAN!C150</f>
        <v>NUTS ALMOND DICED 10658 25LB</v>
      </c>
      <c r="D150" s="12" t="n">
        <f aca="false">ITEM_MASTER_CLEAN!F150</f>
        <v>16.6</v>
      </c>
      <c r="E150" s="5" t="n">
        <f aca="false">ITEM_MASTER_CLEAN!H150</f>
        <v>3</v>
      </c>
      <c r="F150" s="5" t="n">
        <f aca="false">ITEM_MASTER_CLEAN!I150</f>
        <v>6</v>
      </c>
      <c r="G150" s="5" t="n">
        <f aca="false">PAR_LEVELS!J150</f>
        <v>3.71428571428571</v>
      </c>
      <c r="H150" s="5" t="n">
        <f aca="false">PAR_LEVELS!K150</f>
        <v>7.42857142857143</v>
      </c>
      <c r="I150" s="12" t="n">
        <f aca="false">E150*D150</f>
        <v>49.8</v>
      </c>
      <c r="J150" s="12" t="n">
        <f aca="false">F150*D150</f>
        <v>99.6</v>
      </c>
      <c r="K150" s="12" t="n">
        <f aca="false">MAX(E150-G150,0)*D150</f>
        <v>0</v>
      </c>
      <c r="L150" s="12" t="n">
        <f aca="false">MAX(F150-H150,0)*D150</f>
        <v>0</v>
      </c>
      <c r="M150" s="12" t="n">
        <f aca="false">MAX(G150-E150,0)*D150</f>
        <v>11.8571428571429</v>
      </c>
      <c r="N150" s="12" t="n">
        <f aca="false">MAX(H150-F150,0)*D150</f>
        <v>23.7142857142857</v>
      </c>
      <c r="O150" s="26" t="n">
        <f aca="false">IFERROR(E150/DEMAND_MODEL!K150,999)</f>
        <v>10.5</v>
      </c>
      <c r="P150" s="26" t="n">
        <f aca="false">IFERROR(F150/DEMAND_MODEL!L150,999)</f>
        <v>10.5</v>
      </c>
    </row>
    <row r="151" customFormat="false" ht="15" hidden="false" customHeight="false" outlineLevel="0" collapsed="false">
      <c r="A151" s="5" t="n">
        <f aca="false">ITEM_MASTER_CLEAN!A151</f>
        <v>150</v>
      </c>
      <c r="B151" s="5" t="n">
        <f aca="false">ITEM_MASTER_CLEAN!B151</f>
        <v>61496</v>
      </c>
      <c r="C151" s="5" t="str">
        <f aca="false">ITEM_MASTER_CLEAN!C151</f>
        <v>NUTS PEANUT CRSHD RSTED 3X1K</v>
      </c>
      <c r="D151" s="12" t="n">
        <f aca="false">ITEM_MASTER_CLEAN!F151</f>
        <v>17.84</v>
      </c>
      <c r="E151" s="5" t="n">
        <f aca="false">ITEM_MASTER_CLEAN!H151</f>
        <v>3</v>
      </c>
      <c r="F151" s="5" t="n">
        <f aca="false">ITEM_MASTER_CLEAN!I151</f>
        <v>5</v>
      </c>
      <c r="G151" s="5" t="n">
        <f aca="false">PAR_LEVELS!J151</f>
        <v>5.57142857142857</v>
      </c>
      <c r="H151" s="5" t="n">
        <f aca="false">PAR_LEVELS!K151</f>
        <v>7.42857142857143</v>
      </c>
      <c r="I151" s="12" t="n">
        <f aca="false">E151*D151</f>
        <v>53.52</v>
      </c>
      <c r="J151" s="12" t="n">
        <f aca="false">F151*D151</f>
        <v>89.2</v>
      </c>
      <c r="K151" s="12" t="n">
        <f aca="false">MAX(E151-G151,0)*D151</f>
        <v>0</v>
      </c>
      <c r="L151" s="12" t="n">
        <f aca="false">MAX(F151-H151,0)*D151</f>
        <v>0</v>
      </c>
      <c r="M151" s="12" t="n">
        <f aca="false">MAX(G151-E151,0)*D151</f>
        <v>45.8742857142857</v>
      </c>
      <c r="N151" s="12" t="n">
        <f aca="false">MAX(H151-F151,0)*D151</f>
        <v>43.3257142857143</v>
      </c>
      <c r="O151" s="26" t="n">
        <f aca="false">IFERROR(E151/DEMAND_MODEL!K151,999)</f>
        <v>7</v>
      </c>
      <c r="P151" s="26" t="n">
        <f aca="false">IFERROR(F151/DEMAND_MODEL!L151,999)</f>
        <v>8.75</v>
      </c>
    </row>
    <row r="152" customFormat="false" ht="15" hidden="false" customHeight="false" outlineLevel="0" collapsed="false">
      <c r="A152" s="5" t="n">
        <f aca="false">ITEM_MASTER_CLEAN!A152</f>
        <v>151</v>
      </c>
      <c r="B152" s="5" t="n">
        <f aca="false">ITEM_MASTER_CLEAN!B152</f>
        <v>32981</v>
      </c>
      <c r="C152" s="5" t="str">
        <f aca="false">ITEM_MASTER_CLEAN!C152</f>
        <v>COCONUT SHREDDED SWEET 10780 25LB</v>
      </c>
      <c r="D152" s="12" t="n">
        <f aca="false">ITEM_MASTER_CLEAN!F152</f>
        <v>30.08</v>
      </c>
      <c r="E152" s="5" t="n">
        <f aca="false">ITEM_MASTER_CLEAN!H152</f>
        <v>1</v>
      </c>
      <c r="F152" s="5" t="n">
        <f aca="false">ITEM_MASTER_CLEAN!I152</f>
        <v>0</v>
      </c>
      <c r="G152" s="5" t="n">
        <f aca="false">PAR_LEVELS!J152</f>
        <v>7.42857142857143</v>
      </c>
      <c r="H152" s="5" t="n">
        <f aca="false">PAR_LEVELS!K152</f>
        <v>1.85714285714286</v>
      </c>
      <c r="I152" s="12" t="n">
        <f aca="false">E152*D152</f>
        <v>30.08</v>
      </c>
      <c r="J152" s="12" t="n">
        <f aca="false">F152*D152</f>
        <v>0</v>
      </c>
      <c r="K152" s="12" t="n">
        <f aca="false">MAX(E152-G152,0)*D152</f>
        <v>0</v>
      </c>
      <c r="L152" s="12" t="n">
        <f aca="false">MAX(F152-H152,0)*D152</f>
        <v>0</v>
      </c>
      <c r="M152" s="12" t="n">
        <f aca="false">MAX(G152-E152,0)*D152</f>
        <v>193.371428571429</v>
      </c>
      <c r="N152" s="12" t="n">
        <f aca="false">MAX(H152-F152,0)*D152</f>
        <v>55.8628571428571</v>
      </c>
      <c r="O152" s="26" t="n">
        <f aca="false">IFERROR(E152/DEMAND_MODEL!K152,999)</f>
        <v>1.75</v>
      </c>
      <c r="P152" s="26" t="n">
        <f aca="false">IFERROR(F152/DEMAND_MODEL!L152,999)</f>
        <v>0</v>
      </c>
    </row>
    <row r="153" customFormat="false" ht="15" hidden="false" customHeight="false" outlineLevel="0" collapsed="false">
      <c r="A153" s="5" t="n">
        <f aca="false">ITEM_MASTER_CLEAN!A153</f>
        <v>152</v>
      </c>
      <c r="B153" s="5" t="n">
        <f aca="false">ITEM_MASTER_CLEAN!B153</f>
        <v>15058</v>
      </c>
      <c r="C153" s="5" t="str">
        <f aca="false">ITEM_MASTER_CLEAN!C153</f>
        <v>NUT HAZELNUT RSTD 3X1K</v>
      </c>
      <c r="D153" s="12" t="n">
        <f aca="false">ITEM_MASTER_CLEAN!F153</f>
        <v>30.03</v>
      </c>
      <c r="E153" s="5" t="n">
        <f aca="false">ITEM_MASTER_CLEAN!H153</f>
        <v>2</v>
      </c>
      <c r="F153" s="5" t="n">
        <f aca="false">ITEM_MASTER_CLEAN!I153</f>
        <v>0</v>
      </c>
      <c r="G153" s="5" t="n">
        <f aca="false">PAR_LEVELS!J153</f>
        <v>7.42857142857143</v>
      </c>
      <c r="H153" s="5" t="n">
        <f aca="false">PAR_LEVELS!K153</f>
        <v>3.71428571428571</v>
      </c>
      <c r="I153" s="12" t="n">
        <f aca="false">E153*D153</f>
        <v>60.06</v>
      </c>
      <c r="J153" s="12" t="n">
        <f aca="false">F153*D153</f>
        <v>0</v>
      </c>
      <c r="K153" s="12" t="n">
        <f aca="false">MAX(E153-G153,0)*D153</f>
        <v>0</v>
      </c>
      <c r="L153" s="12" t="n">
        <f aca="false">MAX(F153-H153,0)*D153</f>
        <v>0</v>
      </c>
      <c r="M153" s="12" t="n">
        <f aca="false">MAX(G153-E153,0)*D153</f>
        <v>163.02</v>
      </c>
      <c r="N153" s="12" t="n">
        <f aca="false">MAX(H153-F153,0)*D153</f>
        <v>111.54</v>
      </c>
      <c r="O153" s="26" t="n">
        <f aca="false">IFERROR(E153/DEMAND_MODEL!K153,999)</f>
        <v>3.5</v>
      </c>
      <c r="P153" s="26" t="n">
        <f aca="false">IFERROR(F153/DEMAND_MODEL!L153,999)</f>
        <v>0</v>
      </c>
    </row>
    <row r="154" customFormat="false" ht="15" hidden="false" customHeight="false" outlineLevel="0" collapsed="false">
      <c r="A154" s="5" t="n">
        <f aca="false">ITEM_MASTER_CLEAN!A154</f>
        <v>153</v>
      </c>
      <c r="B154" s="5" t="n">
        <f aca="false">ITEM_MASTER_CLEAN!B154</f>
        <v>40251</v>
      </c>
      <c r="C154" s="5" t="str">
        <f aca="false">ITEM_MASTER_CLEAN!C154</f>
        <v>NUT PISTACHIO N/SHELL 1KG</v>
      </c>
      <c r="D154" s="12" t="n">
        <f aca="false">ITEM_MASTER_CLEAN!F154</f>
        <v>47.81</v>
      </c>
      <c r="E154" s="5" t="n">
        <f aca="false">ITEM_MASTER_CLEAN!H154</f>
        <v>24</v>
      </c>
      <c r="F154" s="5" t="n">
        <f aca="false">ITEM_MASTER_CLEAN!I154</f>
        <v>7</v>
      </c>
      <c r="G154" s="5" t="n">
        <f aca="false">PAR_LEVELS!J154</f>
        <v>9.28571428571429</v>
      </c>
      <c r="H154" s="5" t="n">
        <f aca="false">PAR_LEVELS!K154</f>
        <v>3.71428571428571</v>
      </c>
      <c r="I154" s="12" t="n">
        <f aca="false">E154*D154</f>
        <v>1147.44</v>
      </c>
      <c r="J154" s="12" t="n">
        <f aca="false">F154*D154</f>
        <v>334.67</v>
      </c>
      <c r="K154" s="12" t="n">
        <f aca="false">MAX(E154-G154,0)*D154</f>
        <v>703.49</v>
      </c>
      <c r="L154" s="12" t="n">
        <f aca="false">MAX(F154-H154,0)*D154</f>
        <v>157.09</v>
      </c>
      <c r="M154" s="12" t="n">
        <f aca="false">MAX(G154-E154,0)*D154</f>
        <v>0</v>
      </c>
      <c r="N154" s="12" t="n">
        <f aca="false">MAX(H154-F154,0)*D154</f>
        <v>0</v>
      </c>
      <c r="O154" s="26" t="n">
        <f aca="false">IFERROR(E154/DEMAND_MODEL!K154,999)</f>
        <v>33.6</v>
      </c>
      <c r="P154" s="26" t="n">
        <f aca="false">IFERROR(F154/DEMAND_MODEL!L154,999)</f>
        <v>24.5</v>
      </c>
    </row>
    <row r="155" customFormat="false" ht="15" hidden="false" customHeight="false" outlineLevel="0" collapsed="false">
      <c r="A155" s="5" t="n">
        <f aca="false">ITEM_MASTER_CLEAN!A155</f>
        <v>154</v>
      </c>
      <c r="B155" s="5" t="n">
        <f aca="false">ITEM_MASTER_CLEAN!B155</f>
        <v>34732</v>
      </c>
      <c r="C155" s="5" t="str">
        <f aca="false">ITEM_MASTER_CLEAN!C155</f>
        <v>PRETZEL MINI PRT5204 20LB</v>
      </c>
      <c r="D155" s="12" t="n">
        <f aca="false">ITEM_MASTER_CLEAN!F155</f>
        <v>54.35</v>
      </c>
      <c r="E155" s="5" t="n">
        <f aca="false">ITEM_MASTER_CLEAN!H155</f>
        <v>2</v>
      </c>
      <c r="F155" s="5" t="n">
        <f aca="false">ITEM_MASTER_CLEAN!I155</f>
        <v>2</v>
      </c>
      <c r="G155" s="5" t="n">
        <f aca="false">PAR_LEVELS!J155</f>
        <v>11.1428571428571</v>
      </c>
      <c r="H155" s="5" t="n">
        <f aca="false">PAR_LEVELS!K155</f>
        <v>1.85714285714286</v>
      </c>
      <c r="I155" s="12" t="n">
        <f aca="false">E155*D155</f>
        <v>108.7</v>
      </c>
      <c r="J155" s="12" t="n">
        <f aca="false">F155*D155</f>
        <v>108.7</v>
      </c>
      <c r="K155" s="12" t="n">
        <f aca="false">MAX(E155-G155,0)*D155</f>
        <v>0</v>
      </c>
      <c r="L155" s="12" t="n">
        <f aca="false">MAX(F155-H155,0)*D155</f>
        <v>7.76428571428572</v>
      </c>
      <c r="M155" s="12" t="n">
        <f aca="false">MAX(G155-E155,0)*D155</f>
        <v>496.914285714286</v>
      </c>
      <c r="N155" s="12" t="n">
        <f aca="false">MAX(H155-F155,0)*D155</f>
        <v>0</v>
      </c>
      <c r="O155" s="26" t="n">
        <f aca="false">IFERROR(E155/DEMAND_MODEL!K155,999)</f>
        <v>2.33333333333333</v>
      </c>
      <c r="P155" s="26" t="n">
        <f aca="false">IFERROR(F155/DEMAND_MODEL!L155,999)</f>
        <v>14</v>
      </c>
    </row>
    <row r="156" customFormat="false" ht="15" hidden="false" customHeight="false" outlineLevel="0" collapsed="false">
      <c r="A156" s="5" t="n">
        <f aca="false">ITEM_MASTER_CLEAN!A156</f>
        <v>155</v>
      </c>
      <c r="B156" s="5" t="n">
        <f aca="false">ITEM_MASTER_CLEAN!B156</f>
        <v>61580</v>
      </c>
      <c r="C156" s="5" t="str">
        <f aca="false">ITEM_MASTER_CLEAN!C156</f>
        <v>SPRINKLES CHOCOLATE K 3K</v>
      </c>
      <c r="D156" s="12" t="n">
        <f aca="false">ITEM_MASTER_CLEAN!F156</f>
        <v>35.72</v>
      </c>
      <c r="E156" s="5" t="n">
        <f aca="false">ITEM_MASTER_CLEAN!H156</f>
        <v>4</v>
      </c>
      <c r="F156" s="5" t="n">
        <f aca="false">ITEM_MASTER_CLEAN!I156</f>
        <v>3</v>
      </c>
      <c r="G156" s="5" t="n">
        <f aca="false">PAR_LEVELS!J156</f>
        <v>5.57142857142857</v>
      </c>
      <c r="H156" s="5" t="n">
        <f aca="false">PAR_LEVELS!K156</f>
        <v>3.71428571428571</v>
      </c>
      <c r="I156" s="12" t="n">
        <f aca="false">E156*D156</f>
        <v>142.88</v>
      </c>
      <c r="J156" s="12" t="n">
        <f aca="false">F156*D156</f>
        <v>107.16</v>
      </c>
      <c r="K156" s="12" t="n">
        <f aca="false">MAX(E156-G156,0)*D156</f>
        <v>0</v>
      </c>
      <c r="L156" s="12" t="n">
        <f aca="false">MAX(F156-H156,0)*D156</f>
        <v>0</v>
      </c>
      <c r="M156" s="12" t="n">
        <f aca="false">MAX(G156-E156,0)*D156</f>
        <v>56.1314285714286</v>
      </c>
      <c r="N156" s="12" t="n">
        <f aca="false">MAX(H156-F156,0)*D156</f>
        <v>25.5142857142857</v>
      </c>
      <c r="O156" s="26" t="n">
        <f aca="false">IFERROR(E156/DEMAND_MODEL!K156,999)</f>
        <v>9.33333333333333</v>
      </c>
      <c r="P156" s="26" t="n">
        <f aca="false">IFERROR(F156/DEMAND_MODEL!L156,999)</f>
        <v>10.5</v>
      </c>
    </row>
    <row r="157" customFormat="false" ht="15" hidden="false" customHeight="false" outlineLevel="0" collapsed="false">
      <c r="A157" s="5" t="n">
        <f aca="false">ITEM_MASTER_CLEAN!A157</f>
        <v>156</v>
      </c>
      <c r="B157" s="5" t="n">
        <f aca="false">ITEM_MASTER_CLEAN!B157</f>
        <v>61581</v>
      </c>
      <c r="C157" s="5" t="str">
        <f aca="false">ITEM_MASTER_CLEAN!C157</f>
        <v>SPRINKLES RAINBOW 3K</v>
      </c>
      <c r="D157" s="12" t="n">
        <f aca="false">ITEM_MASTER_CLEAN!F157</f>
        <v>50.1</v>
      </c>
      <c r="E157" s="5" t="n">
        <f aca="false">ITEM_MASTER_CLEAN!H157</f>
        <v>2</v>
      </c>
      <c r="F157" s="5" t="n">
        <f aca="false">ITEM_MASTER_CLEAN!I157</f>
        <v>2</v>
      </c>
      <c r="G157" s="5" t="n">
        <f aca="false">PAR_LEVELS!J157</f>
        <v>11.1428571428571</v>
      </c>
      <c r="H157" s="5" t="n">
        <f aca="false">PAR_LEVELS!K157</f>
        <v>1.85714285714286</v>
      </c>
      <c r="I157" s="12" t="n">
        <f aca="false">E157*D157</f>
        <v>100.2</v>
      </c>
      <c r="J157" s="12" t="n">
        <f aca="false">F157*D157</f>
        <v>100.2</v>
      </c>
      <c r="K157" s="12" t="n">
        <f aca="false">MAX(E157-G157,0)*D157</f>
        <v>0</v>
      </c>
      <c r="L157" s="12" t="n">
        <f aca="false">MAX(F157-H157,0)*D157</f>
        <v>7.15714285714287</v>
      </c>
      <c r="M157" s="12" t="n">
        <f aca="false">MAX(G157-E157,0)*D157</f>
        <v>458.057142857143</v>
      </c>
      <c r="N157" s="12" t="n">
        <f aca="false">MAX(H157-F157,0)*D157</f>
        <v>0</v>
      </c>
      <c r="O157" s="26" t="n">
        <f aca="false">IFERROR(E157/DEMAND_MODEL!K157,999)</f>
        <v>2.33333333333333</v>
      </c>
      <c r="P157" s="26" t="n">
        <f aca="false">IFERROR(F157/DEMAND_MODEL!L157,999)</f>
        <v>14</v>
      </c>
    </row>
    <row r="158" customFormat="false" ht="15" hidden="false" customHeight="false" outlineLevel="0" collapsed="false">
      <c r="A158" s="5" t="n">
        <f aca="false">ITEM_MASTER_CLEAN!A158</f>
        <v>157</v>
      </c>
      <c r="B158" s="5" t="n">
        <f aca="false">ITEM_MASTER_CLEAN!B158</f>
        <v>67089</v>
      </c>
      <c r="C158" s="5" t="str">
        <f aca="false">ITEM_MASTER_CLEAN!C158</f>
        <v>SYRUP VANILLA MONIN K 750ML</v>
      </c>
      <c r="D158" s="12" t="n">
        <f aca="false">ITEM_MASTER_CLEAN!F158</f>
        <v>11.75</v>
      </c>
      <c r="E158" s="5" t="n">
        <f aca="false">ITEM_MASTER_CLEAN!H158</f>
        <v>1</v>
      </c>
      <c r="F158" s="5" t="n">
        <f aca="false">ITEM_MASTER_CLEAN!I158</f>
        <v>3</v>
      </c>
      <c r="G158" s="5" t="n">
        <f aca="false">PAR_LEVELS!J158</f>
        <v>1.85714285714286</v>
      </c>
      <c r="H158" s="5" t="n">
        <f aca="false">PAR_LEVELS!K158</f>
        <v>3.71428571428571</v>
      </c>
      <c r="I158" s="12" t="n">
        <f aca="false">E158*D158</f>
        <v>11.75</v>
      </c>
      <c r="J158" s="12" t="n">
        <f aca="false">F158*D158</f>
        <v>35.25</v>
      </c>
      <c r="K158" s="12" t="n">
        <f aca="false">MAX(E158-G158,0)*D158</f>
        <v>0</v>
      </c>
      <c r="L158" s="12" t="n">
        <f aca="false">MAX(F158-H158,0)*D158</f>
        <v>0</v>
      </c>
      <c r="M158" s="12" t="n">
        <f aca="false">MAX(G158-E158,0)*D158</f>
        <v>10.0714285714286</v>
      </c>
      <c r="N158" s="12" t="n">
        <f aca="false">MAX(H158-F158,0)*D158</f>
        <v>8.39285714285714</v>
      </c>
      <c r="O158" s="26" t="n">
        <f aca="false">IFERROR(E158/DEMAND_MODEL!K158,999)</f>
        <v>7</v>
      </c>
      <c r="P158" s="26" t="n">
        <f aca="false">IFERROR(F158/DEMAND_MODEL!L158,999)</f>
        <v>10.5</v>
      </c>
    </row>
    <row r="159" customFormat="false" ht="15" hidden="false" customHeight="false" outlineLevel="0" collapsed="false">
      <c r="A159" s="5" t="n">
        <f aca="false">ITEM_MASTER_CLEAN!A159</f>
        <v>158</v>
      </c>
      <c r="B159" s="5" t="n">
        <f aca="false">ITEM_MASTER_CLEAN!B159</f>
        <v>67123</v>
      </c>
      <c r="C159" s="5" t="str">
        <f aca="false">ITEM_MASTER_CLEAN!C159</f>
        <v>SYRUP PUR CANE SUG MONIN 750ML</v>
      </c>
      <c r="D159" s="12" t="n">
        <f aca="false">ITEM_MASTER_CLEAN!F159</f>
        <v>12.51</v>
      </c>
      <c r="E159" s="5" t="n">
        <f aca="false">ITEM_MASTER_CLEAN!H159</f>
        <v>0</v>
      </c>
      <c r="F159" s="5" t="n">
        <f aca="false">ITEM_MASTER_CLEAN!I159</f>
        <v>0</v>
      </c>
      <c r="G159" s="5" t="n">
        <f aca="false">PAR_LEVELS!J159</f>
        <v>3.71428571428571</v>
      </c>
      <c r="H159" s="5" t="n">
        <f aca="false">PAR_LEVELS!K159</f>
        <v>1.85714285714286</v>
      </c>
      <c r="I159" s="12" t="n">
        <f aca="false">E159*D159</f>
        <v>0</v>
      </c>
      <c r="J159" s="12" t="n">
        <f aca="false">F159*D159</f>
        <v>0</v>
      </c>
      <c r="K159" s="12" t="n">
        <f aca="false">MAX(E159-G159,0)*D159</f>
        <v>0</v>
      </c>
      <c r="L159" s="12" t="n">
        <f aca="false">MAX(F159-H159,0)*D159</f>
        <v>0</v>
      </c>
      <c r="M159" s="12" t="n">
        <f aca="false">MAX(G159-E159,0)*D159</f>
        <v>46.4657142857143</v>
      </c>
      <c r="N159" s="12" t="n">
        <f aca="false">MAX(H159-F159,0)*D159</f>
        <v>23.2328571428571</v>
      </c>
      <c r="O159" s="26" t="n">
        <f aca="false">IFERROR(E159/DEMAND_MODEL!K159,999)</f>
        <v>0</v>
      </c>
      <c r="P159" s="26" t="n">
        <f aca="false">IFERROR(F159/DEMAND_MODEL!L159,999)</f>
        <v>0</v>
      </c>
    </row>
    <row r="160" customFormat="false" ht="15" hidden="false" customHeight="false" outlineLevel="0" collapsed="false">
      <c r="A160" s="5" t="n">
        <f aca="false">ITEM_MASTER_CLEAN!A160</f>
        <v>159</v>
      </c>
      <c r="B160" s="5" t="n">
        <f aca="false">ITEM_MASTER_CLEAN!B160</f>
        <v>67121</v>
      </c>
      <c r="C160" s="5" t="str">
        <f aca="false">ITEM_MASTER_CLEAN!C160</f>
        <v>SYRUP MOJITO MONIN 750ML</v>
      </c>
      <c r="D160" s="12" t="n">
        <f aca="false">ITEM_MASTER_CLEAN!F160</f>
        <v>10.21</v>
      </c>
      <c r="E160" s="5" t="n">
        <f aca="false">ITEM_MASTER_CLEAN!H160</f>
        <v>1</v>
      </c>
      <c r="F160" s="5" t="n">
        <f aca="false">ITEM_MASTER_CLEAN!I160</f>
        <v>0</v>
      </c>
      <c r="G160" s="5" t="n">
        <f aca="false">PAR_LEVELS!J160</f>
        <v>5.57142857142857</v>
      </c>
      <c r="H160" s="5" t="n">
        <f aca="false">PAR_LEVELS!K160</f>
        <v>3.71428571428571</v>
      </c>
      <c r="I160" s="12" t="n">
        <f aca="false">E160*D160</f>
        <v>10.21</v>
      </c>
      <c r="J160" s="12" t="n">
        <f aca="false">F160*D160</f>
        <v>0</v>
      </c>
      <c r="K160" s="12" t="n">
        <f aca="false">MAX(E160-G160,0)*D160</f>
        <v>0</v>
      </c>
      <c r="L160" s="12" t="n">
        <f aca="false">MAX(F160-H160,0)*D160</f>
        <v>0</v>
      </c>
      <c r="M160" s="12" t="n">
        <f aca="false">MAX(G160-E160,0)*D160</f>
        <v>46.6742857142857</v>
      </c>
      <c r="N160" s="12" t="n">
        <f aca="false">MAX(H160-F160,0)*D160</f>
        <v>37.9228571428571</v>
      </c>
      <c r="O160" s="26" t="n">
        <f aca="false">IFERROR(E160/DEMAND_MODEL!K160,999)</f>
        <v>2.33333333333333</v>
      </c>
      <c r="P160" s="26" t="n">
        <f aca="false">IFERROR(F160/DEMAND_MODEL!L160,999)</f>
        <v>0</v>
      </c>
    </row>
    <row r="161" customFormat="false" ht="15" hidden="false" customHeight="false" outlineLevel="0" collapsed="false">
      <c r="A161" s="5" t="n">
        <f aca="false">ITEM_MASTER_CLEAN!A161</f>
        <v>160</v>
      </c>
      <c r="B161" s="5" t="n">
        <f aca="false">ITEM_MASTER_CLEAN!B161</f>
        <v>67094</v>
      </c>
      <c r="C161" s="5" t="str">
        <f aca="false">ITEM_MASTER_CLEAN!C161</f>
        <v>PUMP SYRUP MONIN 750ML(WHITE) 1</v>
      </c>
      <c r="D161" s="12" t="n">
        <f aca="false">ITEM_MASTER_CLEAN!F161</f>
        <v>7.01</v>
      </c>
      <c r="E161" s="5" t="n">
        <f aca="false">ITEM_MASTER_CLEAN!H161</f>
        <v>1</v>
      </c>
      <c r="F161" s="5" t="n">
        <f aca="false">ITEM_MASTER_CLEAN!I161</f>
        <v>3</v>
      </c>
      <c r="G161" s="5" t="n">
        <f aca="false">PAR_LEVELS!J161</f>
        <v>1.85714285714286</v>
      </c>
      <c r="H161" s="5" t="n">
        <f aca="false">PAR_LEVELS!K161</f>
        <v>3.71428571428571</v>
      </c>
      <c r="I161" s="12" t="n">
        <f aca="false">E161*D161</f>
        <v>7.01</v>
      </c>
      <c r="J161" s="12" t="n">
        <f aca="false">F161*D161</f>
        <v>21.03</v>
      </c>
      <c r="K161" s="12" t="n">
        <f aca="false">MAX(E161-G161,0)*D161</f>
        <v>0</v>
      </c>
      <c r="L161" s="12" t="n">
        <f aca="false">MAX(F161-H161,0)*D161</f>
        <v>0</v>
      </c>
      <c r="M161" s="12" t="n">
        <f aca="false">MAX(G161-E161,0)*D161</f>
        <v>6.00857142857143</v>
      </c>
      <c r="N161" s="12" t="n">
        <f aca="false">MAX(H161-F161,0)*D161</f>
        <v>5.00714285714285</v>
      </c>
      <c r="O161" s="26" t="n">
        <f aca="false">IFERROR(E161/DEMAND_MODEL!K161,999)</f>
        <v>7</v>
      </c>
      <c r="P161" s="26" t="n">
        <f aca="false">IFERROR(F161/DEMAND_MODEL!L161,999)</f>
        <v>10.5</v>
      </c>
    </row>
    <row r="162" customFormat="false" ht="23.85" hidden="false" customHeight="false" outlineLevel="0" collapsed="false">
      <c r="A162" s="5" t="n">
        <f aca="false">ITEM_MASTER_CLEAN!A162</f>
        <v>161</v>
      </c>
      <c r="B162" s="5" t="n">
        <f aca="false">ITEM_MASTER_CLEAN!B162</f>
        <v>67106</v>
      </c>
      <c r="C162" s="5" t="str">
        <f aca="false">ITEM_MASTER_CLEAN!C162</f>
        <v>COFF ICED CONCENTRATE M-FT216F 4X1L</v>
      </c>
      <c r="D162" s="12" t="n">
        <f aca="false">ITEM_MASTER_CLEAN!F162</f>
        <v>13.1</v>
      </c>
      <c r="E162" s="5" t="n">
        <f aca="false">ITEM_MASTER_CLEAN!H162</f>
        <v>1</v>
      </c>
      <c r="F162" s="5" t="n">
        <f aca="false">ITEM_MASTER_CLEAN!I162</f>
        <v>3</v>
      </c>
      <c r="G162" s="5" t="n">
        <f aca="false">PAR_LEVELS!J162</f>
        <v>1.85714285714286</v>
      </c>
      <c r="H162" s="5" t="n">
        <f aca="false">PAR_LEVELS!K162</f>
        <v>3.71428571428571</v>
      </c>
      <c r="I162" s="12" t="n">
        <f aca="false">E162*D162</f>
        <v>13.1</v>
      </c>
      <c r="J162" s="12" t="n">
        <f aca="false">F162*D162</f>
        <v>39.3</v>
      </c>
      <c r="K162" s="12" t="n">
        <f aca="false">MAX(E162-G162,0)*D162</f>
        <v>0</v>
      </c>
      <c r="L162" s="12" t="n">
        <f aca="false">MAX(F162-H162,0)*D162</f>
        <v>0</v>
      </c>
      <c r="M162" s="12" t="n">
        <f aca="false">MAX(G162-E162,0)*D162</f>
        <v>11.2285714285714</v>
      </c>
      <c r="N162" s="12" t="n">
        <f aca="false">MAX(H162-F162,0)*D162</f>
        <v>9.35714285714285</v>
      </c>
      <c r="O162" s="26" t="n">
        <f aca="false">IFERROR(E162/DEMAND_MODEL!K162,999)</f>
        <v>7</v>
      </c>
      <c r="P162" s="26" t="n">
        <f aca="false">IFERROR(F162/DEMAND_MODEL!L162,999)</f>
        <v>10.5</v>
      </c>
    </row>
    <row r="163" customFormat="false" ht="15" hidden="false" customHeight="false" outlineLevel="0" collapsed="false">
      <c r="A163" s="5" t="n">
        <f aca="false">ITEM_MASTER_CLEAN!A163</f>
        <v>162</v>
      </c>
      <c r="B163" s="5" t="n">
        <f aca="false">ITEM_MASTER_CLEAN!B163</f>
        <v>25645</v>
      </c>
      <c r="C163" s="5" t="str">
        <f aca="false">ITEM_MASTER_CLEAN!C163</f>
        <v>WATER ESKA NATURAL SPRING 24X500ML</v>
      </c>
      <c r="D163" s="12" t="n">
        <f aca="false">ITEM_MASTER_CLEAN!F163</f>
        <v>13.46</v>
      </c>
      <c r="E163" s="5" t="n">
        <f aca="false">ITEM_MASTER_CLEAN!H163</f>
        <v>7</v>
      </c>
      <c r="F163" s="5" t="n">
        <f aca="false">ITEM_MASTER_CLEAN!I163</f>
        <v>4</v>
      </c>
      <c r="G163" s="5" t="n">
        <f aca="false">PAR_LEVELS!J163</f>
        <v>11.1428571428571</v>
      </c>
      <c r="H163" s="5" t="n">
        <f aca="false">PAR_LEVELS!K163</f>
        <v>7.42857142857143</v>
      </c>
      <c r="I163" s="12" t="n">
        <f aca="false">E163*D163</f>
        <v>94.22</v>
      </c>
      <c r="J163" s="12" t="n">
        <f aca="false">F163*D163</f>
        <v>53.84</v>
      </c>
      <c r="K163" s="12" t="n">
        <f aca="false">MAX(E163-G163,0)*D163</f>
        <v>0</v>
      </c>
      <c r="L163" s="12" t="n">
        <f aca="false">MAX(F163-H163,0)*D163</f>
        <v>0</v>
      </c>
      <c r="M163" s="12" t="n">
        <f aca="false">MAX(G163-E163,0)*D163</f>
        <v>55.7628571428571</v>
      </c>
      <c r="N163" s="12" t="n">
        <f aca="false">MAX(H163-F163,0)*D163</f>
        <v>46.1485714285714</v>
      </c>
      <c r="O163" s="26" t="n">
        <f aca="false">IFERROR(E163/DEMAND_MODEL!K163,999)</f>
        <v>8.16666666666667</v>
      </c>
      <c r="P163" s="26" t="n">
        <f aca="false">IFERROR(F163/DEMAND_MODEL!L163,999)</f>
        <v>7</v>
      </c>
    </row>
    <row r="164" customFormat="false" ht="15" hidden="false" customHeight="false" outlineLevel="0" collapsed="false">
      <c r="A164" s="5" t="n">
        <f aca="false">ITEM_MASTER_CLEAN!A164</f>
        <v>163</v>
      </c>
      <c r="B164" s="5" t="n">
        <f aca="false">ITEM_MASTER_CLEAN!B164</f>
        <v>724574</v>
      </c>
      <c r="C164" s="5" t="str">
        <f aca="false">ITEM_MASTER_CLEAN!C164</f>
        <v>BEV RED BULL SUGAR FREE 24X250ML</v>
      </c>
      <c r="D164" s="12" t="n">
        <f aca="false">ITEM_MASTER_CLEAN!F164</f>
        <v>54.25</v>
      </c>
      <c r="E164" s="5" t="n">
        <f aca="false">ITEM_MASTER_CLEAN!H164</f>
        <v>15</v>
      </c>
      <c r="F164" s="5" t="n">
        <f aca="false">ITEM_MASTER_CLEAN!I164</f>
        <v>0</v>
      </c>
      <c r="G164" s="5" t="n">
        <f aca="false">PAR_LEVELS!J164</f>
        <v>9.28571428571429</v>
      </c>
      <c r="H164" s="5" t="n">
        <f aca="false">PAR_LEVELS!K164</f>
        <v>3.71428571428571</v>
      </c>
      <c r="I164" s="12" t="n">
        <f aca="false">E164*D164</f>
        <v>813.75</v>
      </c>
      <c r="J164" s="12" t="n">
        <f aca="false">F164*D164</f>
        <v>0</v>
      </c>
      <c r="K164" s="12" t="n">
        <f aca="false">MAX(E164-G164,0)*D164</f>
        <v>310</v>
      </c>
      <c r="L164" s="12" t="n">
        <f aca="false">MAX(F164-H164,0)*D164</f>
        <v>0</v>
      </c>
      <c r="M164" s="12" t="n">
        <f aca="false">MAX(G164-E164,0)*D164</f>
        <v>0</v>
      </c>
      <c r="N164" s="12" t="n">
        <f aca="false">MAX(H164-F164,0)*D164</f>
        <v>201.5</v>
      </c>
      <c r="O164" s="26" t="n">
        <f aca="false">IFERROR(E164/DEMAND_MODEL!K164,999)</f>
        <v>21</v>
      </c>
      <c r="P164" s="26" t="n">
        <f aca="false">IFERROR(F164/DEMAND_MODEL!L164,999)</f>
        <v>0</v>
      </c>
    </row>
    <row r="165" customFormat="false" ht="15" hidden="false" customHeight="false" outlineLevel="0" collapsed="false">
      <c r="A165" s="5" t="n">
        <f aca="false">ITEM_MASTER_CLEAN!A165</f>
        <v>164</v>
      </c>
      <c r="B165" s="5" t="n">
        <f aca="false">ITEM_MASTER_CLEAN!B165</f>
        <v>724573</v>
      </c>
      <c r="C165" s="5" t="str">
        <f aca="false">ITEM_MASTER_CLEAN!C165</f>
        <v>BEV RED BULL 24X250ML</v>
      </c>
      <c r="D165" s="12" t="n">
        <f aca="false">ITEM_MASTER_CLEAN!F165</f>
        <v>53.39</v>
      </c>
      <c r="E165" s="5" t="n">
        <f aca="false">ITEM_MASTER_CLEAN!H165</f>
        <v>1</v>
      </c>
      <c r="F165" s="5" t="n">
        <f aca="false">ITEM_MASTER_CLEAN!I165</f>
        <v>1</v>
      </c>
      <c r="G165" s="5" t="n">
        <f aca="false">PAR_LEVELS!J165</f>
        <v>14.8571428571429</v>
      </c>
      <c r="H165" s="5" t="n">
        <f aca="false">PAR_LEVELS!K165</f>
        <v>9.28571428571429</v>
      </c>
      <c r="I165" s="12" t="n">
        <f aca="false">E165*D165</f>
        <v>53.39</v>
      </c>
      <c r="J165" s="12" t="n">
        <f aca="false">F165*D165</f>
        <v>53.39</v>
      </c>
      <c r="K165" s="12" t="n">
        <f aca="false">MAX(E165-G165,0)*D165</f>
        <v>0</v>
      </c>
      <c r="L165" s="12" t="n">
        <f aca="false">MAX(F165-H165,0)*D165</f>
        <v>0</v>
      </c>
      <c r="M165" s="12" t="n">
        <f aca="false">MAX(G165-E165,0)*D165</f>
        <v>739.832857142857</v>
      </c>
      <c r="N165" s="12" t="n">
        <f aca="false">MAX(H165-F165,0)*D165</f>
        <v>442.374285714286</v>
      </c>
      <c r="O165" s="26" t="n">
        <f aca="false">IFERROR(E165/DEMAND_MODEL!K165,999)</f>
        <v>0.875</v>
      </c>
      <c r="P165" s="26" t="n">
        <f aca="false">IFERROR(F165/DEMAND_MODEL!L165,999)</f>
        <v>1.4</v>
      </c>
    </row>
    <row r="166" customFormat="false" ht="15" hidden="false" customHeight="false" outlineLevel="0" collapsed="false">
      <c r="A166" s="5" t="n">
        <f aca="false">ITEM_MASTER_CLEAN!A166</f>
        <v>165</v>
      </c>
      <c r="B166" s="5" t="n">
        <f aca="false">ITEM_MASTER_CLEAN!B166</f>
        <v>724571</v>
      </c>
      <c r="C166" s="5" t="str">
        <f aca="false">ITEM_MASTER_CLEAN!C166</f>
        <v>BEV RED BULL WATERMELON 24X250ML</v>
      </c>
      <c r="D166" s="12" t="n">
        <f aca="false">ITEM_MASTER_CLEAN!F166</f>
        <v>59.27</v>
      </c>
      <c r="E166" s="5" t="n">
        <f aca="false">ITEM_MASTER_CLEAN!H166</f>
        <v>22</v>
      </c>
      <c r="F166" s="5" t="n">
        <f aca="false">ITEM_MASTER_CLEAN!I166</f>
        <v>2</v>
      </c>
      <c r="G166" s="5" t="n">
        <f aca="false">PAR_LEVELS!J166</f>
        <v>13</v>
      </c>
      <c r="H166" s="5" t="n">
        <f aca="false">PAR_LEVELS!K166</f>
        <v>9.28571428571429</v>
      </c>
      <c r="I166" s="12" t="n">
        <f aca="false">E166*D166</f>
        <v>1303.94</v>
      </c>
      <c r="J166" s="12" t="n">
        <f aca="false">F166*D166</f>
        <v>118.54</v>
      </c>
      <c r="K166" s="12" t="n">
        <f aca="false">MAX(E166-G166,0)*D166</f>
        <v>533.43</v>
      </c>
      <c r="L166" s="12" t="n">
        <f aca="false">MAX(F166-H166,0)*D166</f>
        <v>0</v>
      </c>
      <c r="M166" s="12" t="n">
        <f aca="false">MAX(G166-E166,0)*D166</f>
        <v>0</v>
      </c>
      <c r="N166" s="12" t="n">
        <f aca="false">MAX(H166-F166,0)*D166</f>
        <v>431.824285714286</v>
      </c>
      <c r="O166" s="26" t="n">
        <f aca="false">IFERROR(E166/DEMAND_MODEL!K166,999)</f>
        <v>22</v>
      </c>
      <c r="P166" s="26" t="n">
        <f aca="false">IFERROR(F166/DEMAND_MODEL!L166,999)</f>
        <v>2.8</v>
      </c>
    </row>
    <row r="167" customFormat="false" ht="15" hidden="false" customHeight="false" outlineLevel="0" collapsed="false">
      <c r="A167" s="5" t="n">
        <f aca="false">ITEM_MASTER_CLEAN!A167</f>
        <v>166</v>
      </c>
      <c r="B167" s="5" t="n">
        <f aca="false">ITEM_MASTER_CLEAN!B167</f>
        <v>45164</v>
      </c>
      <c r="C167" s="5" t="str">
        <f aca="false">ITEM_MASTER_CLEAN!C167</f>
        <v>POPPING BOBBA MANGO 2X3.1K</v>
      </c>
      <c r="D167" s="12" t="n">
        <f aca="false">ITEM_MASTER_CLEAN!F167</f>
        <v>28.94</v>
      </c>
      <c r="E167" s="5" t="n">
        <f aca="false">ITEM_MASTER_CLEAN!H167</f>
        <v>0</v>
      </c>
      <c r="F167" s="5" t="n">
        <f aca="false">ITEM_MASTER_CLEAN!I167</f>
        <v>12</v>
      </c>
      <c r="G167" s="5" t="n">
        <f aca="false">PAR_LEVELS!J167</f>
        <v>3.71428571428571</v>
      </c>
      <c r="H167" s="5" t="n">
        <f aca="false">PAR_LEVELS!K167</f>
        <v>7.42857142857143</v>
      </c>
      <c r="I167" s="12" t="n">
        <f aca="false">E167*D167</f>
        <v>0</v>
      </c>
      <c r="J167" s="12" t="n">
        <f aca="false">F167*D167</f>
        <v>347.28</v>
      </c>
      <c r="K167" s="12" t="n">
        <f aca="false">MAX(E167-G167,0)*D167</f>
        <v>0</v>
      </c>
      <c r="L167" s="12" t="n">
        <f aca="false">MAX(F167-H167,0)*D167</f>
        <v>132.297142857143</v>
      </c>
      <c r="M167" s="12" t="n">
        <f aca="false">MAX(G167-E167,0)*D167</f>
        <v>107.491428571429</v>
      </c>
      <c r="N167" s="12" t="n">
        <f aca="false">MAX(H167-F167,0)*D167</f>
        <v>0</v>
      </c>
      <c r="O167" s="26" t="n">
        <f aca="false">IFERROR(E167/DEMAND_MODEL!K167,999)</f>
        <v>0</v>
      </c>
      <c r="P167" s="26" t="n">
        <f aca="false">IFERROR(F167/DEMAND_MODEL!L167,999)</f>
        <v>21</v>
      </c>
    </row>
    <row r="168" customFormat="false" ht="15" hidden="false" customHeight="false" outlineLevel="0" collapsed="false">
      <c r="A168" s="5" t="n">
        <f aca="false">ITEM_MASTER_CLEAN!A168</f>
        <v>167</v>
      </c>
      <c r="B168" s="5" t="n">
        <f aca="false">ITEM_MASTER_CLEAN!B168</f>
        <v>52266</v>
      </c>
      <c r="C168" s="5" t="str">
        <f aca="false">ITEM_MASTER_CLEAN!C168</f>
        <v>POPPING BOBBA STRAWBERRY 2X3.1K</v>
      </c>
      <c r="D168" s="12" t="n">
        <f aca="false">ITEM_MASTER_CLEAN!F168</f>
        <v>22.17</v>
      </c>
      <c r="E168" s="5" t="n">
        <f aca="false">ITEM_MASTER_CLEAN!H168</f>
        <v>3</v>
      </c>
      <c r="F168" s="5" t="n">
        <f aca="false">ITEM_MASTER_CLEAN!I168</f>
        <v>5</v>
      </c>
      <c r="G168" s="5" t="n">
        <f aca="false">PAR_LEVELS!J168</f>
        <v>3.71428571428571</v>
      </c>
      <c r="H168" s="5" t="n">
        <f aca="false">PAR_LEVELS!K168</f>
        <v>5.57142857142857</v>
      </c>
      <c r="I168" s="12" t="n">
        <f aca="false">E168*D168</f>
        <v>66.51</v>
      </c>
      <c r="J168" s="12" t="n">
        <f aca="false">F168*D168</f>
        <v>110.85</v>
      </c>
      <c r="K168" s="12" t="n">
        <f aca="false">MAX(E168-G168,0)*D168</f>
        <v>0</v>
      </c>
      <c r="L168" s="12" t="n">
        <f aca="false">MAX(F168-H168,0)*D168</f>
        <v>0</v>
      </c>
      <c r="M168" s="12" t="n">
        <f aca="false">MAX(G168-E168,0)*D168</f>
        <v>15.8357142857143</v>
      </c>
      <c r="N168" s="12" t="n">
        <f aca="false">MAX(H168-F168,0)*D168</f>
        <v>12.6685714285714</v>
      </c>
      <c r="O168" s="26" t="n">
        <f aca="false">IFERROR(E168/DEMAND_MODEL!K168,999)</f>
        <v>10.5</v>
      </c>
      <c r="P168" s="26" t="n">
        <f aca="false">IFERROR(F168/DEMAND_MODEL!L168,999)</f>
        <v>11.6666666666667</v>
      </c>
    </row>
    <row r="169" customFormat="false" ht="23.85" hidden="false" customHeight="false" outlineLevel="0" collapsed="false">
      <c r="A169" s="5" t="n">
        <f aca="false">ITEM_MASTER_CLEAN!A169</f>
        <v>168</v>
      </c>
      <c r="B169" s="5" t="n">
        <f aca="false">ITEM_MASTER_CLEAN!B169</f>
        <v>39813</v>
      </c>
      <c r="C169" s="5" t="str">
        <f aca="false">ITEM_MASTER_CLEAN!C169</f>
        <v>LADIP SMOOTH MAN/PCH(SUNRIZE)40X135</v>
      </c>
      <c r="D169" s="12" t="n">
        <f aca="false">ITEM_MASTER_CLEAN!F169</f>
        <v>25.74</v>
      </c>
      <c r="E169" s="5" t="n">
        <f aca="false">ITEM_MASTER_CLEAN!H169</f>
        <v>18</v>
      </c>
      <c r="F169" s="5" t="n">
        <f aca="false">ITEM_MASTER_CLEAN!I169</f>
        <v>0</v>
      </c>
      <c r="G169" s="5" t="n">
        <f aca="false">PAR_LEVELS!J169</f>
        <v>9.28571428571429</v>
      </c>
      <c r="H169" s="5" t="n">
        <f aca="false">PAR_LEVELS!K169</f>
        <v>1.85714285714286</v>
      </c>
      <c r="I169" s="12" t="n">
        <f aca="false">E169*D169</f>
        <v>463.32</v>
      </c>
      <c r="J169" s="12" t="n">
        <f aca="false">F169*D169</f>
        <v>0</v>
      </c>
      <c r="K169" s="12" t="n">
        <f aca="false">MAX(E169-G169,0)*D169</f>
        <v>224.305714285714</v>
      </c>
      <c r="L169" s="12" t="n">
        <f aca="false">MAX(F169-H169,0)*D169</f>
        <v>0</v>
      </c>
      <c r="M169" s="12" t="n">
        <f aca="false">MAX(G169-E169,0)*D169</f>
        <v>0</v>
      </c>
      <c r="N169" s="12" t="n">
        <f aca="false">MAX(H169-F169,0)*D169</f>
        <v>47.8028571428571</v>
      </c>
      <c r="O169" s="26" t="n">
        <f aca="false">IFERROR(E169/DEMAND_MODEL!K169,999)</f>
        <v>25.2</v>
      </c>
      <c r="P169" s="26" t="n">
        <f aca="false">IFERROR(F169/DEMAND_MODEL!L169,999)</f>
        <v>0</v>
      </c>
    </row>
    <row r="170" customFormat="false" ht="15" hidden="false" customHeight="false" outlineLevel="0" collapsed="false">
      <c r="A170" s="5" t="n">
        <f aca="false">ITEM_MASTER_CLEAN!A170</f>
        <v>169</v>
      </c>
      <c r="B170" s="5" t="n">
        <f aca="false">ITEM_MASTER_CLEAN!B170</f>
        <v>39814</v>
      </c>
      <c r="C170" s="5" t="str">
        <f aca="false">ITEM_MASTER_CLEAN!C170</f>
        <v>LADIP SMOOTHIE MAN/KIWI(AZUR)40X135</v>
      </c>
      <c r="D170" s="12" t="n">
        <f aca="false">ITEM_MASTER_CLEAN!F170</f>
        <v>42.18</v>
      </c>
      <c r="E170" s="5" t="n">
        <f aca="false">ITEM_MASTER_CLEAN!H170</f>
        <v>3</v>
      </c>
      <c r="F170" s="5" t="n">
        <f aca="false">ITEM_MASTER_CLEAN!I170</f>
        <v>4</v>
      </c>
      <c r="G170" s="5" t="n">
        <f aca="false">PAR_LEVELS!J170</f>
        <v>3.71428571428571</v>
      </c>
      <c r="H170" s="5" t="n">
        <f aca="false">PAR_LEVELS!K170</f>
        <v>5.57142857142857</v>
      </c>
      <c r="I170" s="12" t="n">
        <f aca="false">E170*D170</f>
        <v>126.54</v>
      </c>
      <c r="J170" s="12" t="n">
        <f aca="false">F170*D170</f>
        <v>168.72</v>
      </c>
      <c r="K170" s="12" t="n">
        <f aca="false">MAX(E170-G170,0)*D170</f>
        <v>0</v>
      </c>
      <c r="L170" s="12" t="n">
        <f aca="false">MAX(F170-H170,0)*D170</f>
        <v>0</v>
      </c>
      <c r="M170" s="12" t="n">
        <f aca="false">MAX(G170-E170,0)*D170</f>
        <v>30.1285714285714</v>
      </c>
      <c r="N170" s="12" t="n">
        <f aca="false">MAX(H170-F170,0)*D170</f>
        <v>66.2828571428571</v>
      </c>
      <c r="O170" s="26" t="n">
        <f aca="false">IFERROR(E170/DEMAND_MODEL!K170,999)</f>
        <v>10.5</v>
      </c>
      <c r="P170" s="26" t="n">
        <f aca="false">IFERROR(F170/DEMAND_MODEL!L170,999)</f>
        <v>9.33333333333333</v>
      </c>
    </row>
    <row r="171" customFormat="false" ht="15" hidden="false" customHeight="false" outlineLevel="0" collapsed="false">
      <c r="A171" s="5" t="n">
        <f aca="false">ITEM_MASTER_CLEAN!A171</f>
        <v>170</v>
      </c>
      <c r="B171" s="5" t="n">
        <f aca="false">ITEM_MASTER_CLEAN!B171</f>
        <v>32548</v>
      </c>
      <c r="C171" s="5" t="str">
        <f aca="false">ITEM_MASTER_CLEAN!C171</f>
        <v>JCE LEMON REALEMON K 2X3.8L</v>
      </c>
      <c r="D171" s="12" t="n">
        <f aca="false">ITEM_MASTER_CLEAN!F171</f>
        <v>39.86</v>
      </c>
      <c r="E171" s="5" t="n">
        <f aca="false">ITEM_MASTER_CLEAN!H171</f>
        <v>5</v>
      </c>
      <c r="F171" s="5" t="n">
        <f aca="false">ITEM_MASTER_CLEAN!I171</f>
        <v>2</v>
      </c>
      <c r="G171" s="5" t="n">
        <f aca="false">PAR_LEVELS!J171</f>
        <v>9.28571428571429</v>
      </c>
      <c r="H171" s="5" t="n">
        <f aca="false">PAR_LEVELS!K171</f>
        <v>3.71428571428571</v>
      </c>
      <c r="I171" s="12" t="n">
        <f aca="false">E171*D171</f>
        <v>199.3</v>
      </c>
      <c r="J171" s="12" t="n">
        <f aca="false">F171*D171</f>
        <v>79.72</v>
      </c>
      <c r="K171" s="12" t="n">
        <f aca="false">MAX(E171-G171,0)*D171</f>
        <v>0</v>
      </c>
      <c r="L171" s="12" t="n">
        <f aca="false">MAX(F171-H171,0)*D171</f>
        <v>0</v>
      </c>
      <c r="M171" s="12" t="n">
        <f aca="false">MAX(G171-E171,0)*D171</f>
        <v>170.828571428571</v>
      </c>
      <c r="N171" s="12" t="n">
        <f aca="false">MAX(H171-F171,0)*D171</f>
        <v>68.3314285714286</v>
      </c>
      <c r="O171" s="26" t="n">
        <f aca="false">IFERROR(E171/DEMAND_MODEL!K171,999)</f>
        <v>7</v>
      </c>
      <c r="P171" s="26" t="n">
        <f aca="false">IFERROR(F171/DEMAND_MODEL!L171,999)</f>
        <v>7</v>
      </c>
    </row>
    <row r="172" customFormat="false" ht="15" hidden="false" customHeight="false" outlineLevel="0" collapsed="false">
      <c r="A172" s="5" t="n">
        <f aca="false">ITEM_MASTER_CLEAN!A172</f>
        <v>171</v>
      </c>
      <c r="B172" s="5" t="n">
        <f aca="false">ITEM_MASTER_CLEAN!B172</f>
        <v>67168</v>
      </c>
      <c r="C172" s="5" t="str">
        <f aca="false">ITEM_MASTER_CLEAN!C172</f>
        <v>SYRUP MANGO M-FR032F 1L</v>
      </c>
      <c r="D172" s="12" t="n">
        <f aca="false">ITEM_MASTER_CLEAN!F172</f>
        <v>10.26</v>
      </c>
      <c r="E172" s="5" t="n">
        <f aca="false">ITEM_MASTER_CLEAN!H172</f>
        <v>1</v>
      </c>
      <c r="F172" s="5" t="n">
        <f aca="false">ITEM_MASTER_CLEAN!I172</f>
        <v>0</v>
      </c>
      <c r="G172" s="5" t="n">
        <f aca="false">PAR_LEVELS!J172</f>
        <v>5.57142857142857</v>
      </c>
      <c r="H172" s="5" t="n">
        <f aca="false">PAR_LEVELS!K172</f>
        <v>1.85714285714286</v>
      </c>
      <c r="I172" s="12" t="n">
        <f aca="false">E172*D172</f>
        <v>10.26</v>
      </c>
      <c r="J172" s="12" t="n">
        <f aca="false">F172*D172</f>
        <v>0</v>
      </c>
      <c r="K172" s="12" t="n">
        <f aca="false">MAX(E172-G172,0)*D172</f>
        <v>0</v>
      </c>
      <c r="L172" s="12" t="n">
        <f aca="false">MAX(F172-H172,0)*D172</f>
        <v>0</v>
      </c>
      <c r="M172" s="12" t="n">
        <f aca="false">MAX(G172-E172,0)*D172</f>
        <v>46.9028571428571</v>
      </c>
      <c r="N172" s="12" t="n">
        <f aca="false">MAX(H172-F172,0)*D172</f>
        <v>19.0542857142857</v>
      </c>
      <c r="O172" s="26" t="n">
        <f aca="false">IFERROR(E172/DEMAND_MODEL!K172,999)</f>
        <v>2.33333333333333</v>
      </c>
      <c r="P172" s="26" t="n">
        <f aca="false">IFERROR(F172/DEMAND_MODEL!L172,999)</f>
        <v>0</v>
      </c>
    </row>
    <row r="173" customFormat="false" ht="15" hidden="false" customHeight="false" outlineLevel="0" collapsed="false">
      <c r="A173" s="5" t="n">
        <f aca="false">ITEM_MASTER_CLEAN!A173</f>
        <v>172</v>
      </c>
      <c r="B173" s="5" t="n">
        <f aca="false">ITEM_MASTER_CLEAN!B173</f>
        <v>67154</v>
      </c>
      <c r="C173" s="5" t="str">
        <f aca="false">ITEM_MASTER_CLEAN!C173</f>
        <v>SYRUP PASSION FRUIT 1L</v>
      </c>
      <c r="D173" s="12" t="n">
        <f aca="false">ITEM_MASTER_CLEAN!F173</f>
        <v>10.22</v>
      </c>
      <c r="E173" s="5" t="n">
        <f aca="false">ITEM_MASTER_CLEAN!H173</f>
        <v>1</v>
      </c>
      <c r="F173" s="5" t="n">
        <f aca="false">ITEM_MASTER_CLEAN!I173</f>
        <v>9</v>
      </c>
      <c r="G173" s="5" t="n">
        <f aca="false">PAR_LEVELS!J173</f>
        <v>5.57142857142857</v>
      </c>
      <c r="H173" s="5" t="n">
        <f aca="false">PAR_LEVELS!K173</f>
        <v>5.57142857142857</v>
      </c>
      <c r="I173" s="12" t="n">
        <f aca="false">E173*D173</f>
        <v>10.22</v>
      </c>
      <c r="J173" s="12" t="n">
        <f aca="false">F173*D173</f>
        <v>91.98</v>
      </c>
      <c r="K173" s="12" t="n">
        <f aca="false">MAX(E173-G173,0)*D173</f>
        <v>0</v>
      </c>
      <c r="L173" s="12" t="n">
        <f aca="false">MAX(F173-H173,0)*D173</f>
        <v>35.04</v>
      </c>
      <c r="M173" s="12" t="n">
        <f aca="false">MAX(G173-E173,0)*D173</f>
        <v>46.72</v>
      </c>
      <c r="N173" s="12" t="n">
        <f aca="false">MAX(H173-F173,0)*D173</f>
        <v>0</v>
      </c>
      <c r="O173" s="26" t="n">
        <f aca="false">IFERROR(E173/DEMAND_MODEL!K173,999)</f>
        <v>2.33333333333333</v>
      </c>
      <c r="P173" s="26" t="n">
        <f aca="false">IFERROR(F173/DEMAND_MODEL!L173,999)</f>
        <v>21</v>
      </c>
    </row>
    <row r="174" customFormat="false" ht="15" hidden="false" customHeight="false" outlineLevel="0" collapsed="false">
      <c r="A174" s="5" t="n">
        <f aca="false">ITEM_MASTER_CLEAN!A174</f>
        <v>173</v>
      </c>
      <c r="B174" s="5" t="n">
        <f aca="false">ITEM_MASTER_CLEAN!B174</f>
        <v>67132</v>
      </c>
      <c r="C174" s="5" t="str">
        <f aca="false">ITEM_MASTER_CLEAN!C174</f>
        <v>SYRUP BLUE CURACAO M-AR007A  750ML</v>
      </c>
      <c r="D174" s="12" t="n">
        <f aca="false">ITEM_MASTER_CLEAN!F174</f>
        <v>12.46</v>
      </c>
      <c r="E174" s="5" t="n">
        <f aca="false">ITEM_MASTER_CLEAN!H174</f>
        <v>6</v>
      </c>
      <c r="F174" s="5" t="n">
        <f aca="false">ITEM_MASTER_CLEAN!I174</f>
        <v>3</v>
      </c>
      <c r="G174" s="5" t="n">
        <f aca="false">PAR_LEVELS!J174</f>
        <v>9.28571428571429</v>
      </c>
      <c r="H174" s="5" t="n">
        <f aca="false">PAR_LEVELS!K174</f>
        <v>5.57142857142857</v>
      </c>
      <c r="I174" s="12" t="n">
        <f aca="false">E174*D174</f>
        <v>74.76</v>
      </c>
      <c r="J174" s="12" t="n">
        <f aca="false">F174*D174</f>
        <v>37.38</v>
      </c>
      <c r="K174" s="12" t="n">
        <f aca="false">MAX(E174-G174,0)*D174</f>
        <v>0</v>
      </c>
      <c r="L174" s="12" t="n">
        <f aca="false">MAX(F174-H174,0)*D174</f>
        <v>0</v>
      </c>
      <c r="M174" s="12" t="n">
        <f aca="false">MAX(G174-E174,0)*D174</f>
        <v>40.94</v>
      </c>
      <c r="N174" s="12" t="n">
        <f aca="false">MAX(H174-F174,0)*D174</f>
        <v>32.04</v>
      </c>
      <c r="O174" s="26" t="n">
        <f aca="false">IFERROR(E174/DEMAND_MODEL!K174,999)</f>
        <v>8.4</v>
      </c>
      <c r="P174" s="26" t="n">
        <f aca="false">IFERROR(F174/DEMAND_MODEL!L174,999)</f>
        <v>7</v>
      </c>
    </row>
    <row r="175" customFormat="false" ht="15" hidden="false" customHeight="false" outlineLevel="0" collapsed="false">
      <c r="A175" s="5" t="n">
        <f aca="false">ITEM_MASTER_CLEAN!A175</f>
        <v>174</v>
      </c>
      <c r="B175" s="5" t="n">
        <f aca="false">ITEM_MASTER_CLEAN!B175</f>
        <v>61661</v>
      </c>
      <c r="C175" s="5" t="str">
        <f aca="false">ITEM_MASTER_CLEAN!C175</f>
        <v>SYRUP RUBY RD GRFRUIT MONIN 1L</v>
      </c>
      <c r="D175" s="12" t="n">
        <f aca="false">ITEM_MASTER_CLEAN!F175</f>
        <v>14.81</v>
      </c>
      <c r="E175" s="5" t="n">
        <f aca="false">ITEM_MASTER_CLEAN!H175</f>
        <v>1</v>
      </c>
      <c r="F175" s="5" t="n">
        <f aca="false">ITEM_MASTER_CLEAN!I175</f>
        <v>3</v>
      </c>
      <c r="G175" s="5" t="n">
        <f aca="false">PAR_LEVELS!J175</f>
        <v>9.28571428571429</v>
      </c>
      <c r="H175" s="5" t="n">
        <f aca="false">PAR_LEVELS!K175</f>
        <v>1.85714285714286</v>
      </c>
      <c r="I175" s="12" t="n">
        <f aca="false">E175*D175</f>
        <v>14.81</v>
      </c>
      <c r="J175" s="12" t="n">
        <f aca="false">F175*D175</f>
        <v>44.43</v>
      </c>
      <c r="K175" s="12" t="n">
        <f aca="false">MAX(E175-G175,0)*D175</f>
        <v>0</v>
      </c>
      <c r="L175" s="12" t="n">
        <f aca="false">MAX(F175-H175,0)*D175</f>
        <v>16.9257142857143</v>
      </c>
      <c r="M175" s="12" t="n">
        <f aca="false">MAX(G175-E175,0)*D175</f>
        <v>122.711428571429</v>
      </c>
      <c r="N175" s="12" t="n">
        <f aca="false">MAX(H175-F175,0)*D175</f>
        <v>0</v>
      </c>
      <c r="O175" s="26" t="n">
        <f aca="false">IFERROR(E175/DEMAND_MODEL!K175,999)</f>
        <v>1.4</v>
      </c>
      <c r="P175" s="26" t="n">
        <f aca="false">IFERROR(F175/DEMAND_MODEL!L175,999)</f>
        <v>21</v>
      </c>
    </row>
    <row r="176" customFormat="false" ht="15" hidden="false" customHeight="false" outlineLevel="0" collapsed="false">
      <c r="A176" s="5" t="n">
        <f aca="false">ITEM_MASTER_CLEAN!A176</f>
        <v>175</v>
      </c>
      <c r="B176" s="5" t="n">
        <f aca="false">ITEM_MASTER_CLEAN!B176</f>
        <v>67085</v>
      </c>
      <c r="C176" s="5" t="str">
        <f aca="false">ITEM_MASTER_CLEAN!C176</f>
        <v>SYRUP STRAWBERRY MONIN K 750ML</v>
      </c>
      <c r="D176" s="12" t="n">
        <f aca="false">ITEM_MASTER_CLEAN!F176</f>
        <v>25.18</v>
      </c>
      <c r="E176" s="5" t="n">
        <f aca="false">ITEM_MASTER_CLEAN!H176</f>
        <v>0</v>
      </c>
      <c r="F176" s="5" t="n">
        <f aca="false">ITEM_MASTER_CLEAN!I176</f>
        <v>2</v>
      </c>
      <c r="G176" s="5" t="n">
        <f aca="false">PAR_LEVELS!J176</f>
        <v>5.57142857142857</v>
      </c>
      <c r="H176" s="5" t="n">
        <f aca="false">PAR_LEVELS!K176</f>
        <v>7.42857142857143</v>
      </c>
      <c r="I176" s="12" t="n">
        <f aca="false">E176*D176</f>
        <v>0</v>
      </c>
      <c r="J176" s="12" t="n">
        <f aca="false">F176*D176</f>
        <v>50.36</v>
      </c>
      <c r="K176" s="12" t="n">
        <f aca="false">MAX(E176-G176,0)*D176</f>
        <v>0</v>
      </c>
      <c r="L176" s="12" t="n">
        <f aca="false">MAX(F176-H176,0)*D176</f>
        <v>0</v>
      </c>
      <c r="M176" s="12" t="n">
        <f aca="false">MAX(G176-E176,0)*D176</f>
        <v>140.288571428571</v>
      </c>
      <c r="N176" s="12" t="n">
        <f aca="false">MAX(H176-F176,0)*D176</f>
        <v>136.691428571429</v>
      </c>
      <c r="O176" s="26" t="n">
        <f aca="false">IFERROR(E176/DEMAND_MODEL!K176,999)</f>
        <v>0</v>
      </c>
      <c r="P176" s="26" t="n">
        <f aca="false">IFERROR(F176/DEMAND_MODEL!L176,999)</f>
        <v>3.5</v>
      </c>
    </row>
    <row r="177" customFormat="false" ht="15" hidden="false" customHeight="false" outlineLevel="0" collapsed="false">
      <c r="A177" s="5" t="n">
        <f aca="false">ITEM_MASTER_CLEAN!A177</f>
        <v>176</v>
      </c>
      <c r="B177" s="5" t="n">
        <f aca="false">ITEM_MASTER_CLEAN!B177</f>
        <v>67063</v>
      </c>
      <c r="C177" s="5" t="str">
        <f aca="false">ITEM_MASTER_CLEAN!C177</f>
        <v>SYRUP DRAGON FRUIT M-FR298F   1L</v>
      </c>
      <c r="D177" s="12" t="n">
        <f aca="false">ITEM_MASTER_CLEAN!F177</f>
        <v>11.65</v>
      </c>
      <c r="E177" s="5" t="n">
        <f aca="false">ITEM_MASTER_CLEAN!H177</f>
        <v>0</v>
      </c>
      <c r="F177" s="5" t="n">
        <f aca="false">ITEM_MASTER_CLEAN!I177</f>
        <v>2</v>
      </c>
      <c r="G177" s="5" t="n">
        <f aca="false">PAR_LEVELS!J177</f>
        <v>3.71428571428571</v>
      </c>
      <c r="H177" s="5" t="n">
        <f aca="false">PAR_LEVELS!K177</f>
        <v>1.85714285714286</v>
      </c>
      <c r="I177" s="12" t="n">
        <f aca="false">E177*D177</f>
        <v>0</v>
      </c>
      <c r="J177" s="12" t="n">
        <f aca="false">F177*D177</f>
        <v>23.3</v>
      </c>
      <c r="K177" s="12" t="n">
        <f aca="false">MAX(E177-G177,0)*D177</f>
        <v>0</v>
      </c>
      <c r="L177" s="12" t="n">
        <f aca="false">MAX(F177-H177,0)*D177</f>
        <v>1.66428571428572</v>
      </c>
      <c r="M177" s="12" t="n">
        <f aca="false">MAX(G177-E177,0)*D177</f>
        <v>43.2714285714286</v>
      </c>
      <c r="N177" s="12" t="n">
        <f aca="false">MAX(H177-F177,0)*D177</f>
        <v>0</v>
      </c>
      <c r="O177" s="26" t="n">
        <f aca="false">IFERROR(E177/DEMAND_MODEL!K177,999)</f>
        <v>0</v>
      </c>
      <c r="P177" s="26" t="n">
        <f aca="false">IFERROR(F177/DEMAND_MODEL!L177,999)</f>
        <v>14</v>
      </c>
    </row>
    <row r="178" customFormat="false" ht="15" hidden="false" customHeight="false" outlineLevel="0" collapsed="false">
      <c r="A178" s="5" t="n">
        <f aca="false">ITEM_MASTER_CLEAN!A178</f>
        <v>177</v>
      </c>
      <c r="B178" s="5" t="n">
        <f aca="false">ITEM_MASTER_CLEAN!B178</f>
        <v>61739</v>
      </c>
      <c r="C178" s="5" t="str">
        <f aca="false">ITEM_MASTER_CLEAN!C178</f>
        <v>SYRUP HIBISCUS MONIN 1L</v>
      </c>
      <c r="D178" s="12" t="n">
        <f aca="false">ITEM_MASTER_CLEAN!F178</f>
        <v>14.07</v>
      </c>
      <c r="E178" s="5" t="n">
        <f aca="false">ITEM_MASTER_CLEAN!H178</f>
        <v>7</v>
      </c>
      <c r="F178" s="5" t="n">
        <f aca="false">ITEM_MASTER_CLEAN!I178</f>
        <v>1</v>
      </c>
      <c r="G178" s="5" t="n">
        <f aca="false">PAR_LEVELS!J178</f>
        <v>9.28571428571429</v>
      </c>
      <c r="H178" s="5" t="n">
        <f aca="false">PAR_LEVELS!K178</f>
        <v>1.85714285714286</v>
      </c>
      <c r="I178" s="12" t="n">
        <f aca="false">E178*D178</f>
        <v>98.49</v>
      </c>
      <c r="J178" s="12" t="n">
        <f aca="false">F178*D178</f>
        <v>14.07</v>
      </c>
      <c r="K178" s="12" t="n">
        <f aca="false">MAX(E178-G178,0)*D178</f>
        <v>0</v>
      </c>
      <c r="L178" s="12" t="n">
        <f aca="false">MAX(F178-H178,0)*D178</f>
        <v>0</v>
      </c>
      <c r="M178" s="12" t="n">
        <f aca="false">MAX(G178-E178,0)*D178</f>
        <v>32.16</v>
      </c>
      <c r="N178" s="12" t="n">
        <f aca="false">MAX(H178-F178,0)*D178</f>
        <v>12.06</v>
      </c>
      <c r="O178" s="26" t="n">
        <f aca="false">IFERROR(E178/DEMAND_MODEL!K178,999)</f>
        <v>9.8</v>
      </c>
      <c r="P178" s="26" t="n">
        <f aca="false">IFERROR(F178/DEMAND_MODEL!L178,999)</f>
        <v>7</v>
      </c>
    </row>
    <row r="179" customFormat="false" ht="15" hidden="false" customHeight="false" outlineLevel="0" collapsed="false">
      <c r="A179" s="5" t="n">
        <f aca="false">ITEM_MASTER_CLEAN!A179</f>
        <v>178</v>
      </c>
      <c r="B179" s="5" t="n">
        <f aca="false">ITEM_MASTER_CLEAN!B179</f>
        <v>39817</v>
      </c>
      <c r="C179" s="5" t="str">
        <f aca="false">ITEM_MASTER_CLEAN!C179</f>
        <v>LADIP SMOOTH VANILLA/MAPLE 40X150G</v>
      </c>
      <c r="D179" s="12" t="n">
        <f aca="false">ITEM_MASTER_CLEAN!F179</f>
        <v>8.55</v>
      </c>
      <c r="E179" s="5" t="n">
        <f aca="false">ITEM_MASTER_CLEAN!H179</f>
        <v>3</v>
      </c>
      <c r="F179" s="5" t="n">
        <f aca="false">ITEM_MASTER_CLEAN!I179</f>
        <v>5</v>
      </c>
      <c r="G179" s="5" t="n">
        <f aca="false">PAR_LEVELS!J179</f>
        <v>5.57142857142857</v>
      </c>
      <c r="H179" s="5" t="n">
        <f aca="false">PAR_LEVELS!K179</f>
        <v>7.42857142857143</v>
      </c>
      <c r="I179" s="12" t="n">
        <f aca="false">E179*D179</f>
        <v>25.65</v>
      </c>
      <c r="J179" s="12" t="n">
        <f aca="false">F179*D179</f>
        <v>42.75</v>
      </c>
      <c r="K179" s="12" t="n">
        <f aca="false">MAX(E179-G179,0)*D179</f>
        <v>0</v>
      </c>
      <c r="L179" s="12" t="n">
        <f aca="false">MAX(F179-H179,0)*D179</f>
        <v>0</v>
      </c>
      <c r="M179" s="12" t="n">
        <f aca="false">MAX(G179-E179,0)*D179</f>
        <v>21.9857142857143</v>
      </c>
      <c r="N179" s="12" t="n">
        <f aca="false">MAX(H179-F179,0)*D179</f>
        <v>20.7642857142857</v>
      </c>
      <c r="O179" s="26" t="n">
        <f aca="false">IFERROR(E179/DEMAND_MODEL!K179,999)</f>
        <v>7</v>
      </c>
      <c r="P179" s="26" t="n">
        <f aca="false">IFERROR(F179/DEMAND_MODEL!L179,999)</f>
        <v>8.75</v>
      </c>
    </row>
    <row r="180" customFormat="false" ht="15" hidden="false" customHeight="false" outlineLevel="0" collapsed="false">
      <c r="A180" s="5" t="n">
        <f aca="false">ITEM_MASTER_CLEAN!A180</f>
        <v>179</v>
      </c>
      <c r="B180" s="5" t="n">
        <f aca="false">ITEM_MASTER_CLEAN!B180</f>
        <v>67088</v>
      </c>
      <c r="C180" s="5" t="str">
        <f aca="false">ITEM_MASTER_CLEAN!C180</f>
        <v>SYRUP PEACH MONIN K 750ML</v>
      </c>
      <c r="D180" s="12" t="n">
        <f aca="false">ITEM_MASTER_CLEAN!F180</f>
        <v>10.39</v>
      </c>
      <c r="E180" s="5" t="n">
        <f aca="false">ITEM_MASTER_CLEAN!H180</f>
        <v>4</v>
      </c>
      <c r="F180" s="5" t="n">
        <f aca="false">ITEM_MASTER_CLEAN!I180</f>
        <v>2</v>
      </c>
      <c r="G180" s="5" t="n">
        <f aca="false">PAR_LEVELS!J180</f>
        <v>7.42857142857143</v>
      </c>
      <c r="H180" s="5" t="n">
        <f aca="false">PAR_LEVELS!K180</f>
        <v>3.71428571428571</v>
      </c>
      <c r="I180" s="12" t="n">
        <f aca="false">E180*D180</f>
        <v>41.56</v>
      </c>
      <c r="J180" s="12" t="n">
        <f aca="false">F180*D180</f>
        <v>20.78</v>
      </c>
      <c r="K180" s="12" t="n">
        <f aca="false">MAX(E180-G180,0)*D180</f>
        <v>0</v>
      </c>
      <c r="L180" s="12" t="n">
        <f aca="false">MAX(F180-H180,0)*D180</f>
        <v>0</v>
      </c>
      <c r="M180" s="12" t="n">
        <f aca="false">MAX(G180-E180,0)*D180</f>
        <v>35.6228571428571</v>
      </c>
      <c r="N180" s="12" t="n">
        <f aca="false">MAX(H180-F180,0)*D180</f>
        <v>17.8114285714286</v>
      </c>
      <c r="O180" s="26" t="n">
        <f aca="false">IFERROR(E180/DEMAND_MODEL!K180,999)</f>
        <v>7</v>
      </c>
      <c r="P180" s="26" t="n">
        <f aca="false">IFERROR(F180/DEMAND_MODEL!L180,999)</f>
        <v>7</v>
      </c>
    </row>
    <row r="181" customFormat="false" ht="15" hidden="false" customHeight="false" outlineLevel="0" collapsed="false">
      <c r="A181" s="5" t="n">
        <f aca="false">ITEM_MASTER_CLEAN!A181</f>
        <v>180</v>
      </c>
      <c r="B181" s="5" t="n">
        <f aca="false">ITEM_MASTER_CLEAN!B181</f>
        <v>67094</v>
      </c>
      <c r="C181" s="5" t="str">
        <f aca="false">ITEM_MASTER_CLEAN!C181</f>
        <v>PUMP SYRUP MONIN 750ML(WHITE) 1</v>
      </c>
      <c r="D181" s="12" t="n">
        <f aca="false">ITEM_MASTER_CLEAN!F181</f>
        <v>6.87</v>
      </c>
      <c r="E181" s="5" t="n">
        <f aca="false">ITEM_MASTER_CLEAN!H181</f>
        <v>1</v>
      </c>
      <c r="F181" s="5" t="n">
        <f aca="false">ITEM_MASTER_CLEAN!I181</f>
        <v>7</v>
      </c>
      <c r="G181" s="5" t="n">
        <f aca="false">PAR_LEVELS!J181</f>
        <v>9.28571428571429</v>
      </c>
      <c r="H181" s="5" t="n">
        <f aca="false">PAR_LEVELS!K181</f>
        <v>3.71428571428571</v>
      </c>
      <c r="I181" s="12" t="n">
        <f aca="false">E181*D181</f>
        <v>6.87</v>
      </c>
      <c r="J181" s="12" t="n">
        <f aca="false">F181*D181</f>
        <v>48.09</v>
      </c>
      <c r="K181" s="12" t="n">
        <f aca="false">MAX(E181-G181,0)*D181</f>
        <v>0</v>
      </c>
      <c r="L181" s="12" t="n">
        <f aca="false">MAX(F181-H181,0)*D181</f>
        <v>22.5728571428571</v>
      </c>
      <c r="M181" s="12" t="n">
        <f aca="false">MAX(G181-E181,0)*D181</f>
        <v>56.9228571428572</v>
      </c>
      <c r="N181" s="12" t="n">
        <f aca="false">MAX(H181-F181,0)*D181</f>
        <v>0</v>
      </c>
      <c r="O181" s="26" t="n">
        <f aca="false">IFERROR(E181/DEMAND_MODEL!K181,999)</f>
        <v>1.4</v>
      </c>
      <c r="P181" s="26" t="n">
        <f aca="false">IFERROR(F181/DEMAND_MODEL!L181,999)</f>
        <v>24.5</v>
      </c>
    </row>
    <row r="182" customFormat="false" ht="15" hidden="false" customHeight="false" outlineLevel="0" collapsed="false">
      <c r="A182" s="5" t="n">
        <f aca="false">ITEM_MASTER_CLEAN!A182</f>
        <v>181</v>
      </c>
      <c r="B182" s="5" t="n">
        <f aca="false">ITEM_MASTER_CLEAN!B182</f>
        <v>38527</v>
      </c>
      <c r="C182" s="5" t="str">
        <f aca="false">ITEM_MASTER_CLEAN!C182</f>
        <v>PUMP FOR SYRUP 1L X1</v>
      </c>
      <c r="D182" s="12" t="n">
        <f aca="false">ITEM_MASTER_CLEAN!F182</f>
        <v>5.23</v>
      </c>
      <c r="E182" s="5" t="n">
        <f aca="false">ITEM_MASTER_CLEAN!H182</f>
        <v>8</v>
      </c>
      <c r="F182" s="5" t="n">
        <f aca="false">ITEM_MASTER_CLEAN!I182</f>
        <v>12</v>
      </c>
      <c r="G182" s="5" t="n">
        <f aca="false">PAR_LEVELS!J182</f>
        <v>3.71428571428571</v>
      </c>
      <c r="H182" s="5" t="n">
        <f aca="false">PAR_LEVELS!K182</f>
        <v>5.57142857142857</v>
      </c>
      <c r="I182" s="12" t="n">
        <f aca="false">E182*D182</f>
        <v>41.84</v>
      </c>
      <c r="J182" s="12" t="n">
        <f aca="false">F182*D182</f>
        <v>62.76</v>
      </c>
      <c r="K182" s="12" t="n">
        <f aca="false">MAX(E182-G182,0)*D182</f>
        <v>22.4142857142857</v>
      </c>
      <c r="L182" s="12" t="n">
        <f aca="false">MAX(F182-H182,0)*D182</f>
        <v>33.6214285714286</v>
      </c>
      <c r="M182" s="12" t="n">
        <f aca="false">MAX(G182-E182,0)*D182</f>
        <v>0</v>
      </c>
      <c r="N182" s="12" t="n">
        <f aca="false">MAX(H182-F182,0)*D182</f>
        <v>0</v>
      </c>
      <c r="O182" s="26" t="n">
        <f aca="false">IFERROR(E182/DEMAND_MODEL!K182,999)</f>
        <v>28</v>
      </c>
      <c r="P182" s="26" t="n">
        <f aca="false">IFERROR(F182/DEMAND_MODEL!L182,999)</f>
        <v>28</v>
      </c>
    </row>
    <row r="183" customFormat="false" ht="15" hidden="false" customHeight="false" outlineLevel="0" collapsed="false">
      <c r="A183" s="5" t="n">
        <f aca="false">ITEM_MASTER_CLEAN!A183</f>
        <v>182</v>
      </c>
      <c r="B183" s="5" t="n">
        <f aca="false">ITEM_MASTER_CLEAN!B183</f>
        <v>67112</v>
      </c>
      <c r="C183" s="5" t="str">
        <f aca="false">ITEM_MASTER_CLEAN!C183</f>
        <v>SYRUP STRAWBERRY WILD MONIN 1L</v>
      </c>
      <c r="D183" s="12" t="n">
        <f aca="false">ITEM_MASTER_CLEAN!F183</f>
        <v>25.1</v>
      </c>
      <c r="E183" s="5" t="n">
        <f aca="false">ITEM_MASTER_CLEAN!H183</f>
        <v>11</v>
      </c>
      <c r="F183" s="5" t="n">
        <f aca="false">ITEM_MASTER_CLEAN!I183</f>
        <v>0</v>
      </c>
      <c r="G183" s="5" t="n">
        <f aca="false">PAR_LEVELS!J183</f>
        <v>5.57142857142857</v>
      </c>
      <c r="H183" s="5" t="n">
        <f aca="false">PAR_LEVELS!K183</f>
        <v>5.57142857142857</v>
      </c>
      <c r="I183" s="12" t="n">
        <f aca="false">E183*D183</f>
        <v>276.1</v>
      </c>
      <c r="J183" s="12" t="n">
        <f aca="false">F183*D183</f>
        <v>0</v>
      </c>
      <c r="K183" s="12" t="n">
        <f aca="false">MAX(E183-G183,0)*D183</f>
        <v>136.257142857143</v>
      </c>
      <c r="L183" s="12" t="n">
        <f aca="false">MAX(F183-H183,0)*D183</f>
        <v>0</v>
      </c>
      <c r="M183" s="12" t="n">
        <f aca="false">MAX(G183-E183,0)*D183</f>
        <v>0</v>
      </c>
      <c r="N183" s="12" t="n">
        <f aca="false">MAX(H183-F183,0)*D183</f>
        <v>139.842857142857</v>
      </c>
      <c r="O183" s="26" t="n">
        <f aca="false">IFERROR(E183/DEMAND_MODEL!K183,999)</f>
        <v>25.6666666666667</v>
      </c>
      <c r="P183" s="26" t="n">
        <f aca="false">IFERROR(F183/DEMAND_MODEL!L183,999)</f>
        <v>0</v>
      </c>
    </row>
    <row r="184" customFormat="false" ht="15" hidden="false" customHeight="false" outlineLevel="0" collapsed="false">
      <c r="A184" s="5" t="n">
        <f aca="false">ITEM_MASTER_CLEAN!A184</f>
        <v>183</v>
      </c>
      <c r="B184" s="5" t="n">
        <f aca="false">ITEM_MASTER_CLEAN!B184</f>
        <v>61558</v>
      </c>
      <c r="C184" s="5" t="str">
        <f aca="false">ITEM_MASTER_CLEAN!C184</f>
        <v>STRAW 8.5" BBL/TEA 12MM WH/PAP 2M</v>
      </c>
      <c r="D184" s="12" t="n">
        <f aca="false">ITEM_MASTER_CLEAN!F184</f>
        <v>21.69</v>
      </c>
      <c r="E184" s="5" t="n">
        <f aca="false">ITEM_MASTER_CLEAN!H184</f>
        <v>4</v>
      </c>
      <c r="F184" s="5" t="n">
        <f aca="false">ITEM_MASTER_CLEAN!I184</f>
        <v>1</v>
      </c>
      <c r="G184" s="5" t="n">
        <f aca="false">PAR_LEVELS!J184</f>
        <v>5.57142857142857</v>
      </c>
      <c r="H184" s="5" t="n">
        <f aca="false">PAR_LEVELS!K184</f>
        <v>1.85714285714286</v>
      </c>
      <c r="I184" s="12" t="n">
        <f aca="false">E184*D184</f>
        <v>86.76</v>
      </c>
      <c r="J184" s="12" t="n">
        <f aca="false">F184*D184</f>
        <v>21.69</v>
      </c>
      <c r="K184" s="12" t="n">
        <f aca="false">MAX(E184-G184,0)*D184</f>
        <v>0</v>
      </c>
      <c r="L184" s="12" t="n">
        <f aca="false">MAX(F184-H184,0)*D184</f>
        <v>0</v>
      </c>
      <c r="M184" s="12" t="n">
        <f aca="false">MAX(G184-E184,0)*D184</f>
        <v>34.0842857142857</v>
      </c>
      <c r="N184" s="12" t="n">
        <f aca="false">MAX(H184-F184,0)*D184</f>
        <v>18.5914285714286</v>
      </c>
      <c r="O184" s="26" t="n">
        <f aca="false">IFERROR(E184/DEMAND_MODEL!K184,999)</f>
        <v>9.33333333333333</v>
      </c>
      <c r="P184" s="26" t="n">
        <f aca="false">IFERROR(F184/DEMAND_MODEL!L184,999)</f>
        <v>7</v>
      </c>
    </row>
    <row r="185" customFormat="false" ht="15" hidden="false" customHeight="false" outlineLevel="0" collapsed="false">
      <c r="A185" s="5" t="n">
        <f aca="false">ITEM_MASTER_CLEAN!A185</f>
        <v>184</v>
      </c>
      <c r="B185" s="5" t="n">
        <f aca="false">ITEM_MASTER_CLEAN!B185</f>
        <v>50046</v>
      </c>
      <c r="C185" s="5" t="str">
        <f aca="false">ITEM_MASTER_CLEAN!C185</f>
        <v>SLUSH BASE RTU 5+1 2X4L</v>
      </c>
      <c r="D185" s="12" t="n">
        <f aca="false">ITEM_MASTER_CLEAN!F185</f>
        <v>22.91</v>
      </c>
      <c r="E185" s="5" t="n">
        <f aca="false">ITEM_MASTER_CLEAN!H185</f>
        <v>2</v>
      </c>
      <c r="F185" s="5" t="n">
        <f aca="false">ITEM_MASTER_CLEAN!I185</f>
        <v>1</v>
      </c>
      <c r="G185" s="5" t="n">
        <f aca="false">PAR_LEVELS!J185</f>
        <v>3.71428571428571</v>
      </c>
      <c r="H185" s="5" t="n">
        <f aca="false">PAR_LEVELS!K185</f>
        <v>1.85714285714286</v>
      </c>
      <c r="I185" s="12" t="n">
        <f aca="false">E185*D185</f>
        <v>45.82</v>
      </c>
      <c r="J185" s="12" t="n">
        <f aca="false">F185*D185</f>
        <v>22.91</v>
      </c>
      <c r="K185" s="12" t="n">
        <f aca="false">MAX(E185-G185,0)*D185</f>
        <v>0</v>
      </c>
      <c r="L185" s="12" t="n">
        <f aca="false">MAX(F185-H185,0)*D185</f>
        <v>0</v>
      </c>
      <c r="M185" s="12" t="n">
        <f aca="false">MAX(G185-E185,0)*D185</f>
        <v>39.2742857142857</v>
      </c>
      <c r="N185" s="12" t="n">
        <f aca="false">MAX(H185-F185,0)*D185</f>
        <v>19.6371428571429</v>
      </c>
      <c r="O185" s="26" t="n">
        <f aca="false">IFERROR(E185/DEMAND_MODEL!K185,999)</f>
        <v>7</v>
      </c>
      <c r="P185" s="26" t="n">
        <f aca="false">IFERROR(F185/DEMAND_MODEL!L185,999)</f>
        <v>7</v>
      </c>
    </row>
    <row r="186" customFormat="false" ht="15" hidden="false" customHeight="false" outlineLevel="0" collapsed="false">
      <c r="A186" s="5" t="n">
        <f aca="false">ITEM_MASTER_CLEAN!A186</f>
        <v>185</v>
      </c>
      <c r="B186" s="5" t="n">
        <f aca="false">ITEM_MASTER_CLEAN!B186</f>
        <v>97477</v>
      </c>
      <c r="C186" s="5" t="str">
        <f aca="false">ITEM_MASTER_CLEAN!C186</f>
        <v>9 SLUSH CONC.BUBBLE GUM  2X4L</v>
      </c>
      <c r="D186" s="12" t="n">
        <f aca="false">ITEM_MASTER_CLEAN!F186</f>
        <v>28.54</v>
      </c>
      <c r="E186" s="5" t="n">
        <f aca="false">ITEM_MASTER_CLEAN!H186</f>
        <v>8</v>
      </c>
      <c r="F186" s="5" t="n">
        <f aca="false">ITEM_MASTER_CLEAN!I186</f>
        <v>0</v>
      </c>
      <c r="G186" s="5" t="n">
        <f aca="false">PAR_LEVELS!J186</f>
        <v>5.57142857142857</v>
      </c>
      <c r="H186" s="5" t="n">
        <f aca="false">PAR_LEVELS!K186</f>
        <v>1.85714285714286</v>
      </c>
      <c r="I186" s="12" t="n">
        <f aca="false">E186*D186</f>
        <v>228.32</v>
      </c>
      <c r="J186" s="12" t="n">
        <f aca="false">F186*D186</f>
        <v>0</v>
      </c>
      <c r="K186" s="12" t="n">
        <f aca="false">MAX(E186-G186,0)*D186</f>
        <v>69.3114285714286</v>
      </c>
      <c r="L186" s="12" t="n">
        <f aca="false">MAX(F186-H186,0)*D186</f>
        <v>0</v>
      </c>
      <c r="M186" s="12" t="n">
        <f aca="false">MAX(G186-E186,0)*D186</f>
        <v>0</v>
      </c>
      <c r="N186" s="12" t="n">
        <f aca="false">MAX(H186-F186,0)*D186</f>
        <v>53.0028571428571</v>
      </c>
      <c r="O186" s="26" t="n">
        <f aca="false">IFERROR(E186/DEMAND_MODEL!K186,999)</f>
        <v>18.6666666666667</v>
      </c>
      <c r="P186" s="26" t="n">
        <f aca="false">IFERROR(F186/DEMAND_MODEL!L186,999)</f>
        <v>0</v>
      </c>
    </row>
    <row r="187" customFormat="false" ht="15" hidden="false" customHeight="false" outlineLevel="0" collapsed="false">
      <c r="A187" s="5" t="n">
        <f aca="false">ITEM_MASTER_CLEAN!A187</f>
        <v>186</v>
      </c>
      <c r="B187" s="5" t="n">
        <f aca="false">ITEM_MASTER_CLEAN!B187</f>
        <v>50142</v>
      </c>
      <c r="C187" s="5" t="str">
        <f aca="false">ITEM_MASTER_CLEAN!C187</f>
        <v>9 SLUSH CONC.PEACH 3133024 2X4L</v>
      </c>
      <c r="D187" s="12" t="n">
        <f aca="false">ITEM_MASTER_CLEAN!F187</f>
        <v>21.87</v>
      </c>
      <c r="E187" s="5" t="n">
        <f aca="false">ITEM_MASTER_CLEAN!H187</f>
        <v>8</v>
      </c>
      <c r="F187" s="5" t="n">
        <f aca="false">ITEM_MASTER_CLEAN!I187</f>
        <v>0</v>
      </c>
      <c r="G187" s="5" t="n">
        <f aca="false">PAR_LEVELS!J187</f>
        <v>5.57142857142857</v>
      </c>
      <c r="H187" s="5" t="n">
        <f aca="false">PAR_LEVELS!K187</f>
        <v>3.71428571428571</v>
      </c>
      <c r="I187" s="12" t="n">
        <f aca="false">E187*D187</f>
        <v>174.96</v>
      </c>
      <c r="J187" s="12" t="n">
        <f aca="false">F187*D187</f>
        <v>0</v>
      </c>
      <c r="K187" s="12" t="n">
        <f aca="false">MAX(E187-G187,0)*D187</f>
        <v>53.1128571428572</v>
      </c>
      <c r="L187" s="12" t="n">
        <f aca="false">MAX(F187-H187,0)*D187</f>
        <v>0</v>
      </c>
      <c r="M187" s="12" t="n">
        <f aca="false">MAX(G187-E187,0)*D187</f>
        <v>0</v>
      </c>
      <c r="N187" s="12" t="n">
        <f aca="false">MAX(H187-F187,0)*D187</f>
        <v>81.2314285714286</v>
      </c>
      <c r="O187" s="26" t="n">
        <f aca="false">IFERROR(E187/DEMAND_MODEL!K187,999)</f>
        <v>18.6666666666667</v>
      </c>
      <c r="P187" s="26" t="n">
        <f aca="false">IFERROR(F187/DEMAND_MODEL!L187,999)</f>
        <v>0</v>
      </c>
    </row>
    <row r="188" customFormat="false" ht="15" hidden="false" customHeight="false" outlineLevel="0" collapsed="false">
      <c r="A188" s="5" t="n">
        <f aca="false">ITEM_MASTER_CLEAN!A188</f>
        <v>187</v>
      </c>
      <c r="B188" s="5" t="n">
        <f aca="false">ITEM_MASTER_CLEAN!B188</f>
        <v>43369</v>
      </c>
      <c r="C188" s="5" t="str">
        <f aca="false">ITEM_MASTER_CLEAN!C188</f>
        <v>DIPP BAG COOKIE GREASPRF  PTD 1M</v>
      </c>
      <c r="D188" s="12" t="n">
        <f aca="false">ITEM_MASTER_CLEAN!F188</f>
        <v>23.8</v>
      </c>
      <c r="E188" s="5" t="n">
        <f aca="false">ITEM_MASTER_CLEAN!H188</f>
        <v>2</v>
      </c>
      <c r="F188" s="5" t="n">
        <f aca="false">ITEM_MASTER_CLEAN!I188</f>
        <v>21</v>
      </c>
      <c r="G188" s="5" t="n">
        <f aca="false">PAR_LEVELS!J188</f>
        <v>13</v>
      </c>
      <c r="H188" s="5" t="n">
        <f aca="false">PAR_LEVELS!K188</f>
        <v>11.1428571428571</v>
      </c>
      <c r="I188" s="12" t="n">
        <f aca="false">E188*D188</f>
        <v>47.6</v>
      </c>
      <c r="J188" s="12" t="n">
        <f aca="false">F188*D188</f>
        <v>499.8</v>
      </c>
      <c r="K188" s="12" t="n">
        <f aca="false">MAX(E188-G188,0)*D188</f>
        <v>0</v>
      </c>
      <c r="L188" s="12" t="n">
        <f aca="false">MAX(F188-H188,0)*D188</f>
        <v>234.6</v>
      </c>
      <c r="M188" s="12" t="n">
        <f aca="false">MAX(G188-E188,0)*D188</f>
        <v>261.8</v>
      </c>
      <c r="N188" s="12" t="n">
        <f aca="false">MAX(H188-F188,0)*D188</f>
        <v>0</v>
      </c>
      <c r="O188" s="26" t="n">
        <f aca="false">IFERROR(E188/DEMAND_MODEL!K188,999)</f>
        <v>2</v>
      </c>
      <c r="P188" s="26" t="n">
        <f aca="false">IFERROR(F188/DEMAND_MODEL!L188,999)</f>
        <v>24.5</v>
      </c>
    </row>
    <row r="189" customFormat="false" ht="15" hidden="false" customHeight="false" outlineLevel="0" collapsed="false">
      <c r="A189" s="5" t="n">
        <f aca="false">ITEM_MASTER_CLEAN!A189</f>
        <v>188</v>
      </c>
      <c r="B189" s="5" t="n">
        <f aca="false">ITEM_MASTER_CLEAN!B189</f>
        <v>61763</v>
      </c>
      <c r="C189" s="5" t="str">
        <f aca="false">ITEM_MASTER_CLEAN!C189</f>
        <v>DIP BOX BLUE/DONUT 25X15X10  125</v>
      </c>
      <c r="D189" s="12" t="n">
        <f aca="false">ITEM_MASTER_CLEAN!F189</f>
        <v>38.02</v>
      </c>
      <c r="E189" s="5" t="n">
        <f aca="false">ITEM_MASTER_CLEAN!H189</f>
        <v>5</v>
      </c>
      <c r="F189" s="5" t="n">
        <f aca="false">ITEM_MASTER_CLEAN!I189</f>
        <v>3</v>
      </c>
      <c r="G189" s="5" t="n">
        <f aca="false">PAR_LEVELS!J189</f>
        <v>5.57142857142857</v>
      </c>
      <c r="H189" s="5" t="n">
        <f aca="false">PAR_LEVELS!K189</f>
        <v>3.71428571428571</v>
      </c>
      <c r="I189" s="12" t="n">
        <f aca="false">E189*D189</f>
        <v>190.1</v>
      </c>
      <c r="J189" s="12" t="n">
        <f aca="false">F189*D189</f>
        <v>114.06</v>
      </c>
      <c r="K189" s="12" t="n">
        <f aca="false">MAX(E189-G189,0)*D189</f>
        <v>0</v>
      </c>
      <c r="L189" s="12" t="n">
        <f aca="false">MAX(F189-H189,0)*D189</f>
        <v>0</v>
      </c>
      <c r="M189" s="12" t="n">
        <f aca="false">MAX(G189-E189,0)*D189</f>
        <v>21.7257142857143</v>
      </c>
      <c r="N189" s="12" t="n">
        <f aca="false">MAX(H189-F189,0)*D189</f>
        <v>27.1571428571428</v>
      </c>
      <c r="O189" s="26" t="n">
        <f aca="false">IFERROR(E189/DEMAND_MODEL!K189,999)</f>
        <v>11.6666666666667</v>
      </c>
      <c r="P189" s="26" t="n">
        <f aca="false">IFERROR(F189/DEMAND_MODEL!L189,999)</f>
        <v>10.5</v>
      </c>
    </row>
    <row r="190" customFormat="false" ht="15" hidden="false" customHeight="false" outlineLevel="0" collapsed="false">
      <c r="A190" s="5" t="n">
        <f aca="false">ITEM_MASTER_CLEAN!A190</f>
        <v>189</v>
      </c>
      <c r="B190" s="5" t="n">
        <f aca="false">ITEM_MASTER_CLEAN!B190</f>
        <v>35182</v>
      </c>
      <c r="C190" s="5" t="str">
        <f aca="false">ITEM_MASTER_CLEAN!C190</f>
        <v>DIPP BOWL 6 OZ S605T-168259 1M</v>
      </c>
      <c r="D190" s="12" t="n">
        <f aca="false">ITEM_MASTER_CLEAN!F190</f>
        <v>44.69</v>
      </c>
      <c r="E190" s="5" t="n">
        <f aca="false">ITEM_MASTER_CLEAN!H190</f>
        <v>3</v>
      </c>
      <c r="F190" s="5" t="n">
        <f aca="false">ITEM_MASTER_CLEAN!I190</f>
        <v>6</v>
      </c>
      <c r="G190" s="5" t="n">
        <f aca="false">PAR_LEVELS!J190</f>
        <v>5.57142857142857</v>
      </c>
      <c r="H190" s="5" t="n">
        <f aca="false">PAR_LEVELS!K190</f>
        <v>9.28571428571429</v>
      </c>
      <c r="I190" s="12" t="n">
        <f aca="false">E190*D190</f>
        <v>134.07</v>
      </c>
      <c r="J190" s="12" t="n">
        <f aca="false">F190*D190</f>
        <v>268.14</v>
      </c>
      <c r="K190" s="12" t="n">
        <f aca="false">MAX(E190-G190,0)*D190</f>
        <v>0</v>
      </c>
      <c r="L190" s="12" t="n">
        <f aca="false">MAX(F190-H190,0)*D190</f>
        <v>0</v>
      </c>
      <c r="M190" s="12" t="n">
        <f aca="false">MAX(G190-E190,0)*D190</f>
        <v>114.917142857143</v>
      </c>
      <c r="N190" s="12" t="n">
        <f aca="false">MAX(H190-F190,0)*D190</f>
        <v>146.838571428571</v>
      </c>
      <c r="O190" s="26" t="n">
        <f aca="false">IFERROR(E190/DEMAND_MODEL!K190,999)</f>
        <v>7</v>
      </c>
      <c r="P190" s="26" t="n">
        <f aca="false">IFERROR(F190/DEMAND_MODEL!L190,999)</f>
        <v>8.4</v>
      </c>
    </row>
    <row r="191" customFormat="false" ht="15" hidden="false" customHeight="false" outlineLevel="0" collapsed="false">
      <c r="A191" s="5" t="n">
        <f aca="false">ITEM_MASTER_CLEAN!A191</f>
        <v>190</v>
      </c>
      <c r="B191" s="5" t="n">
        <f aca="false">ITEM_MASTER_CLEAN!B191</f>
        <v>68687</v>
      </c>
      <c r="C191" s="5" t="str">
        <f aca="false">ITEM_MASTER_CLEAN!C191</f>
        <v>Couv 6oz</v>
      </c>
      <c r="D191" s="12" t="n">
        <f aca="false">ITEM_MASTER_CLEAN!F191</f>
        <v>20.12</v>
      </c>
      <c r="E191" s="5" t="n">
        <f aca="false">ITEM_MASTER_CLEAN!H191</f>
        <v>33</v>
      </c>
      <c r="F191" s="5" t="n">
        <f aca="false">ITEM_MASTER_CLEAN!I191</f>
        <v>7</v>
      </c>
      <c r="G191" s="5" t="n">
        <f aca="false">PAR_LEVELS!J191</f>
        <v>18.5714285714286</v>
      </c>
      <c r="H191" s="5" t="n">
        <f aca="false">PAR_LEVELS!K191</f>
        <v>3.71428571428571</v>
      </c>
      <c r="I191" s="12" t="n">
        <f aca="false">E191*D191</f>
        <v>663.96</v>
      </c>
      <c r="J191" s="12" t="n">
        <f aca="false">F191*D191</f>
        <v>140.84</v>
      </c>
      <c r="K191" s="12" t="n">
        <f aca="false">MAX(E191-G191,0)*D191</f>
        <v>290.302857142857</v>
      </c>
      <c r="L191" s="12" t="n">
        <f aca="false">MAX(F191-H191,0)*D191</f>
        <v>66.1085714285714</v>
      </c>
      <c r="M191" s="12" t="n">
        <f aca="false">MAX(G191-E191,0)*D191</f>
        <v>0</v>
      </c>
      <c r="N191" s="12" t="n">
        <f aca="false">MAX(H191-F191,0)*D191</f>
        <v>0</v>
      </c>
      <c r="O191" s="26" t="n">
        <f aca="false">IFERROR(E191/DEMAND_MODEL!K191,999)</f>
        <v>23.1</v>
      </c>
      <c r="P191" s="26" t="n">
        <f aca="false">IFERROR(F191/DEMAND_MODEL!L191,999)</f>
        <v>24.5</v>
      </c>
    </row>
    <row r="192" customFormat="false" ht="15" hidden="false" customHeight="false" outlineLevel="0" collapsed="false">
      <c r="A192" s="5" t="n">
        <f aca="false">ITEM_MASTER_CLEAN!A192</f>
        <v>191</v>
      </c>
      <c r="B192" s="5" t="n">
        <f aca="false">ITEM_MASTER_CLEAN!B192</f>
        <v>35171</v>
      </c>
      <c r="C192" s="5" t="str">
        <f aca="false">ITEM_MASTER_CLEAN!C192</f>
        <v>DIPP BOWL 8OZ VS608-168260 1M</v>
      </c>
      <c r="D192" s="12" t="n">
        <f aca="false">ITEM_MASTER_CLEAN!F192</f>
        <v>51.26</v>
      </c>
      <c r="E192" s="5" t="n">
        <f aca="false">ITEM_MASTER_CLEAN!H192</f>
        <v>9</v>
      </c>
      <c r="F192" s="5" t="n">
        <f aca="false">ITEM_MASTER_CLEAN!I192</f>
        <v>8</v>
      </c>
      <c r="G192" s="5" t="n">
        <f aca="false">PAR_LEVELS!J192</f>
        <v>14.8571428571429</v>
      </c>
      <c r="H192" s="5" t="n">
        <f aca="false">PAR_LEVELS!K192</f>
        <v>13</v>
      </c>
      <c r="I192" s="12" t="n">
        <f aca="false">E192*D192</f>
        <v>461.34</v>
      </c>
      <c r="J192" s="12" t="n">
        <f aca="false">F192*D192</f>
        <v>410.08</v>
      </c>
      <c r="K192" s="12" t="n">
        <f aca="false">MAX(E192-G192,0)*D192</f>
        <v>0</v>
      </c>
      <c r="L192" s="12" t="n">
        <f aca="false">MAX(F192-H192,0)*D192</f>
        <v>0</v>
      </c>
      <c r="M192" s="12" t="n">
        <f aca="false">MAX(G192-E192,0)*D192</f>
        <v>300.237142857143</v>
      </c>
      <c r="N192" s="12" t="n">
        <f aca="false">MAX(H192-F192,0)*D192</f>
        <v>256.3</v>
      </c>
      <c r="O192" s="26" t="n">
        <f aca="false">IFERROR(E192/DEMAND_MODEL!K192,999)</f>
        <v>7.875</v>
      </c>
      <c r="P192" s="26" t="n">
        <f aca="false">IFERROR(F192/DEMAND_MODEL!L192,999)</f>
        <v>8</v>
      </c>
    </row>
    <row r="193" customFormat="false" ht="15" hidden="false" customHeight="false" outlineLevel="0" collapsed="false">
      <c r="A193" s="5" t="n">
        <f aca="false">ITEM_MASTER_CLEAN!A193</f>
        <v>192</v>
      </c>
      <c r="B193" s="5" t="n">
        <f aca="false">ITEM_MASTER_CLEAN!B193</f>
        <v>35176</v>
      </c>
      <c r="C193" s="5" t="str">
        <f aca="false">ITEM_MASTER_CLEAN!C193</f>
        <v>couv / Lid  8oz</v>
      </c>
      <c r="D193" s="12" t="n">
        <f aca="false">ITEM_MASTER_CLEAN!F193</f>
        <v>34.53</v>
      </c>
      <c r="E193" s="5" t="n">
        <f aca="false">ITEM_MASTER_CLEAN!H193</f>
        <v>1</v>
      </c>
      <c r="F193" s="5" t="n">
        <f aca="false">ITEM_MASTER_CLEAN!I193</f>
        <v>0</v>
      </c>
      <c r="G193" s="5" t="n">
        <f aca="false">PAR_LEVELS!J193</f>
        <v>7.42857142857143</v>
      </c>
      <c r="H193" s="5" t="n">
        <f aca="false">PAR_LEVELS!K193</f>
        <v>7.42857142857143</v>
      </c>
      <c r="I193" s="12" t="n">
        <f aca="false">E193*D193</f>
        <v>34.53</v>
      </c>
      <c r="J193" s="12" t="n">
        <f aca="false">F193*D193</f>
        <v>0</v>
      </c>
      <c r="K193" s="12" t="n">
        <f aca="false">MAX(E193-G193,0)*D193</f>
        <v>0</v>
      </c>
      <c r="L193" s="12" t="n">
        <f aca="false">MAX(F193-H193,0)*D193</f>
        <v>0</v>
      </c>
      <c r="M193" s="12" t="n">
        <f aca="false">MAX(G193-E193,0)*D193</f>
        <v>221.978571428571</v>
      </c>
      <c r="N193" s="12" t="n">
        <f aca="false">MAX(H193-F193,0)*D193</f>
        <v>256.508571428571</v>
      </c>
      <c r="O193" s="26" t="n">
        <f aca="false">IFERROR(E193/DEMAND_MODEL!K193,999)</f>
        <v>1.75</v>
      </c>
      <c r="P193" s="26" t="n">
        <f aca="false">IFERROR(F193/DEMAND_MODEL!L193,999)</f>
        <v>0</v>
      </c>
    </row>
    <row r="194" customFormat="false" ht="15" hidden="false" customHeight="false" outlineLevel="0" collapsed="false">
      <c r="A194" s="5" t="n">
        <f aca="false">ITEM_MASTER_CLEAN!A194</f>
        <v>193</v>
      </c>
      <c r="B194" s="5" t="n">
        <f aca="false">ITEM_MASTER_CLEAN!B194</f>
        <v>35026</v>
      </c>
      <c r="C194" s="5" t="str">
        <f aca="false">ITEM_MASTER_CLEAN!C194</f>
        <v>Dipp Bowl 12oz 1M</v>
      </c>
      <c r="D194" s="12" t="n">
        <f aca="false">ITEM_MASTER_CLEAN!F194</f>
        <v>29.98</v>
      </c>
      <c r="E194" s="5" t="n">
        <f aca="false">ITEM_MASTER_CLEAN!H194</f>
        <v>19</v>
      </c>
      <c r="F194" s="5" t="n">
        <f aca="false">ITEM_MASTER_CLEAN!I194</f>
        <v>1</v>
      </c>
      <c r="G194" s="5" t="n">
        <f aca="false">PAR_LEVELS!J194</f>
        <v>9.28571428571429</v>
      </c>
      <c r="H194" s="5" t="n">
        <f aca="false">PAR_LEVELS!K194</f>
        <v>7.42857142857143</v>
      </c>
      <c r="I194" s="12" t="n">
        <f aca="false">E194*D194</f>
        <v>569.62</v>
      </c>
      <c r="J194" s="12" t="n">
        <f aca="false">F194*D194</f>
        <v>29.98</v>
      </c>
      <c r="K194" s="12" t="n">
        <f aca="false">MAX(E194-G194,0)*D194</f>
        <v>291.234285714286</v>
      </c>
      <c r="L194" s="12" t="n">
        <f aca="false">MAX(F194-H194,0)*D194</f>
        <v>0</v>
      </c>
      <c r="M194" s="12" t="n">
        <f aca="false">MAX(G194-E194,0)*D194</f>
        <v>0</v>
      </c>
      <c r="N194" s="12" t="n">
        <f aca="false">MAX(H194-F194,0)*D194</f>
        <v>192.728571428571</v>
      </c>
      <c r="O194" s="26" t="n">
        <f aca="false">IFERROR(E194/DEMAND_MODEL!K194,999)</f>
        <v>26.6</v>
      </c>
      <c r="P194" s="26" t="n">
        <f aca="false">IFERROR(F194/DEMAND_MODEL!L194,999)</f>
        <v>1.75</v>
      </c>
    </row>
    <row r="195" customFormat="false" ht="15" hidden="false" customHeight="false" outlineLevel="0" collapsed="false">
      <c r="A195" s="5" t="n">
        <f aca="false">ITEM_MASTER_CLEAN!A195</f>
        <v>194</v>
      </c>
      <c r="B195" s="5" t="n">
        <f aca="false">ITEM_MASTER_CLEAN!B195</f>
        <v>35226</v>
      </c>
      <c r="C195" s="5" t="str">
        <f aca="false">ITEM_MASTER_CLEAN!C195</f>
        <v>Lid for 12oz Bowl</v>
      </c>
      <c r="D195" s="12" t="n">
        <f aca="false">ITEM_MASTER_CLEAN!F195</f>
        <v>21.95</v>
      </c>
      <c r="E195" s="5" t="n">
        <f aca="false">ITEM_MASTER_CLEAN!H195</f>
        <v>1</v>
      </c>
      <c r="F195" s="5" t="n">
        <f aca="false">ITEM_MASTER_CLEAN!I195</f>
        <v>16</v>
      </c>
      <c r="G195" s="5" t="n">
        <f aca="false">PAR_LEVELS!J195</f>
        <v>7.42857142857143</v>
      </c>
      <c r="H195" s="5" t="n">
        <f aca="false">PAR_LEVELS!K195</f>
        <v>9.28571428571429</v>
      </c>
      <c r="I195" s="12" t="n">
        <f aca="false">E195*D195</f>
        <v>21.95</v>
      </c>
      <c r="J195" s="12" t="n">
        <f aca="false">F195*D195</f>
        <v>351.2</v>
      </c>
      <c r="K195" s="12" t="n">
        <f aca="false">MAX(E195-G195,0)*D195</f>
        <v>0</v>
      </c>
      <c r="L195" s="12" t="n">
        <f aca="false">MAX(F195-H195,0)*D195</f>
        <v>147.378571428571</v>
      </c>
      <c r="M195" s="12" t="n">
        <f aca="false">MAX(G195-E195,0)*D195</f>
        <v>141.107142857143</v>
      </c>
      <c r="N195" s="12" t="n">
        <f aca="false">MAX(H195-F195,0)*D195</f>
        <v>0</v>
      </c>
      <c r="O195" s="26" t="n">
        <f aca="false">IFERROR(E195/DEMAND_MODEL!K195,999)</f>
        <v>1.75</v>
      </c>
      <c r="P195" s="26" t="n">
        <f aca="false">IFERROR(F195/DEMAND_MODEL!L195,999)</f>
        <v>22.4</v>
      </c>
    </row>
    <row r="196" customFormat="false" ht="15" hidden="false" customHeight="false" outlineLevel="0" collapsed="false">
      <c r="A196" s="5" t="n">
        <f aca="false">ITEM_MASTER_CLEAN!A196</f>
        <v>195</v>
      </c>
      <c r="B196" s="5" t="n">
        <f aca="false">ITEM_MASTER_CLEAN!B196</f>
        <v>33728</v>
      </c>
      <c r="C196" s="5" t="str">
        <f aca="false">ITEM_MASTER_CLEAN!C196</f>
        <v>DIPP CUP 10 OZ PAP RAZZLE PRT  1M</v>
      </c>
      <c r="D196" s="12" t="n">
        <f aca="false">ITEM_MASTER_CLEAN!F196</f>
        <v>40.71</v>
      </c>
      <c r="E196" s="5" t="n">
        <f aca="false">ITEM_MASTER_CLEAN!H196</f>
        <v>2</v>
      </c>
      <c r="F196" s="5" t="n">
        <f aca="false">ITEM_MASTER_CLEAN!I196</f>
        <v>1</v>
      </c>
      <c r="G196" s="5" t="n">
        <f aca="false">PAR_LEVELS!J196</f>
        <v>5.57142857142857</v>
      </c>
      <c r="H196" s="5" t="n">
        <f aca="false">PAR_LEVELS!K196</f>
        <v>3.71428571428571</v>
      </c>
      <c r="I196" s="12" t="n">
        <f aca="false">E196*D196</f>
        <v>81.42</v>
      </c>
      <c r="J196" s="12" t="n">
        <f aca="false">F196*D196</f>
        <v>40.71</v>
      </c>
      <c r="K196" s="12" t="n">
        <f aca="false">MAX(E196-G196,0)*D196</f>
        <v>0</v>
      </c>
      <c r="L196" s="12" t="n">
        <f aca="false">MAX(F196-H196,0)*D196</f>
        <v>0</v>
      </c>
      <c r="M196" s="12" t="n">
        <f aca="false">MAX(G196-E196,0)*D196</f>
        <v>145.392857142857</v>
      </c>
      <c r="N196" s="12" t="n">
        <f aca="false">MAX(H196-F196,0)*D196</f>
        <v>110.498571428571</v>
      </c>
      <c r="O196" s="26" t="n">
        <f aca="false">IFERROR(E196/DEMAND_MODEL!K196,999)</f>
        <v>4.66666666666667</v>
      </c>
      <c r="P196" s="26" t="n">
        <f aca="false">IFERROR(F196/DEMAND_MODEL!L196,999)</f>
        <v>3.5</v>
      </c>
    </row>
    <row r="197" customFormat="false" ht="15" hidden="false" customHeight="false" outlineLevel="0" collapsed="false">
      <c r="A197" s="5" t="n">
        <f aca="false">ITEM_MASTER_CLEAN!A197</f>
        <v>196</v>
      </c>
      <c r="B197" s="5" t="n">
        <f aca="false">ITEM_MASTER_CLEAN!B197</f>
        <v>33729</v>
      </c>
      <c r="C197" s="5" t="str">
        <f aca="false">ITEM_MASTER_CLEAN!C197</f>
        <v>Lid Razzle/Coffee  white 1000</v>
      </c>
      <c r="D197" s="12" t="n">
        <f aca="false">ITEM_MASTER_CLEAN!F197</f>
        <v>43.4</v>
      </c>
      <c r="E197" s="5" t="n">
        <f aca="false">ITEM_MASTER_CLEAN!H197</f>
        <v>18</v>
      </c>
      <c r="F197" s="5" t="n">
        <f aca="false">ITEM_MASTER_CLEAN!I197</f>
        <v>16</v>
      </c>
      <c r="G197" s="5" t="n">
        <f aca="false">PAR_LEVELS!J197</f>
        <v>11.1428571428571</v>
      </c>
      <c r="H197" s="5" t="n">
        <f aca="false">PAR_LEVELS!K197</f>
        <v>7.42857142857143</v>
      </c>
      <c r="I197" s="12" t="n">
        <f aca="false">E197*D197</f>
        <v>781.2</v>
      </c>
      <c r="J197" s="12" t="n">
        <f aca="false">F197*D197</f>
        <v>694.4</v>
      </c>
      <c r="K197" s="12" t="n">
        <f aca="false">MAX(E197-G197,0)*D197</f>
        <v>297.6</v>
      </c>
      <c r="L197" s="12" t="n">
        <f aca="false">MAX(F197-H197,0)*D197</f>
        <v>372</v>
      </c>
      <c r="M197" s="12" t="n">
        <f aca="false">MAX(G197-E197,0)*D197</f>
        <v>0</v>
      </c>
      <c r="N197" s="12" t="n">
        <f aca="false">MAX(H197-F197,0)*D197</f>
        <v>0</v>
      </c>
      <c r="O197" s="26" t="n">
        <f aca="false">IFERROR(E197/DEMAND_MODEL!K197,999)</f>
        <v>21</v>
      </c>
      <c r="P197" s="26" t="n">
        <f aca="false">IFERROR(F197/DEMAND_MODEL!L197,999)</f>
        <v>28</v>
      </c>
    </row>
    <row r="198" customFormat="false" ht="15" hidden="false" customHeight="false" outlineLevel="0" collapsed="false">
      <c r="A198" s="5" t="n">
        <f aca="false">ITEM_MASTER_CLEAN!A198</f>
        <v>197</v>
      </c>
      <c r="B198" s="5" t="n">
        <f aca="false">ITEM_MASTER_CLEAN!B198</f>
        <v>66985</v>
      </c>
      <c r="C198" s="5" t="str">
        <f aca="false">ITEM_MASTER_CLEAN!C198</f>
        <v>Lid Razzle Dome Clr 1000</v>
      </c>
      <c r="D198" s="12" t="n">
        <f aca="false">ITEM_MASTER_CLEAN!F198</f>
        <v>46.37</v>
      </c>
      <c r="E198" s="5" t="n">
        <f aca="false">ITEM_MASTER_CLEAN!H198</f>
        <v>4</v>
      </c>
      <c r="F198" s="5" t="n">
        <f aca="false">ITEM_MASTER_CLEAN!I198</f>
        <v>4</v>
      </c>
      <c r="G198" s="5" t="n">
        <f aca="false">PAR_LEVELS!J198</f>
        <v>7.42857142857143</v>
      </c>
      <c r="H198" s="5" t="n">
        <f aca="false">PAR_LEVELS!K198</f>
        <v>5.57142857142857</v>
      </c>
      <c r="I198" s="12" t="n">
        <f aca="false">E198*D198</f>
        <v>185.48</v>
      </c>
      <c r="J198" s="12" t="n">
        <f aca="false">F198*D198</f>
        <v>185.48</v>
      </c>
      <c r="K198" s="12" t="n">
        <f aca="false">MAX(E198-G198,0)*D198</f>
        <v>0</v>
      </c>
      <c r="L198" s="12" t="n">
        <f aca="false">MAX(F198-H198,0)*D198</f>
        <v>0</v>
      </c>
      <c r="M198" s="12" t="n">
        <f aca="false">MAX(G198-E198,0)*D198</f>
        <v>158.982857142857</v>
      </c>
      <c r="N198" s="12" t="n">
        <f aca="false">MAX(H198-F198,0)*D198</f>
        <v>72.8671428571428</v>
      </c>
      <c r="O198" s="26" t="n">
        <f aca="false">IFERROR(E198/DEMAND_MODEL!K198,999)</f>
        <v>7</v>
      </c>
      <c r="P198" s="26" t="n">
        <f aca="false">IFERROR(F198/DEMAND_MODEL!L198,999)</f>
        <v>9.33333333333333</v>
      </c>
    </row>
    <row r="199" customFormat="false" ht="15" hidden="false" customHeight="false" outlineLevel="0" collapsed="false">
      <c r="A199" s="5" t="n">
        <f aca="false">ITEM_MASTER_CLEAN!A199</f>
        <v>198</v>
      </c>
      <c r="B199" s="5" t="n">
        <f aca="false">ITEM_MASTER_CLEAN!B199</f>
        <v>63343</v>
      </c>
      <c r="C199" s="5" t="str">
        <f aca="false">ITEM_MASTER_CLEAN!C199</f>
        <v>CAKE DOME COMBO CLR 10"X5" 100</v>
      </c>
      <c r="D199" s="12" t="n">
        <f aca="false">ITEM_MASTER_CLEAN!F199</f>
        <v>27.4</v>
      </c>
      <c r="E199" s="5" t="n">
        <f aca="false">ITEM_MASTER_CLEAN!H199</f>
        <v>0</v>
      </c>
      <c r="F199" s="5" t="n">
        <f aca="false">ITEM_MASTER_CLEAN!I199</f>
        <v>1</v>
      </c>
      <c r="G199" s="5" t="n">
        <f aca="false">PAR_LEVELS!J199</f>
        <v>3.71428571428571</v>
      </c>
      <c r="H199" s="5" t="n">
        <f aca="false">PAR_LEVELS!K199</f>
        <v>7.42857142857143</v>
      </c>
      <c r="I199" s="12" t="n">
        <f aca="false">E199*D199</f>
        <v>0</v>
      </c>
      <c r="J199" s="12" t="n">
        <f aca="false">F199*D199</f>
        <v>27.4</v>
      </c>
      <c r="K199" s="12" t="n">
        <f aca="false">MAX(E199-G199,0)*D199</f>
        <v>0</v>
      </c>
      <c r="L199" s="12" t="n">
        <f aca="false">MAX(F199-H199,0)*D199</f>
        <v>0</v>
      </c>
      <c r="M199" s="12" t="n">
        <f aca="false">MAX(G199-E199,0)*D199</f>
        <v>101.771428571429</v>
      </c>
      <c r="N199" s="12" t="n">
        <f aca="false">MAX(H199-F199,0)*D199</f>
        <v>176.142857142857</v>
      </c>
      <c r="O199" s="26" t="n">
        <f aca="false">IFERROR(E199/DEMAND_MODEL!K199,999)</f>
        <v>0</v>
      </c>
      <c r="P199" s="26" t="n">
        <f aca="false">IFERROR(F199/DEMAND_MODEL!L199,999)</f>
        <v>1.75</v>
      </c>
    </row>
    <row r="200" customFormat="false" ht="15" hidden="false" customHeight="false" outlineLevel="0" collapsed="false">
      <c r="A200" s="5" t="n">
        <f aca="false">ITEM_MASTER_CLEAN!A200</f>
        <v>199</v>
      </c>
      <c r="B200" s="5" t="n">
        <f aca="false">ITEM_MASTER_CLEAN!B200</f>
        <v>35113</v>
      </c>
      <c r="C200" s="5" t="str">
        <f aca="false">ITEM_MASTER_CLEAN!C200</f>
        <v>STICKS POPSICLE WOOD  1X1M</v>
      </c>
      <c r="D200" s="12" t="n">
        <f aca="false">ITEM_MASTER_CLEAN!F200</f>
        <v>11.64</v>
      </c>
      <c r="E200" s="5" t="n">
        <f aca="false">ITEM_MASTER_CLEAN!H200</f>
        <v>2</v>
      </c>
      <c r="F200" s="5" t="n">
        <f aca="false">ITEM_MASTER_CLEAN!I200</f>
        <v>0</v>
      </c>
      <c r="G200" s="5" t="n">
        <f aca="false">PAR_LEVELS!J200</f>
        <v>9.28571428571429</v>
      </c>
      <c r="H200" s="5" t="n">
        <f aca="false">PAR_LEVELS!K200</f>
        <v>3.71428571428571</v>
      </c>
      <c r="I200" s="12" t="n">
        <f aca="false">E200*D200</f>
        <v>23.28</v>
      </c>
      <c r="J200" s="12" t="n">
        <f aca="false">F200*D200</f>
        <v>0</v>
      </c>
      <c r="K200" s="12" t="n">
        <f aca="false">MAX(E200-G200,0)*D200</f>
        <v>0</v>
      </c>
      <c r="L200" s="12" t="n">
        <f aca="false">MAX(F200-H200,0)*D200</f>
        <v>0</v>
      </c>
      <c r="M200" s="12" t="n">
        <f aca="false">MAX(G200-E200,0)*D200</f>
        <v>84.8057142857143</v>
      </c>
      <c r="N200" s="12" t="n">
        <f aca="false">MAX(H200-F200,0)*D200</f>
        <v>43.2342857142857</v>
      </c>
      <c r="O200" s="26" t="n">
        <f aca="false">IFERROR(E200/DEMAND_MODEL!K200,999)</f>
        <v>2.8</v>
      </c>
      <c r="P200" s="26" t="n">
        <f aca="false">IFERROR(F200/DEMAND_MODEL!L200,999)</f>
        <v>0</v>
      </c>
    </row>
    <row r="201" customFormat="false" ht="15" hidden="false" customHeight="false" outlineLevel="0" collapsed="false">
      <c r="A201" s="5" t="n">
        <f aca="false">ITEM_MASTER_CLEAN!A201</f>
        <v>200</v>
      </c>
      <c r="B201" s="5" t="n">
        <f aca="false">ITEM_MASTER_CLEAN!B201</f>
        <v>26324</v>
      </c>
      <c r="C201" s="5" t="str">
        <f aca="false">ITEM_MASTER_CLEAN!C201</f>
        <v>Cont Gauffre 6x6 500 units</v>
      </c>
      <c r="D201" s="12" t="n">
        <f aca="false">ITEM_MASTER_CLEAN!F201</f>
        <v>13.28</v>
      </c>
      <c r="E201" s="5" t="n">
        <f aca="false">ITEM_MASTER_CLEAN!H201</f>
        <v>1</v>
      </c>
      <c r="F201" s="5" t="n">
        <f aca="false">ITEM_MASTER_CLEAN!I201</f>
        <v>1</v>
      </c>
      <c r="G201" s="5" t="n">
        <f aca="false">PAR_LEVELS!J201</f>
        <v>5.57142857142857</v>
      </c>
      <c r="H201" s="5" t="n">
        <f aca="false">PAR_LEVELS!K201</f>
        <v>7.42857142857143</v>
      </c>
      <c r="I201" s="12" t="n">
        <f aca="false">E201*D201</f>
        <v>13.28</v>
      </c>
      <c r="J201" s="12" t="n">
        <f aca="false">F201*D201</f>
        <v>13.28</v>
      </c>
      <c r="K201" s="12" t="n">
        <f aca="false">MAX(E201-G201,0)*D201</f>
        <v>0</v>
      </c>
      <c r="L201" s="12" t="n">
        <f aca="false">MAX(F201-H201,0)*D201</f>
        <v>0</v>
      </c>
      <c r="M201" s="12" t="n">
        <f aca="false">MAX(G201-E201,0)*D201</f>
        <v>60.7085714285714</v>
      </c>
      <c r="N201" s="12" t="n">
        <f aca="false">MAX(H201-F201,0)*D201</f>
        <v>85.3714285714286</v>
      </c>
      <c r="O201" s="26" t="n">
        <f aca="false">IFERROR(E201/DEMAND_MODEL!K201,999)</f>
        <v>2.33333333333333</v>
      </c>
      <c r="P201" s="26" t="n">
        <f aca="false">IFERROR(F201/DEMAND_MODEL!L201,999)</f>
        <v>1.75</v>
      </c>
    </row>
    <row r="202" customFormat="false" ht="15" hidden="false" customHeight="false" outlineLevel="0" collapsed="false">
      <c r="A202" s="5" t="n">
        <f aca="false">ITEM_MASTER_CLEAN!A202</f>
        <v>201</v>
      </c>
      <c r="B202" s="5" t="n">
        <f aca="false">ITEM_MASTER_CLEAN!B202</f>
        <v>26325</v>
      </c>
      <c r="C202" s="5" t="str">
        <f aca="false">ITEM_MASTER_CLEAN!C202</f>
        <v>Cont crepe 9"x6"x3"  250 units</v>
      </c>
      <c r="D202" s="12" t="n">
        <f aca="false">ITEM_MASTER_CLEAN!F202</f>
        <v>24.89</v>
      </c>
      <c r="E202" s="5" t="n">
        <f aca="false">ITEM_MASTER_CLEAN!H202</f>
        <v>0</v>
      </c>
      <c r="F202" s="5" t="n">
        <f aca="false">ITEM_MASTER_CLEAN!I202</f>
        <v>1</v>
      </c>
      <c r="G202" s="5" t="n">
        <f aca="false">PAR_LEVELS!J202</f>
        <v>7.42857142857143</v>
      </c>
      <c r="H202" s="5" t="n">
        <f aca="false">PAR_LEVELS!K202</f>
        <v>5.57142857142857</v>
      </c>
      <c r="I202" s="12" t="n">
        <f aca="false">E202*D202</f>
        <v>0</v>
      </c>
      <c r="J202" s="12" t="n">
        <f aca="false">F202*D202</f>
        <v>24.89</v>
      </c>
      <c r="K202" s="12" t="n">
        <f aca="false">MAX(E202-G202,0)*D202</f>
        <v>0</v>
      </c>
      <c r="L202" s="12" t="n">
        <f aca="false">MAX(F202-H202,0)*D202</f>
        <v>0</v>
      </c>
      <c r="M202" s="12" t="n">
        <f aca="false">MAX(G202-E202,0)*D202</f>
        <v>184.897142857143</v>
      </c>
      <c r="N202" s="12" t="n">
        <f aca="false">MAX(H202-F202,0)*D202</f>
        <v>113.782857142857</v>
      </c>
      <c r="O202" s="26" t="n">
        <f aca="false">IFERROR(E202/DEMAND_MODEL!K202,999)</f>
        <v>0</v>
      </c>
      <c r="P202" s="26" t="n">
        <f aca="false">IFERROR(F202/DEMAND_MODEL!L202,999)</f>
        <v>2.33333333333333</v>
      </c>
    </row>
    <row r="203" customFormat="false" ht="15" hidden="false" customHeight="false" outlineLevel="0" collapsed="false">
      <c r="A203" s="5" t="n">
        <f aca="false">ITEM_MASTER_CLEAN!A203</f>
        <v>202</v>
      </c>
      <c r="B203" s="5" t="n">
        <f aca="false">ITEM_MASTER_CLEAN!B203</f>
        <v>17159</v>
      </c>
      <c r="C203" s="5" t="str">
        <f aca="false">ITEM_MASTER_CLEAN!C203</f>
        <v>Cont ChsCake slc tray 800un</v>
      </c>
      <c r="D203" s="12" t="n">
        <f aca="false">ITEM_MASTER_CLEAN!F203</f>
        <v>34.13</v>
      </c>
      <c r="E203" s="5" t="n">
        <f aca="false">ITEM_MASTER_CLEAN!H203</f>
        <v>1</v>
      </c>
      <c r="F203" s="5" t="n">
        <f aca="false">ITEM_MASTER_CLEAN!I203</f>
        <v>0</v>
      </c>
      <c r="G203" s="5" t="n">
        <f aca="false">PAR_LEVELS!J203</f>
        <v>9.28571428571429</v>
      </c>
      <c r="H203" s="5" t="n">
        <f aca="false">PAR_LEVELS!K203</f>
        <v>3.71428571428571</v>
      </c>
      <c r="I203" s="12" t="n">
        <f aca="false">E203*D203</f>
        <v>34.13</v>
      </c>
      <c r="J203" s="12" t="n">
        <f aca="false">F203*D203</f>
        <v>0</v>
      </c>
      <c r="K203" s="12" t="n">
        <f aca="false">MAX(E203-G203,0)*D203</f>
        <v>0</v>
      </c>
      <c r="L203" s="12" t="n">
        <f aca="false">MAX(F203-H203,0)*D203</f>
        <v>0</v>
      </c>
      <c r="M203" s="12" t="n">
        <f aca="false">MAX(G203-E203,0)*D203</f>
        <v>282.791428571429</v>
      </c>
      <c r="N203" s="12" t="n">
        <f aca="false">MAX(H203-F203,0)*D203</f>
        <v>126.768571428571</v>
      </c>
      <c r="O203" s="26" t="n">
        <f aca="false">IFERROR(E203/DEMAND_MODEL!K203,999)</f>
        <v>1.4</v>
      </c>
      <c r="P203" s="26" t="n">
        <f aca="false">IFERROR(F203/DEMAND_MODEL!L203,999)</f>
        <v>0</v>
      </c>
    </row>
    <row r="204" customFormat="false" ht="15" hidden="false" customHeight="false" outlineLevel="0" collapsed="false">
      <c r="A204" s="5" t="n">
        <f aca="false">ITEM_MASTER_CLEAN!A204</f>
        <v>203</v>
      </c>
      <c r="B204" s="5" t="n">
        <f aca="false">ITEM_MASTER_CLEAN!B204</f>
        <v>17160</v>
      </c>
      <c r="C204" s="5" t="str">
        <f aca="false">ITEM_MASTER_CLEAN!C204</f>
        <v>Lid  ChsCake slc 800un</v>
      </c>
      <c r="D204" s="12" t="n">
        <f aca="false">ITEM_MASTER_CLEAN!F204</f>
        <v>19.6</v>
      </c>
      <c r="E204" s="5" t="n">
        <f aca="false">ITEM_MASTER_CLEAN!H204</f>
        <v>18</v>
      </c>
      <c r="F204" s="5" t="n">
        <f aca="false">ITEM_MASTER_CLEAN!I204</f>
        <v>0</v>
      </c>
      <c r="G204" s="5" t="n">
        <f aca="false">PAR_LEVELS!J204</f>
        <v>11.1428571428571</v>
      </c>
      <c r="H204" s="5" t="n">
        <f aca="false">PAR_LEVELS!K204</f>
        <v>3.71428571428571</v>
      </c>
      <c r="I204" s="12" t="n">
        <f aca="false">E204*D204</f>
        <v>352.8</v>
      </c>
      <c r="J204" s="12" t="n">
        <f aca="false">F204*D204</f>
        <v>0</v>
      </c>
      <c r="K204" s="12" t="n">
        <f aca="false">MAX(E204-G204,0)*D204</f>
        <v>134.4</v>
      </c>
      <c r="L204" s="12" t="n">
        <f aca="false">MAX(F204-H204,0)*D204</f>
        <v>0</v>
      </c>
      <c r="M204" s="12" t="n">
        <f aca="false">MAX(G204-E204,0)*D204</f>
        <v>0</v>
      </c>
      <c r="N204" s="12" t="n">
        <f aca="false">MAX(H204-F204,0)*D204</f>
        <v>72.8</v>
      </c>
      <c r="O204" s="26" t="n">
        <f aca="false">IFERROR(E204/DEMAND_MODEL!K204,999)</f>
        <v>21</v>
      </c>
      <c r="P204" s="26" t="n">
        <f aca="false">IFERROR(F204/DEMAND_MODEL!L204,999)</f>
        <v>0</v>
      </c>
    </row>
    <row r="205" customFormat="false" ht="15" hidden="false" customHeight="false" outlineLevel="0" collapsed="false">
      <c r="A205" s="5" t="n">
        <f aca="false">ITEM_MASTER_CLEAN!A205</f>
        <v>204</v>
      </c>
      <c r="B205" s="5" t="n">
        <f aca="false">ITEM_MASTER_CLEAN!B205</f>
        <v>59752</v>
      </c>
      <c r="C205" s="5" t="str">
        <f aca="false">ITEM_MASTER_CLEAN!C205</f>
        <v>CONT CAKE SLICE PETE 6X6.3 X2.9 240</v>
      </c>
      <c r="D205" s="12" t="n">
        <f aca="false">ITEM_MASTER_CLEAN!F205</f>
        <v>20.21</v>
      </c>
      <c r="E205" s="5" t="n">
        <f aca="false">ITEM_MASTER_CLEAN!H205</f>
        <v>14</v>
      </c>
      <c r="F205" s="5" t="n">
        <f aca="false">ITEM_MASTER_CLEAN!I205</f>
        <v>0</v>
      </c>
      <c r="G205" s="5" t="n">
        <f aca="false">PAR_LEVELS!J205</f>
        <v>9.28571428571429</v>
      </c>
      <c r="H205" s="5" t="n">
        <f aca="false">PAR_LEVELS!K205</f>
        <v>7.42857142857143</v>
      </c>
      <c r="I205" s="12" t="n">
        <f aca="false">E205*D205</f>
        <v>282.94</v>
      </c>
      <c r="J205" s="12" t="n">
        <f aca="false">F205*D205</f>
        <v>0</v>
      </c>
      <c r="K205" s="12" t="n">
        <f aca="false">MAX(E205-G205,0)*D205</f>
        <v>95.2757142857143</v>
      </c>
      <c r="L205" s="12" t="n">
        <f aca="false">MAX(F205-H205,0)*D205</f>
        <v>0</v>
      </c>
      <c r="M205" s="12" t="n">
        <f aca="false">MAX(G205-E205,0)*D205</f>
        <v>0</v>
      </c>
      <c r="N205" s="12" t="n">
        <f aca="false">MAX(H205-F205,0)*D205</f>
        <v>150.131428571429</v>
      </c>
      <c r="O205" s="26" t="n">
        <f aca="false">IFERROR(E205/DEMAND_MODEL!K205,999)</f>
        <v>19.6</v>
      </c>
      <c r="P205" s="26" t="n">
        <f aca="false">IFERROR(F205/DEMAND_MODEL!L205,999)</f>
        <v>0</v>
      </c>
    </row>
    <row r="206" customFormat="false" ht="15" hidden="false" customHeight="false" outlineLevel="0" collapsed="false">
      <c r="A206" s="5" t="n">
        <f aca="false">ITEM_MASTER_CLEAN!A206</f>
        <v>205</v>
      </c>
      <c r="B206" s="5" t="n">
        <f aca="false">ITEM_MASTER_CLEAN!B206</f>
        <v>41216</v>
      </c>
      <c r="C206" s="5" t="str">
        <f aca="false">ITEM_MASTER_CLEAN!C206</f>
        <v>CONT PORT 2 OZ PLASTIC PP* 125UN</v>
      </c>
      <c r="D206" s="12" t="n">
        <f aca="false">ITEM_MASTER_CLEAN!F206</f>
        <v>22.51</v>
      </c>
      <c r="E206" s="5" t="n">
        <f aca="false">ITEM_MASTER_CLEAN!H206</f>
        <v>1</v>
      </c>
      <c r="F206" s="5" t="n">
        <f aca="false">ITEM_MASTER_CLEAN!I206</f>
        <v>1</v>
      </c>
      <c r="G206" s="5" t="n">
        <f aca="false">PAR_LEVELS!J206</f>
        <v>5.57142857142857</v>
      </c>
      <c r="H206" s="5" t="n">
        <f aca="false">PAR_LEVELS!K206</f>
        <v>3.71428571428571</v>
      </c>
      <c r="I206" s="12" t="n">
        <f aca="false">E206*D206</f>
        <v>22.51</v>
      </c>
      <c r="J206" s="12" t="n">
        <f aca="false">F206*D206</f>
        <v>22.51</v>
      </c>
      <c r="K206" s="12" t="n">
        <f aca="false">MAX(E206-G206,0)*D206</f>
        <v>0</v>
      </c>
      <c r="L206" s="12" t="n">
        <f aca="false">MAX(F206-H206,0)*D206</f>
        <v>0</v>
      </c>
      <c r="M206" s="12" t="n">
        <f aca="false">MAX(G206-E206,0)*D206</f>
        <v>102.902857142857</v>
      </c>
      <c r="N206" s="12" t="n">
        <f aca="false">MAX(H206-F206,0)*D206</f>
        <v>61.0985714285714</v>
      </c>
      <c r="O206" s="26" t="n">
        <f aca="false">IFERROR(E206/DEMAND_MODEL!K206,999)</f>
        <v>2.33333333333333</v>
      </c>
      <c r="P206" s="26" t="n">
        <f aca="false">IFERROR(F206/DEMAND_MODEL!L206,999)</f>
        <v>3.5</v>
      </c>
    </row>
    <row r="207" customFormat="false" ht="15" hidden="false" customHeight="false" outlineLevel="0" collapsed="false">
      <c r="A207" s="5" t="n">
        <f aca="false">ITEM_MASTER_CLEAN!A207</f>
        <v>206</v>
      </c>
      <c r="B207" s="5" t="n">
        <f aca="false">ITEM_MASTER_CLEAN!B207</f>
        <v>41217</v>
      </c>
      <c r="C207" s="5" t="str">
        <f aca="false">ITEM_MASTER_CLEAN!C207</f>
        <v>LID PORTION 2 OZ PL 125UN</v>
      </c>
      <c r="D207" s="12" t="n">
        <f aca="false">ITEM_MASTER_CLEAN!F207</f>
        <v>28.07</v>
      </c>
      <c r="E207" s="5" t="n">
        <f aca="false">ITEM_MASTER_CLEAN!H207</f>
        <v>4</v>
      </c>
      <c r="F207" s="5" t="n">
        <f aca="false">ITEM_MASTER_CLEAN!I207</f>
        <v>6</v>
      </c>
      <c r="G207" s="5" t="n">
        <f aca="false">PAR_LEVELS!J207</f>
        <v>5.57142857142857</v>
      </c>
      <c r="H207" s="5" t="n">
        <f aca="false">PAR_LEVELS!K207</f>
        <v>7.42857142857143</v>
      </c>
      <c r="I207" s="12" t="n">
        <f aca="false">E207*D207</f>
        <v>112.28</v>
      </c>
      <c r="J207" s="12" t="n">
        <f aca="false">F207*D207</f>
        <v>168.42</v>
      </c>
      <c r="K207" s="12" t="n">
        <f aca="false">MAX(E207-G207,0)*D207</f>
        <v>0</v>
      </c>
      <c r="L207" s="12" t="n">
        <f aca="false">MAX(F207-H207,0)*D207</f>
        <v>0</v>
      </c>
      <c r="M207" s="12" t="n">
        <f aca="false">MAX(G207-E207,0)*D207</f>
        <v>44.11</v>
      </c>
      <c r="N207" s="12" t="n">
        <f aca="false">MAX(H207-F207,0)*D207</f>
        <v>40.1</v>
      </c>
      <c r="O207" s="26" t="n">
        <f aca="false">IFERROR(E207/DEMAND_MODEL!K207,999)</f>
        <v>9.33333333333333</v>
      </c>
      <c r="P207" s="26" t="n">
        <f aca="false">IFERROR(F207/DEMAND_MODEL!L207,999)</f>
        <v>10.5</v>
      </c>
    </row>
    <row r="208" customFormat="false" ht="15" hidden="false" customHeight="false" outlineLevel="0" collapsed="false">
      <c r="A208" s="5" t="n">
        <f aca="false">ITEM_MASTER_CLEAN!A208</f>
        <v>207</v>
      </c>
      <c r="B208" s="5" t="n">
        <f aca="false">ITEM_MASTER_CLEAN!B208</f>
        <v>66908</v>
      </c>
      <c r="C208" s="5" t="str">
        <f aca="false">ITEM_MASTER_CLEAN!C208</f>
        <v>CUTL KNIFE WOOD TI80691 1M</v>
      </c>
      <c r="D208" s="12" t="n">
        <f aca="false">ITEM_MASTER_CLEAN!F208</f>
        <v>13.23</v>
      </c>
      <c r="E208" s="5" t="n">
        <f aca="false">ITEM_MASTER_CLEAN!H208</f>
        <v>11</v>
      </c>
      <c r="F208" s="5" t="n">
        <f aca="false">ITEM_MASTER_CLEAN!I208</f>
        <v>7</v>
      </c>
      <c r="G208" s="5" t="n">
        <f aca="false">PAR_LEVELS!J208</f>
        <v>5.57142857142857</v>
      </c>
      <c r="H208" s="5" t="n">
        <f aca="false">PAR_LEVELS!K208</f>
        <v>3.71428571428571</v>
      </c>
      <c r="I208" s="12" t="n">
        <f aca="false">E208*D208</f>
        <v>145.53</v>
      </c>
      <c r="J208" s="12" t="n">
        <f aca="false">F208*D208</f>
        <v>92.61</v>
      </c>
      <c r="K208" s="12" t="n">
        <f aca="false">MAX(E208-G208,0)*D208</f>
        <v>71.82</v>
      </c>
      <c r="L208" s="12" t="n">
        <f aca="false">MAX(F208-H208,0)*D208</f>
        <v>43.47</v>
      </c>
      <c r="M208" s="12" t="n">
        <f aca="false">MAX(G208-E208,0)*D208</f>
        <v>0</v>
      </c>
      <c r="N208" s="12" t="n">
        <f aca="false">MAX(H208-F208,0)*D208</f>
        <v>0</v>
      </c>
      <c r="O208" s="26" t="n">
        <f aca="false">IFERROR(E208/DEMAND_MODEL!K208,999)</f>
        <v>25.6666666666667</v>
      </c>
      <c r="P208" s="26" t="n">
        <f aca="false">IFERROR(F208/DEMAND_MODEL!L208,999)</f>
        <v>24.5</v>
      </c>
    </row>
    <row r="209" customFormat="false" ht="15" hidden="false" customHeight="false" outlineLevel="0" collapsed="false">
      <c r="A209" s="5" t="n">
        <f aca="false">ITEM_MASTER_CLEAN!A209</f>
        <v>208</v>
      </c>
      <c r="B209" s="5" t="n">
        <f aca="false">ITEM_MASTER_CLEAN!B209</f>
        <v>44099</v>
      </c>
      <c r="C209" s="5" t="str">
        <f aca="false">ITEM_MASTER_CLEAN!C209</f>
        <v>CUTLERY KNIVE POL WH MED PYL PP* 1M</v>
      </c>
      <c r="D209" s="12" t="n">
        <f aca="false">ITEM_MASTER_CLEAN!F209</f>
        <v>26.37</v>
      </c>
      <c r="E209" s="5" t="n">
        <f aca="false">ITEM_MASTER_CLEAN!H209</f>
        <v>12</v>
      </c>
      <c r="F209" s="5" t="n">
        <f aca="false">ITEM_MASTER_CLEAN!I209</f>
        <v>4</v>
      </c>
      <c r="G209" s="5" t="n">
        <f aca="false">PAR_LEVELS!J209</f>
        <v>5.57142857142857</v>
      </c>
      <c r="H209" s="5" t="n">
        <f aca="false">PAR_LEVELS!K209</f>
        <v>1.85714285714286</v>
      </c>
      <c r="I209" s="12" t="n">
        <f aca="false">E209*D209</f>
        <v>316.44</v>
      </c>
      <c r="J209" s="12" t="n">
        <f aca="false">F209*D209</f>
        <v>105.48</v>
      </c>
      <c r="K209" s="12" t="n">
        <f aca="false">MAX(E209-G209,0)*D209</f>
        <v>169.521428571429</v>
      </c>
      <c r="L209" s="12" t="n">
        <f aca="false">MAX(F209-H209,0)*D209</f>
        <v>56.5071428571429</v>
      </c>
      <c r="M209" s="12" t="n">
        <f aca="false">MAX(G209-E209,0)*D209</f>
        <v>0</v>
      </c>
      <c r="N209" s="12" t="n">
        <f aca="false">MAX(H209-F209,0)*D209</f>
        <v>0</v>
      </c>
      <c r="O209" s="26" t="n">
        <f aca="false">IFERROR(E209/DEMAND_MODEL!K209,999)</f>
        <v>28</v>
      </c>
      <c r="P209" s="26" t="n">
        <f aca="false">IFERROR(F209/DEMAND_MODEL!L209,999)</f>
        <v>28</v>
      </c>
    </row>
    <row r="210" customFormat="false" ht="23.85" hidden="false" customHeight="false" outlineLevel="0" collapsed="false">
      <c r="A210" s="5" t="n">
        <f aca="false">ITEM_MASTER_CLEAN!A210</f>
        <v>209</v>
      </c>
      <c r="B210" s="5" t="n">
        <f aca="false">ITEM_MASTER_CLEAN!B210</f>
        <v>41623</v>
      </c>
      <c r="C210" s="5" t="str">
        <f aca="false">ITEM_MASTER_CLEAN!C210</f>
        <v>CUTLERY SPOON POL TEA WH PYL PP* 1M</v>
      </c>
      <c r="D210" s="12" t="n">
        <f aca="false">ITEM_MASTER_CLEAN!F210</f>
        <v>27.96</v>
      </c>
      <c r="E210" s="5" t="n">
        <f aca="false">ITEM_MASTER_CLEAN!H210</f>
        <v>3</v>
      </c>
      <c r="F210" s="5" t="n">
        <f aca="false">ITEM_MASTER_CLEAN!I210</f>
        <v>4</v>
      </c>
      <c r="G210" s="5" t="n">
        <f aca="false">PAR_LEVELS!J210</f>
        <v>3.71428571428571</v>
      </c>
      <c r="H210" s="5" t="n">
        <f aca="false">PAR_LEVELS!K210</f>
        <v>5.57142857142857</v>
      </c>
      <c r="I210" s="12" t="n">
        <f aca="false">E210*D210</f>
        <v>83.88</v>
      </c>
      <c r="J210" s="12" t="n">
        <f aca="false">F210*D210</f>
        <v>111.84</v>
      </c>
      <c r="K210" s="12" t="n">
        <f aca="false">MAX(E210-G210,0)*D210</f>
        <v>0</v>
      </c>
      <c r="L210" s="12" t="n">
        <f aca="false">MAX(F210-H210,0)*D210</f>
        <v>0</v>
      </c>
      <c r="M210" s="12" t="n">
        <f aca="false">MAX(G210-E210,0)*D210</f>
        <v>19.9714285714286</v>
      </c>
      <c r="N210" s="12" t="n">
        <f aca="false">MAX(H210-F210,0)*D210</f>
        <v>43.9371428571429</v>
      </c>
      <c r="O210" s="26" t="n">
        <f aca="false">IFERROR(E210/DEMAND_MODEL!K210,999)</f>
        <v>10.5</v>
      </c>
      <c r="P210" s="26" t="n">
        <f aca="false">IFERROR(F210/DEMAND_MODEL!L210,999)</f>
        <v>9.33333333333333</v>
      </c>
    </row>
    <row r="211" customFormat="false" ht="15" hidden="false" customHeight="false" outlineLevel="0" collapsed="false">
      <c r="A211" s="5" t="n">
        <f aca="false">ITEM_MASTER_CLEAN!A211</f>
        <v>210</v>
      </c>
      <c r="B211" s="5" t="n">
        <f aca="false">ITEM_MASTER_CLEAN!B211</f>
        <v>66910</v>
      </c>
      <c r="C211" s="5" t="str">
        <f aca="false">ITEM_MASTER_CLEAN!C211</f>
        <v>CUTL SPOON WOOD TI80692 1M</v>
      </c>
      <c r="D211" s="12" t="n">
        <f aca="false">ITEM_MASTER_CLEAN!F211</f>
        <v>27.17</v>
      </c>
      <c r="E211" s="5" t="n">
        <f aca="false">ITEM_MASTER_CLEAN!H211</f>
        <v>0</v>
      </c>
      <c r="F211" s="5" t="n">
        <f aca="false">ITEM_MASTER_CLEAN!I211</f>
        <v>7</v>
      </c>
      <c r="G211" s="5" t="n">
        <f aca="false">PAR_LEVELS!J211</f>
        <v>3.71428571428571</v>
      </c>
      <c r="H211" s="5" t="n">
        <f aca="false">PAR_LEVELS!K211</f>
        <v>3.71428571428571</v>
      </c>
      <c r="I211" s="12" t="n">
        <f aca="false">E211*D211</f>
        <v>0</v>
      </c>
      <c r="J211" s="12" t="n">
        <f aca="false">F211*D211</f>
        <v>190.19</v>
      </c>
      <c r="K211" s="12" t="n">
        <f aca="false">MAX(E211-G211,0)*D211</f>
        <v>0</v>
      </c>
      <c r="L211" s="12" t="n">
        <f aca="false">MAX(F211-H211,0)*D211</f>
        <v>89.2728571428572</v>
      </c>
      <c r="M211" s="12" t="n">
        <f aca="false">MAX(G211-E211,0)*D211</f>
        <v>100.917142857143</v>
      </c>
      <c r="N211" s="12" t="n">
        <f aca="false">MAX(H211-F211,0)*D211</f>
        <v>0</v>
      </c>
      <c r="O211" s="26" t="n">
        <f aca="false">IFERROR(E211/DEMAND_MODEL!K211,999)</f>
        <v>0</v>
      </c>
      <c r="P211" s="26" t="n">
        <f aca="false">IFERROR(F211/DEMAND_MODEL!L211,999)</f>
        <v>24.5</v>
      </c>
    </row>
    <row r="212" customFormat="false" ht="15" hidden="false" customHeight="false" outlineLevel="0" collapsed="false">
      <c r="A212" s="5" t="n">
        <f aca="false">ITEM_MASTER_CLEAN!A212</f>
        <v>211</v>
      </c>
      <c r="B212" s="5" t="n">
        <f aca="false">ITEM_MASTER_CLEAN!B212</f>
        <v>43703</v>
      </c>
      <c r="C212" s="5" t="str">
        <f aca="false">ITEM_MASTER_CLEAN!C212</f>
        <v>CUTLERY FORK POL WH MED PYL PP* 1M</v>
      </c>
      <c r="D212" s="12" t="n">
        <f aca="false">ITEM_MASTER_CLEAN!F212</f>
        <v>5.57</v>
      </c>
      <c r="E212" s="5" t="n">
        <f aca="false">ITEM_MASTER_CLEAN!H212</f>
        <v>0</v>
      </c>
      <c r="F212" s="5" t="n">
        <f aca="false">ITEM_MASTER_CLEAN!I212</f>
        <v>7</v>
      </c>
      <c r="G212" s="5" t="n">
        <f aca="false">PAR_LEVELS!J212</f>
        <v>9.28571428571429</v>
      </c>
      <c r="H212" s="5" t="n">
        <f aca="false">PAR_LEVELS!K212</f>
        <v>3.71428571428571</v>
      </c>
      <c r="I212" s="12" t="n">
        <f aca="false">E212*D212</f>
        <v>0</v>
      </c>
      <c r="J212" s="12" t="n">
        <f aca="false">F212*D212</f>
        <v>38.99</v>
      </c>
      <c r="K212" s="12" t="n">
        <f aca="false">MAX(E212-G212,0)*D212</f>
        <v>0</v>
      </c>
      <c r="L212" s="12" t="n">
        <f aca="false">MAX(F212-H212,0)*D212</f>
        <v>18.3014285714286</v>
      </c>
      <c r="M212" s="12" t="n">
        <f aca="false">MAX(G212-E212,0)*D212</f>
        <v>51.7214285714286</v>
      </c>
      <c r="N212" s="12" t="n">
        <f aca="false">MAX(H212-F212,0)*D212</f>
        <v>0</v>
      </c>
      <c r="O212" s="26" t="n">
        <f aca="false">IFERROR(E212/DEMAND_MODEL!K212,999)</f>
        <v>0</v>
      </c>
      <c r="P212" s="26" t="n">
        <f aca="false">IFERROR(F212/DEMAND_MODEL!L212,999)</f>
        <v>24.5</v>
      </c>
    </row>
    <row r="213" customFormat="false" ht="15" hidden="false" customHeight="false" outlineLevel="0" collapsed="false">
      <c r="A213" s="5" t="n">
        <f aca="false">ITEM_MASTER_CLEAN!A213</f>
        <v>212</v>
      </c>
      <c r="B213" s="5" t="n">
        <f aca="false">ITEM_MASTER_CLEAN!B213</f>
        <v>66909</v>
      </c>
      <c r="C213" s="5" t="str">
        <f aca="false">ITEM_MASTER_CLEAN!C213</f>
        <v>CUTL FORK WOOD TI80690 1M</v>
      </c>
      <c r="D213" s="12" t="n">
        <f aca="false">ITEM_MASTER_CLEAN!F213</f>
        <v>21.06</v>
      </c>
      <c r="E213" s="5" t="n">
        <f aca="false">ITEM_MASTER_CLEAN!H213</f>
        <v>9</v>
      </c>
      <c r="F213" s="5" t="n">
        <f aca="false">ITEM_MASTER_CLEAN!I213</f>
        <v>15</v>
      </c>
      <c r="G213" s="5" t="n">
        <f aca="false">PAR_LEVELS!J213</f>
        <v>3.71428571428571</v>
      </c>
      <c r="H213" s="5" t="n">
        <f aca="false">PAR_LEVELS!K213</f>
        <v>7.42857142857143</v>
      </c>
      <c r="I213" s="12" t="n">
        <f aca="false">E213*D213</f>
        <v>189.54</v>
      </c>
      <c r="J213" s="12" t="n">
        <f aca="false">F213*D213</f>
        <v>315.9</v>
      </c>
      <c r="K213" s="12" t="n">
        <f aca="false">MAX(E213-G213,0)*D213</f>
        <v>111.317142857143</v>
      </c>
      <c r="L213" s="12" t="n">
        <f aca="false">MAX(F213-H213,0)*D213</f>
        <v>159.454285714286</v>
      </c>
      <c r="M213" s="12" t="n">
        <f aca="false">MAX(G213-E213,0)*D213</f>
        <v>0</v>
      </c>
      <c r="N213" s="12" t="n">
        <f aca="false">MAX(H213-F213,0)*D213</f>
        <v>0</v>
      </c>
      <c r="O213" s="26" t="n">
        <f aca="false">IFERROR(E213/DEMAND_MODEL!K213,999)</f>
        <v>31.5</v>
      </c>
      <c r="P213" s="26" t="n">
        <f aca="false">IFERROR(F213/DEMAND_MODEL!L213,999)</f>
        <v>26.25</v>
      </c>
    </row>
    <row r="214" customFormat="false" ht="15" hidden="false" customHeight="false" outlineLevel="0" collapsed="false">
      <c r="A214" s="5" t="n">
        <f aca="false">ITEM_MASTER_CLEAN!A214</f>
        <v>213</v>
      </c>
      <c r="B214" s="5" t="n">
        <f aca="false">ITEM_MASTER_CLEAN!B214</f>
        <v>12562</v>
      </c>
      <c r="C214" s="5" t="str">
        <f aca="false">ITEM_MASTER_CLEAN!C214</f>
        <v>SPOON WOOD TASTER WRP 1M</v>
      </c>
      <c r="D214" s="12" t="n">
        <f aca="false">ITEM_MASTER_CLEAN!F214</f>
        <v>12.9</v>
      </c>
      <c r="E214" s="5" t="n">
        <f aca="false">ITEM_MASTER_CLEAN!H214</f>
        <v>3</v>
      </c>
      <c r="F214" s="5" t="n">
        <f aca="false">ITEM_MASTER_CLEAN!I214</f>
        <v>1</v>
      </c>
      <c r="G214" s="5" t="n">
        <f aca="false">PAR_LEVELS!J214</f>
        <v>5.57142857142857</v>
      </c>
      <c r="H214" s="5" t="n">
        <f aca="false">PAR_LEVELS!K214</f>
        <v>1.85714285714286</v>
      </c>
      <c r="I214" s="12" t="n">
        <f aca="false">E214*D214</f>
        <v>38.7</v>
      </c>
      <c r="J214" s="12" t="n">
        <f aca="false">F214*D214</f>
        <v>12.9</v>
      </c>
      <c r="K214" s="12" t="n">
        <f aca="false">MAX(E214-G214,0)*D214</f>
        <v>0</v>
      </c>
      <c r="L214" s="12" t="n">
        <f aca="false">MAX(F214-H214,0)*D214</f>
        <v>0</v>
      </c>
      <c r="M214" s="12" t="n">
        <f aca="false">MAX(G214-E214,0)*D214</f>
        <v>33.1714285714286</v>
      </c>
      <c r="N214" s="12" t="n">
        <f aca="false">MAX(H214-F214,0)*D214</f>
        <v>11.0571428571429</v>
      </c>
      <c r="O214" s="26" t="n">
        <f aca="false">IFERROR(E214/DEMAND_MODEL!K214,999)</f>
        <v>7</v>
      </c>
      <c r="P214" s="26" t="n">
        <f aca="false">IFERROR(F214/DEMAND_MODEL!L214,999)</f>
        <v>7</v>
      </c>
    </row>
    <row r="215" customFormat="false" ht="23.85" hidden="false" customHeight="false" outlineLevel="0" collapsed="false">
      <c r="A215" s="5" t="n">
        <f aca="false">ITEM_MASTER_CLEAN!A215</f>
        <v>214</v>
      </c>
      <c r="B215" s="5" t="n">
        <f aca="false">ITEM_MASTER_CLEAN!B215</f>
        <v>66915</v>
      </c>
      <c r="C215" s="5" t="str">
        <f aca="false">ITEM_MASTER_CLEAN!C215</f>
        <v>MTY CUTLERY SPOON SODA 7.2" WOOD 1M</v>
      </c>
      <c r="D215" s="12" t="n">
        <f aca="false">ITEM_MASTER_CLEAN!F215</f>
        <v>33.04</v>
      </c>
      <c r="E215" s="5" t="n">
        <f aca="false">ITEM_MASTER_CLEAN!H215</f>
        <v>2</v>
      </c>
      <c r="F215" s="5" t="n">
        <f aca="false">ITEM_MASTER_CLEAN!I215</f>
        <v>6</v>
      </c>
      <c r="G215" s="5" t="n">
        <f aca="false">PAR_LEVELS!J215</f>
        <v>3.71428571428571</v>
      </c>
      <c r="H215" s="5" t="n">
        <f aca="false">PAR_LEVELS!K215</f>
        <v>7.42857142857143</v>
      </c>
      <c r="I215" s="12" t="n">
        <f aca="false">E215*D215</f>
        <v>66.08</v>
      </c>
      <c r="J215" s="12" t="n">
        <f aca="false">F215*D215</f>
        <v>198.24</v>
      </c>
      <c r="K215" s="12" t="n">
        <f aca="false">MAX(E215-G215,0)*D215</f>
        <v>0</v>
      </c>
      <c r="L215" s="12" t="n">
        <f aca="false">MAX(F215-H215,0)*D215</f>
        <v>0</v>
      </c>
      <c r="M215" s="12" t="n">
        <f aca="false">MAX(G215-E215,0)*D215</f>
        <v>56.64</v>
      </c>
      <c r="N215" s="12" t="n">
        <f aca="false">MAX(H215-F215,0)*D215</f>
        <v>47.2</v>
      </c>
      <c r="O215" s="26" t="n">
        <f aca="false">IFERROR(E215/DEMAND_MODEL!K215,999)</f>
        <v>7</v>
      </c>
      <c r="P215" s="26" t="n">
        <f aca="false">IFERROR(F215/DEMAND_MODEL!L215,999)</f>
        <v>10.5</v>
      </c>
    </row>
    <row r="216" customFormat="false" ht="15" hidden="false" customHeight="false" outlineLevel="0" collapsed="false">
      <c r="A216" s="5" t="n">
        <f aca="false">ITEM_MASTER_CLEAN!A216</f>
        <v>215</v>
      </c>
      <c r="B216" s="5" t="n">
        <f aca="false">ITEM_MASTER_CLEAN!B216</f>
        <v>33725</v>
      </c>
      <c r="C216" s="5" t="str">
        <f aca="false">ITEM_MASTER_CLEAN!C216</f>
        <v>TRAY 4CUP CARRIER 8-32OZ  300</v>
      </c>
      <c r="D216" s="12" t="n">
        <f aca="false">ITEM_MASTER_CLEAN!F216</f>
        <v>30.73</v>
      </c>
      <c r="E216" s="5" t="n">
        <f aca="false">ITEM_MASTER_CLEAN!H216</f>
        <v>5</v>
      </c>
      <c r="F216" s="5" t="n">
        <f aca="false">ITEM_MASTER_CLEAN!I216</f>
        <v>1</v>
      </c>
      <c r="G216" s="5" t="n">
        <f aca="false">PAR_LEVELS!J216</f>
        <v>5.57142857142857</v>
      </c>
      <c r="H216" s="5" t="n">
        <f aca="false">PAR_LEVELS!K216</f>
        <v>1.85714285714286</v>
      </c>
      <c r="I216" s="12" t="n">
        <f aca="false">E216*D216</f>
        <v>153.65</v>
      </c>
      <c r="J216" s="12" t="n">
        <f aca="false">F216*D216</f>
        <v>30.73</v>
      </c>
      <c r="K216" s="12" t="n">
        <f aca="false">MAX(E216-G216,0)*D216</f>
        <v>0</v>
      </c>
      <c r="L216" s="12" t="n">
        <f aca="false">MAX(F216-H216,0)*D216</f>
        <v>0</v>
      </c>
      <c r="M216" s="12" t="n">
        <f aca="false">MAX(G216-E216,0)*D216</f>
        <v>17.56</v>
      </c>
      <c r="N216" s="12" t="n">
        <f aca="false">MAX(H216-F216,0)*D216</f>
        <v>26.34</v>
      </c>
      <c r="O216" s="26" t="n">
        <f aca="false">IFERROR(E216/DEMAND_MODEL!K216,999)</f>
        <v>11.6666666666667</v>
      </c>
      <c r="P216" s="26" t="n">
        <f aca="false">IFERROR(F216/DEMAND_MODEL!L216,999)</f>
        <v>7</v>
      </c>
    </row>
    <row r="217" customFormat="false" ht="15" hidden="false" customHeight="false" outlineLevel="0" collapsed="false">
      <c r="A217" s="5" t="n">
        <f aca="false">ITEM_MASTER_CLEAN!A217</f>
        <v>216</v>
      </c>
      <c r="B217" s="5" t="n">
        <f aca="false">ITEM_MASTER_CLEAN!B217</f>
        <v>47498</v>
      </c>
      <c r="C217" s="5" t="str">
        <f aca="false">ITEM_MASTER_CLEAN!C217</f>
        <v>ROLL CASH THERMAL 3 1/8 X 210'   50</v>
      </c>
      <c r="D217" s="12" t="n">
        <f aca="false">ITEM_MASTER_CLEAN!F217</f>
        <v>29.06</v>
      </c>
      <c r="E217" s="5" t="n">
        <f aca="false">ITEM_MASTER_CLEAN!H217</f>
        <v>11</v>
      </c>
      <c r="F217" s="5" t="n">
        <f aca="false">ITEM_MASTER_CLEAN!I217</f>
        <v>0</v>
      </c>
      <c r="G217" s="5" t="n">
        <f aca="false">PAR_LEVELS!J217</f>
        <v>7.42857142857143</v>
      </c>
      <c r="H217" s="5" t="n">
        <f aca="false">PAR_LEVELS!K217</f>
        <v>3.71428571428571</v>
      </c>
      <c r="I217" s="12" t="n">
        <f aca="false">E217*D217</f>
        <v>319.66</v>
      </c>
      <c r="J217" s="12" t="n">
        <f aca="false">F217*D217</f>
        <v>0</v>
      </c>
      <c r="K217" s="12" t="n">
        <f aca="false">MAX(E217-G217,0)*D217</f>
        <v>103.785714285714</v>
      </c>
      <c r="L217" s="12" t="n">
        <f aca="false">MAX(F217-H217,0)*D217</f>
        <v>0</v>
      </c>
      <c r="M217" s="12" t="n">
        <f aca="false">MAX(G217-E217,0)*D217</f>
        <v>0</v>
      </c>
      <c r="N217" s="12" t="n">
        <f aca="false">MAX(H217-F217,0)*D217</f>
        <v>107.937142857143</v>
      </c>
      <c r="O217" s="26" t="n">
        <f aca="false">IFERROR(E217/DEMAND_MODEL!K217,999)</f>
        <v>19.25</v>
      </c>
      <c r="P217" s="26" t="n">
        <f aca="false">IFERROR(F217/DEMAND_MODEL!L217,999)</f>
        <v>0</v>
      </c>
    </row>
    <row r="218" customFormat="false" ht="15" hidden="false" customHeight="false" outlineLevel="0" collapsed="false">
      <c r="A218" s="5" t="n">
        <f aca="false">ITEM_MASTER_CLEAN!A218</f>
        <v>217</v>
      </c>
      <c r="B218" s="5" t="n">
        <f aca="false">ITEM_MASTER_CLEAN!B218</f>
        <v>12609</v>
      </c>
      <c r="C218" s="5" t="str">
        <f aca="false">ITEM_MASTER_CLEAN!C218</f>
        <v>BAGS GROCERY BROWN  8LB 500</v>
      </c>
      <c r="D218" s="12" t="n">
        <f aca="false">ITEM_MASTER_CLEAN!F218</f>
        <v>9.86</v>
      </c>
      <c r="E218" s="5" t="n">
        <f aca="false">ITEM_MASTER_CLEAN!H218</f>
        <v>0</v>
      </c>
      <c r="F218" s="5" t="n">
        <f aca="false">ITEM_MASTER_CLEAN!I218</f>
        <v>0</v>
      </c>
      <c r="G218" s="5" t="n">
        <f aca="false">PAR_LEVELS!J218</f>
        <v>11.1428571428571</v>
      </c>
      <c r="H218" s="5" t="n">
        <f aca="false">PAR_LEVELS!K218</f>
        <v>5.57142857142857</v>
      </c>
      <c r="I218" s="12" t="n">
        <f aca="false">E218*D218</f>
        <v>0</v>
      </c>
      <c r="J218" s="12" t="n">
        <f aca="false">F218*D218</f>
        <v>0</v>
      </c>
      <c r="K218" s="12" t="n">
        <f aca="false">MAX(E218-G218,0)*D218</f>
        <v>0</v>
      </c>
      <c r="L218" s="12" t="n">
        <f aca="false">MAX(F218-H218,0)*D218</f>
        <v>0</v>
      </c>
      <c r="M218" s="12" t="n">
        <f aca="false">MAX(G218-E218,0)*D218</f>
        <v>109.868571428571</v>
      </c>
      <c r="N218" s="12" t="n">
        <f aca="false">MAX(H218-F218,0)*D218</f>
        <v>54.9342857142857</v>
      </c>
      <c r="O218" s="26" t="n">
        <f aca="false">IFERROR(E218/DEMAND_MODEL!K218,999)</f>
        <v>0</v>
      </c>
      <c r="P218" s="26" t="n">
        <f aca="false">IFERROR(F218/DEMAND_MODEL!L218,999)</f>
        <v>0</v>
      </c>
    </row>
    <row r="219" customFormat="false" ht="15" hidden="false" customHeight="false" outlineLevel="0" collapsed="false">
      <c r="A219" s="5" t="n">
        <f aca="false">ITEM_MASTER_CLEAN!A219</f>
        <v>218</v>
      </c>
      <c r="B219" s="5" t="n">
        <f aca="false">ITEM_MASTER_CLEAN!B219</f>
        <v>12617</v>
      </c>
      <c r="C219" s="5" t="str">
        <f aca="false">ITEM_MASTER_CLEAN!C219</f>
        <v>BAGS GROCERY BROWN 10LB 500</v>
      </c>
      <c r="D219" s="12" t="n">
        <f aca="false">ITEM_MASTER_CLEAN!F219</f>
        <v>12.28</v>
      </c>
      <c r="E219" s="5" t="n">
        <f aca="false">ITEM_MASTER_CLEAN!H219</f>
        <v>0</v>
      </c>
      <c r="F219" s="5" t="n">
        <f aca="false">ITEM_MASTER_CLEAN!I219</f>
        <v>0</v>
      </c>
      <c r="G219" s="5" t="n">
        <f aca="false">PAR_LEVELS!J219</f>
        <v>5.57142857142857</v>
      </c>
      <c r="H219" s="5" t="n">
        <f aca="false">PAR_LEVELS!K219</f>
        <v>1.85714285714286</v>
      </c>
      <c r="I219" s="12" t="n">
        <f aca="false">E219*D219</f>
        <v>0</v>
      </c>
      <c r="J219" s="12" t="n">
        <f aca="false">F219*D219</f>
        <v>0</v>
      </c>
      <c r="K219" s="12" t="n">
        <f aca="false">MAX(E219-G219,0)*D219</f>
        <v>0</v>
      </c>
      <c r="L219" s="12" t="n">
        <f aca="false">MAX(F219-H219,0)*D219</f>
        <v>0</v>
      </c>
      <c r="M219" s="12" t="n">
        <f aca="false">MAX(G219-E219,0)*D219</f>
        <v>68.4171428571429</v>
      </c>
      <c r="N219" s="12" t="n">
        <f aca="false">MAX(H219-F219,0)*D219</f>
        <v>22.8057142857143</v>
      </c>
      <c r="O219" s="26" t="n">
        <f aca="false">IFERROR(E219/DEMAND_MODEL!K219,999)</f>
        <v>0</v>
      </c>
      <c r="P219" s="26" t="n">
        <f aca="false">IFERROR(F219/DEMAND_MODEL!L219,999)</f>
        <v>0</v>
      </c>
    </row>
    <row r="220" customFormat="false" ht="15" hidden="false" customHeight="false" outlineLevel="0" collapsed="false">
      <c r="A220" s="5" t="n">
        <f aca="false">ITEM_MASTER_CLEAN!A220</f>
        <v>219</v>
      </c>
      <c r="B220" s="5" t="n">
        <f aca="false">ITEM_MASTER_CLEAN!B220</f>
        <v>12633</v>
      </c>
      <c r="C220" s="5" t="str">
        <f aca="false">ITEM_MASTER_CLEAN!C220</f>
        <v>BAGS GROCERY BROWN 14LB 500</v>
      </c>
      <c r="D220" s="12" t="n">
        <f aca="false">ITEM_MASTER_CLEAN!F220</f>
        <v>11.84</v>
      </c>
      <c r="E220" s="5" t="n">
        <f aca="false">ITEM_MASTER_CLEAN!H220</f>
        <v>14</v>
      </c>
      <c r="F220" s="5" t="n">
        <f aca="false">ITEM_MASTER_CLEAN!I220</f>
        <v>1</v>
      </c>
      <c r="G220" s="5" t="n">
        <f aca="false">PAR_LEVELS!J220</f>
        <v>7.42857142857143</v>
      </c>
      <c r="H220" s="5" t="n">
        <f aca="false">PAR_LEVELS!K220</f>
        <v>5.57142857142857</v>
      </c>
      <c r="I220" s="12" t="n">
        <f aca="false">E220*D220</f>
        <v>165.76</v>
      </c>
      <c r="J220" s="12" t="n">
        <f aca="false">F220*D220</f>
        <v>11.84</v>
      </c>
      <c r="K220" s="12" t="n">
        <f aca="false">MAX(E220-G220,0)*D220</f>
        <v>77.8057142857143</v>
      </c>
      <c r="L220" s="12" t="n">
        <f aca="false">MAX(F220-H220,0)*D220</f>
        <v>0</v>
      </c>
      <c r="M220" s="12" t="n">
        <f aca="false">MAX(G220-E220,0)*D220</f>
        <v>0</v>
      </c>
      <c r="N220" s="12" t="n">
        <f aca="false">MAX(H220-F220,0)*D220</f>
        <v>54.1257142857143</v>
      </c>
      <c r="O220" s="26" t="n">
        <f aca="false">IFERROR(E220/DEMAND_MODEL!K220,999)</f>
        <v>24.5</v>
      </c>
      <c r="P220" s="26" t="n">
        <f aca="false">IFERROR(F220/DEMAND_MODEL!L220,999)</f>
        <v>2.33333333333333</v>
      </c>
    </row>
    <row r="221" customFormat="false" ht="15" hidden="false" customHeight="false" outlineLevel="0" collapsed="false">
      <c r="A221" s="5" t="n">
        <f aca="false">ITEM_MASTER_CLEAN!A221</f>
        <v>220</v>
      </c>
      <c r="B221" s="5" t="n">
        <f aca="false">ITEM_MASTER_CLEAN!B221</f>
        <v>12585</v>
      </c>
      <c r="C221" s="5" t="str">
        <f aca="false">ITEM_MASTER_CLEAN!C221</f>
        <v>BAGS GROCERY  30LB  DD50  500UN</v>
      </c>
      <c r="D221" s="12" t="n">
        <f aca="false">ITEM_MASTER_CLEAN!F221</f>
        <v>9.18</v>
      </c>
      <c r="E221" s="5" t="n">
        <f aca="false">ITEM_MASTER_CLEAN!H221</f>
        <v>1</v>
      </c>
      <c r="F221" s="5" t="n">
        <f aca="false">ITEM_MASTER_CLEAN!I221</f>
        <v>1</v>
      </c>
      <c r="G221" s="5" t="n">
        <f aca="false">PAR_LEVELS!J221</f>
        <v>5.57142857142857</v>
      </c>
      <c r="H221" s="5" t="n">
        <f aca="false">PAR_LEVELS!K221</f>
        <v>3.71428571428571</v>
      </c>
      <c r="I221" s="12" t="n">
        <f aca="false">E221*D221</f>
        <v>9.18</v>
      </c>
      <c r="J221" s="12" t="n">
        <f aca="false">F221*D221</f>
        <v>9.18</v>
      </c>
      <c r="K221" s="12" t="n">
        <f aca="false">MAX(E221-G221,0)*D221</f>
        <v>0</v>
      </c>
      <c r="L221" s="12" t="n">
        <f aca="false">MAX(F221-H221,0)*D221</f>
        <v>0</v>
      </c>
      <c r="M221" s="12" t="n">
        <f aca="false">MAX(G221-E221,0)*D221</f>
        <v>41.9657142857143</v>
      </c>
      <c r="N221" s="12" t="n">
        <f aca="false">MAX(H221-F221,0)*D221</f>
        <v>24.9171428571429</v>
      </c>
      <c r="O221" s="26" t="n">
        <f aca="false">IFERROR(E221/DEMAND_MODEL!K221,999)</f>
        <v>2.33333333333333</v>
      </c>
      <c r="P221" s="26" t="n">
        <f aca="false">IFERROR(F221/DEMAND_MODEL!L221,999)</f>
        <v>3.5</v>
      </c>
    </row>
    <row r="222" customFormat="false" ht="15" hidden="false" customHeight="false" outlineLevel="0" collapsed="false">
      <c r="A222" s="5" t="n">
        <f aca="false">ITEM_MASTER_CLEAN!A222</f>
        <v>221</v>
      </c>
      <c r="B222" s="5" t="n">
        <f aca="false">ITEM_MASTER_CLEAN!B222</f>
        <v>22573</v>
      </c>
      <c r="C222" s="5" t="str">
        <f aca="false">ITEM_MASTER_CLEAN!C222</f>
        <v>BAG KFT W/HANDLE 14X10X16  200</v>
      </c>
      <c r="D222" s="12" t="n">
        <f aca="false">ITEM_MASTER_CLEAN!F222</f>
        <v>7.64</v>
      </c>
      <c r="E222" s="5" t="n">
        <f aca="false">ITEM_MASTER_CLEAN!H222</f>
        <v>10</v>
      </c>
      <c r="F222" s="5" t="n">
        <f aca="false">ITEM_MASTER_CLEAN!I222</f>
        <v>1</v>
      </c>
      <c r="G222" s="5" t="n">
        <f aca="false">PAR_LEVELS!J222</f>
        <v>5.57142857142857</v>
      </c>
      <c r="H222" s="5" t="n">
        <f aca="false">PAR_LEVELS!K222</f>
        <v>5.57142857142857</v>
      </c>
      <c r="I222" s="12" t="n">
        <f aca="false">E222*D222</f>
        <v>76.4</v>
      </c>
      <c r="J222" s="12" t="n">
        <f aca="false">F222*D222</f>
        <v>7.64</v>
      </c>
      <c r="K222" s="12" t="n">
        <f aca="false">MAX(E222-G222,0)*D222</f>
        <v>33.8342857142857</v>
      </c>
      <c r="L222" s="12" t="n">
        <f aca="false">MAX(F222-H222,0)*D222</f>
        <v>0</v>
      </c>
      <c r="M222" s="12" t="n">
        <f aca="false">MAX(G222-E222,0)*D222</f>
        <v>0</v>
      </c>
      <c r="N222" s="12" t="n">
        <f aca="false">MAX(H222-F222,0)*D222</f>
        <v>34.9257142857143</v>
      </c>
      <c r="O222" s="26" t="n">
        <f aca="false">IFERROR(E222/DEMAND_MODEL!K222,999)</f>
        <v>23.3333333333333</v>
      </c>
      <c r="P222" s="26" t="n">
        <f aca="false">IFERROR(F222/DEMAND_MODEL!L222,999)</f>
        <v>2.33333333333333</v>
      </c>
    </row>
    <row r="223" customFormat="false" ht="15" hidden="false" customHeight="false" outlineLevel="0" collapsed="false">
      <c r="A223" s="5" t="n">
        <f aca="false">ITEM_MASTER_CLEAN!A223</f>
        <v>222</v>
      </c>
      <c r="B223" s="5" t="n">
        <f aca="false">ITEM_MASTER_CLEAN!B223</f>
        <v>28466</v>
      </c>
      <c r="C223" s="5" t="str">
        <f aca="false">ITEM_MASTER_CLEAN!C223</f>
        <v>NAPKIN COCTAIL 4M</v>
      </c>
      <c r="D223" s="12" t="n">
        <f aca="false">ITEM_MASTER_CLEAN!F223</f>
        <v>13.49</v>
      </c>
      <c r="E223" s="5" t="n">
        <f aca="false">ITEM_MASTER_CLEAN!H223</f>
        <v>0</v>
      </c>
      <c r="F223" s="5" t="n">
        <f aca="false">ITEM_MASTER_CLEAN!I223</f>
        <v>1</v>
      </c>
      <c r="G223" s="5" t="n">
        <f aca="false">PAR_LEVELS!J223</f>
        <v>7.42857142857143</v>
      </c>
      <c r="H223" s="5" t="n">
        <f aca="false">PAR_LEVELS!K223</f>
        <v>3.71428571428571</v>
      </c>
      <c r="I223" s="12" t="n">
        <f aca="false">E223*D223</f>
        <v>0</v>
      </c>
      <c r="J223" s="12" t="n">
        <f aca="false">F223*D223</f>
        <v>13.49</v>
      </c>
      <c r="K223" s="12" t="n">
        <f aca="false">MAX(E223-G223,0)*D223</f>
        <v>0</v>
      </c>
      <c r="L223" s="12" t="n">
        <f aca="false">MAX(F223-H223,0)*D223</f>
        <v>0</v>
      </c>
      <c r="M223" s="12" t="n">
        <f aca="false">MAX(G223-E223,0)*D223</f>
        <v>100.211428571429</v>
      </c>
      <c r="N223" s="12" t="n">
        <f aca="false">MAX(H223-F223,0)*D223</f>
        <v>36.6157142857143</v>
      </c>
      <c r="O223" s="26" t="n">
        <f aca="false">IFERROR(E223/DEMAND_MODEL!K223,999)</f>
        <v>0</v>
      </c>
      <c r="P223" s="26" t="n">
        <f aca="false">IFERROR(F223/DEMAND_MODEL!L223,999)</f>
        <v>3.5</v>
      </c>
    </row>
    <row r="224" customFormat="false" ht="15" hidden="false" customHeight="false" outlineLevel="0" collapsed="false">
      <c r="A224" s="5" t="n">
        <f aca="false">ITEM_MASTER_CLEAN!A224</f>
        <v>223</v>
      </c>
      <c r="B224" s="5" t="n">
        <f aca="false">ITEM_MASTER_CLEAN!B224</f>
        <v>31649</v>
      </c>
      <c r="C224" s="5" t="str">
        <f aca="false">ITEM_MASTER_CLEAN!C224</f>
        <v>NAPKIN MEALMATES 1PL KRAFT 12X300</v>
      </c>
      <c r="D224" s="12" t="n">
        <f aca="false">ITEM_MASTER_CLEAN!F224</f>
        <v>9.12</v>
      </c>
      <c r="E224" s="5" t="n">
        <f aca="false">ITEM_MASTER_CLEAN!H224</f>
        <v>1</v>
      </c>
      <c r="F224" s="5" t="n">
        <f aca="false">ITEM_MASTER_CLEAN!I224</f>
        <v>5</v>
      </c>
      <c r="G224" s="5" t="n">
        <f aca="false">PAR_LEVELS!J224</f>
        <v>9.28571428571429</v>
      </c>
      <c r="H224" s="5" t="n">
        <f aca="false">PAR_LEVELS!K224</f>
        <v>3.71428571428571</v>
      </c>
      <c r="I224" s="12" t="n">
        <f aca="false">E224*D224</f>
        <v>9.12</v>
      </c>
      <c r="J224" s="12" t="n">
        <f aca="false">F224*D224</f>
        <v>45.6</v>
      </c>
      <c r="K224" s="12" t="n">
        <f aca="false">MAX(E224-G224,0)*D224</f>
        <v>0</v>
      </c>
      <c r="L224" s="12" t="n">
        <f aca="false">MAX(F224-H224,0)*D224</f>
        <v>11.7257142857143</v>
      </c>
      <c r="M224" s="12" t="n">
        <f aca="false">MAX(G224-E224,0)*D224</f>
        <v>75.5657142857143</v>
      </c>
      <c r="N224" s="12" t="n">
        <f aca="false">MAX(H224-F224,0)*D224</f>
        <v>0</v>
      </c>
      <c r="O224" s="26" t="n">
        <f aca="false">IFERROR(E224/DEMAND_MODEL!K224,999)</f>
        <v>1.4</v>
      </c>
      <c r="P224" s="26" t="n">
        <f aca="false">IFERROR(F224/DEMAND_MODEL!L224,999)</f>
        <v>17.5</v>
      </c>
    </row>
    <row r="225" customFormat="false" ht="15" hidden="false" customHeight="false" outlineLevel="0" collapsed="false">
      <c r="A225" s="5" t="n">
        <f aca="false">ITEM_MASTER_CLEAN!A225</f>
        <v>224</v>
      </c>
      <c r="B225" s="5" t="n">
        <f aca="false">ITEM_MASTER_CLEAN!B225</f>
        <v>66712</v>
      </c>
      <c r="C225" s="5" t="str">
        <f aca="false">ITEM_MASTER_CLEAN!C225</f>
        <v>SANITIZER STERA SHEEN 010425 1UN</v>
      </c>
      <c r="D225" s="12" t="n">
        <f aca="false">ITEM_MASTER_CLEAN!F225</f>
        <v>18.63</v>
      </c>
      <c r="E225" s="5" t="n">
        <f aca="false">ITEM_MASTER_CLEAN!H225</f>
        <v>1</v>
      </c>
      <c r="F225" s="5" t="n">
        <f aca="false">ITEM_MASTER_CLEAN!I225</f>
        <v>1</v>
      </c>
      <c r="G225" s="5" t="n">
        <f aca="false">PAR_LEVELS!J225</f>
        <v>5.57142857142857</v>
      </c>
      <c r="H225" s="5" t="n">
        <f aca="false">PAR_LEVELS!K225</f>
        <v>1.85714285714286</v>
      </c>
      <c r="I225" s="12" t="n">
        <f aca="false">E225*D225</f>
        <v>18.63</v>
      </c>
      <c r="J225" s="12" t="n">
        <f aca="false">F225*D225</f>
        <v>18.63</v>
      </c>
      <c r="K225" s="12" t="n">
        <f aca="false">MAX(E225-G225,0)*D225</f>
        <v>0</v>
      </c>
      <c r="L225" s="12" t="n">
        <f aca="false">MAX(F225-H225,0)*D225</f>
        <v>0</v>
      </c>
      <c r="M225" s="12" t="n">
        <f aca="false">MAX(G225-E225,0)*D225</f>
        <v>85.1657142857143</v>
      </c>
      <c r="N225" s="12" t="n">
        <f aca="false">MAX(H225-F225,0)*D225</f>
        <v>15.9685714285714</v>
      </c>
      <c r="O225" s="26" t="n">
        <f aca="false">IFERROR(E225/DEMAND_MODEL!K225,999)</f>
        <v>2.33333333333333</v>
      </c>
      <c r="P225" s="26" t="n">
        <f aca="false">IFERROR(F225/DEMAND_MODEL!L225,999)</f>
        <v>7</v>
      </c>
    </row>
    <row r="226" customFormat="false" ht="15" hidden="false" customHeight="false" outlineLevel="0" collapsed="false">
      <c r="A226" s="5" t="n">
        <f aca="false">ITEM_MASTER_CLEAN!A226</f>
        <v>225</v>
      </c>
      <c r="B226" s="5" t="n">
        <f aca="false">ITEM_MASTER_CLEAN!B226</f>
        <v>66713</v>
      </c>
      <c r="C226" s="5" t="str">
        <f aca="false">ITEM_MASTER_CLEAN!C226</f>
        <v>LUBRICANT 047518 X1UN</v>
      </c>
      <c r="D226" s="12" t="n">
        <f aca="false">ITEM_MASTER_CLEAN!F226</f>
        <v>12.28</v>
      </c>
      <c r="E226" s="5" t="n">
        <f aca="false">ITEM_MASTER_CLEAN!H226</f>
        <v>0</v>
      </c>
      <c r="F226" s="5" t="n">
        <f aca="false">ITEM_MASTER_CLEAN!I226</f>
        <v>0</v>
      </c>
      <c r="G226" s="5" t="n">
        <f aca="false">PAR_LEVELS!J226</f>
        <v>1.85714285714286</v>
      </c>
      <c r="H226" s="5" t="n">
        <f aca="false">PAR_LEVELS!K226</f>
        <v>5.57142857142857</v>
      </c>
      <c r="I226" s="12" t="n">
        <f aca="false">E226*D226</f>
        <v>0</v>
      </c>
      <c r="J226" s="12" t="n">
        <f aca="false">F226*D226</f>
        <v>0</v>
      </c>
      <c r="K226" s="12" t="n">
        <f aca="false">MAX(E226-G226,0)*D226</f>
        <v>0</v>
      </c>
      <c r="L226" s="12" t="n">
        <f aca="false">MAX(F226-H226,0)*D226</f>
        <v>0</v>
      </c>
      <c r="M226" s="12" t="n">
        <f aca="false">MAX(G226-E226,0)*D226</f>
        <v>22.8057142857143</v>
      </c>
      <c r="N226" s="12" t="n">
        <f aca="false">MAX(H226-F226,0)*D226</f>
        <v>68.4171428571429</v>
      </c>
      <c r="O226" s="26" t="n">
        <f aca="false">IFERROR(E226/DEMAND_MODEL!K226,999)</f>
        <v>0</v>
      </c>
      <c r="P226" s="26" t="n">
        <f aca="false">IFERROR(F226/DEMAND_MODEL!L226,999)</f>
        <v>0</v>
      </c>
    </row>
    <row r="227" customFormat="false" ht="15" hidden="false" customHeight="false" outlineLevel="0" collapsed="false">
      <c r="A227" s="5" t="n">
        <f aca="false">ITEM_MASTER_CLEAN!A227</f>
        <v>226</v>
      </c>
      <c r="B227" s="5" t="n">
        <f aca="false">ITEM_MASTER_CLEAN!B227</f>
        <v>49215</v>
      </c>
      <c r="C227" s="5" t="str">
        <f aca="false">ITEM_MASTER_CLEAN!C227</f>
        <v>TOWEL ROLL 8"X205' WHITE  24RL</v>
      </c>
      <c r="D227" s="12" t="n">
        <f aca="false">ITEM_MASTER_CLEAN!F227</f>
        <v>18.84</v>
      </c>
      <c r="E227" s="5" t="n">
        <f aca="false">ITEM_MASTER_CLEAN!H227</f>
        <v>1</v>
      </c>
      <c r="F227" s="5" t="n">
        <f aca="false">ITEM_MASTER_CLEAN!I227</f>
        <v>1</v>
      </c>
      <c r="G227" s="5" t="n">
        <f aca="false">PAR_LEVELS!J227</f>
        <v>5.57142857142857</v>
      </c>
      <c r="H227" s="5" t="n">
        <f aca="false">PAR_LEVELS!K227</f>
        <v>1.85714285714286</v>
      </c>
      <c r="I227" s="12" t="n">
        <f aca="false">E227*D227</f>
        <v>18.84</v>
      </c>
      <c r="J227" s="12" t="n">
        <f aca="false">F227*D227</f>
        <v>18.84</v>
      </c>
      <c r="K227" s="12" t="n">
        <f aca="false">MAX(E227-G227,0)*D227</f>
        <v>0</v>
      </c>
      <c r="L227" s="12" t="n">
        <f aca="false">MAX(F227-H227,0)*D227</f>
        <v>0</v>
      </c>
      <c r="M227" s="12" t="n">
        <f aca="false">MAX(G227-E227,0)*D227</f>
        <v>86.1257142857143</v>
      </c>
      <c r="N227" s="12" t="n">
        <f aca="false">MAX(H227-F227,0)*D227</f>
        <v>16.1485714285714</v>
      </c>
      <c r="O227" s="26" t="n">
        <f aca="false">IFERROR(E227/DEMAND_MODEL!K227,999)</f>
        <v>2.33333333333333</v>
      </c>
      <c r="P227" s="26" t="n">
        <f aca="false">IFERROR(F227/DEMAND_MODEL!L227,999)</f>
        <v>7</v>
      </c>
    </row>
    <row r="228" customFormat="false" ht="15" hidden="false" customHeight="false" outlineLevel="0" collapsed="false">
      <c r="A228" s="5" t="n">
        <f aca="false">ITEM_MASTER_CLEAN!A228</f>
        <v>227</v>
      </c>
      <c r="B228" s="5" t="n">
        <f aca="false">ITEM_MASTER_CLEAN!B228</f>
        <v>62330</v>
      </c>
      <c r="C228" s="5" t="str">
        <f aca="false">ITEM_MASTER_CLEAN!C228</f>
        <v>TOWEL ROLL WHITE 2 PLY 24X1RL</v>
      </c>
      <c r="D228" s="12" t="n">
        <f aca="false">ITEM_MASTER_CLEAN!F228</f>
        <v>23.89</v>
      </c>
      <c r="E228" s="5" t="n">
        <f aca="false">ITEM_MASTER_CLEAN!H228</f>
        <v>1</v>
      </c>
      <c r="F228" s="5" t="n">
        <f aca="false">ITEM_MASTER_CLEAN!I228</f>
        <v>1</v>
      </c>
      <c r="G228" s="5" t="n">
        <f aca="false">PAR_LEVELS!J228</f>
        <v>1.85714285714286</v>
      </c>
      <c r="H228" s="5" t="n">
        <f aca="false">PAR_LEVELS!K228</f>
        <v>1.85714285714286</v>
      </c>
      <c r="I228" s="12" t="n">
        <f aca="false">E228*D228</f>
        <v>23.89</v>
      </c>
      <c r="J228" s="12" t="n">
        <f aca="false">F228*D228</f>
        <v>23.89</v>
      </c>
      <c r="K228" s="12" t="n">
        <f aca="false">MAX(E228-G228,0)*D228</f>
        <v>0</v>
      </c>
      <c r="L228" s="12" t="n">
        <f aca="false">MAX(F228-H228,0)*D228</f>
        <v>0</v>
      </c>
      <c r="M228" s="12" t="n">
        <f aca="false">MAX(G228-E228,0)*D228</f>
        <v>20.4771428571429</v>
      </c>
      <c r="N228" s="12" t="n">
        <f aca="false">MAX(H228-F228,0)*D228</f>
        <v>20.4771428571429</v>
      </c>
      <c r="O228" s="26" t="n">
        <f aca="false">IFERROR(E228/DEMAND_MODEL!K228,999)</f>
        <v>7</v>
      </c>
      <c r="P228" s="26" t="n">
        <f aca="false">IFERROR(F228/DEMAND_MODEL!L228,999)</f>
        <v>7</v>
      </c>
    </row>
    <row r="229" customFormat="false" ht="15" hidden="false" customHeight="false" outlineLevel="0" collapsed="false">
      <c r="A229" s="5" t="n">
        <f aca="false">ITEM_MASTER_CLEAN!A229</f>
        <v>228</v>
      </c>
      <c r="B229" s="5" t="n">
        <f aca="false">ITEM_MASTER_CLEAN!B229</f>
        <v>63324</v>
      </c>
      <c r="C229" s="5" t="str">
        <f aca="false">ITEM_MASTER_CLEAN!C229</f>
        <v>NET FOR BEARD BROWN POLYESTER 100</v>
      </c>
      <c r="D229" s="12" t="n">
        <f aca="false">ITEM_MASTER_CLEAN!F229</f>
        <v>7.27</v>
      </c>
      <c r="E229" s="5" t="n">
        <f aca="false">ITEM_MASTER_CLEAN!H229</f>
        <v>1</v>
      </c>
      <c r="F229" s="5" t="n">
        <f aca="false">ITEM_MASTER_CLEAN!I229</f>
        <v>1</v>
      </c>
      <c r="G229" s="5" t="n">
        <f aca="false">PAR_LEVELS!J229</f>
        <v>1.85714285714286</v>
      </c>
      <c r="H229" s="5" t="n">
        <f aca="false">PAR_LEVELS!K229</f>
        <v>5.57142857142857</v>
      </c>
      <c r="I229" s="12" t="n">
        <f aca="false">E229*D229</f>
        <v>7.27</v>
      </c>
      <c r="J229" s="12" t="n">
        <f aca="false">F229*D229</f>
        <v>7.27</v>
      </c>
      <c r="K229" s="12" t="n">
        <f aca="false">MAX(E229-G229,0)*D229</f>
        <v>0</v>
      </c>
      <c r="L229" s="12" t="n">
        <f aca="false">MAX(F229-H229,0)*D229</f>
        <v>0</v>
      </c>
      <c r="M229" s="12" t="n">
        <f aca="false">MAX(G229-E229,0)*D229</f>
        <v>6.23142857142857</v>
      </c>
      <c r="N229" s="12" t="n">
        <f aca="false">MAX(H229-F229,0)*D229</f>
        <v>33.2342857142857</v>
      </c>
      <c r="O229" s="26" t="n">
        <f aca="false">IFERROR(E229/DEMAND_MODEL!K229,999)</f>
        <v>7</v>
      </c>
      <c r="P229" s="26" t="n">
        <f aca="false">IFERROR(F229/DEMAND_MODEL!L229,999)</f>
        <v>2.33333333333333</v>
      </c>
    </row>
    <row r="230" customFormat="false" ht="15" hidden="false" customHeight="false" outlineLevel="0" collapsed="false">
      <c r="A230" s="5" t="n">
        <f aca="false">ITEM_MASTER_CLEAN!A230</f>
        <v>229</v>
      </c>
      <c r="B230" s="5" t="n">
        <f aca="false">ITEM_MASTER_CLEAN!B230</f>
        <v>63341</v>
      </c>
      <c r="C230" s="5" t="str">
        <f aca="false">ITEM_MASTER_CLEAN!C230</f>
        <v>HAIRNET INVISIBLE 89-420 1X144UN</v>
      </c>
      <c r="D230" s="12" t="n">
        <f aca="false">ITEM_MASTER_CLEAN!F230</f>
        <v>4.11</v>
      </c>
      <c r="E230" s="5" t="n">
        <f aca="false">ITEM_MASTER_CLEAN!H230</f>
        <v>4</v>
      </c>
      <c r="F230" s="5" t="n">
        <f aca="false">ITEM_MASTER_CLEAN!I230</f>
        <v>4</v>
      </c>
      <c r="G230" s="5" t="n">
        <f aca="false">PAR_LEVELS!J230</f>
        <v>1.85714285714286</v>
      </c>
      <c r="H230" s="5" t="n">
        <f aca="false">PAR_LEVELS!K230</f>
        <v>1.85714285714286</v>
      </c>
      <c r="I230" s="12" t="n">
        <f aca="false">E230*D230</f>
        <v>16.44</v>
      </c>
      <c r="J230" s="12" t="n">
        <f aca="false">F230*D230</f>
        <v>16.44</v>
      </c>
      <c r="K230" s="12" t="n">
        <f aca="false">MAX(E230-G230,0)*D230</f>
        <v>8.80714285714286</v>
      </c>
      <c r="L230" s="12" t="n">
        <f aca="false">MAX(F230-H230,0)*D230</f>
        <v>8.80714285714286</v>
      </c>
      <c r="M230" s="12" t="n">
        <f aca="false">MAX(G230-E230,0)*D230</f>
        <v>0</v>
      </c>
      <c r="N230" s="12" t="n">
        <f aca="false">MAX(H230-F230,0)*D230</f>
        <v>0</v>
      </c>
      <c r="O230" s="26" t="n">
        <f aca="false">IFERROR(E230/DEMAND_MODEL!K230,999)</f>
        <v>28</v>
      </c>
      <c r="P230" s="26" t="n">
        <f aca="false">IFERROR(F230/DEMAND_MODEL!L230,999)</f>
        <v>28</v>
      </c>
    </row>
    <row r="231" customFormat="false" ht="15" hidden="false" customHeight="false" outlineLevel="0" collapsed="false">
      <c r="A231" s="5" t="n">
        <f aca="false">ITEM_MASTER_CLEAN!A231</f>
        <v>230</v>
      </c>
      <c r="B231" s="5" t="n">
        <f aca="false">ITEM_MASTER_CLEAN!B231</f>
        <v>62749</v>
      </c>
      <c r="C231" s="5" t="str">
        <f aca="false">ITEM_MASTER_CLEAN!C231</f>
        <v>MASK DISP BLUE MEDICAL DISTECH 50UN</v>
      </c>
      <c r="D231" s="12" t="n">
        <f aca="false">ITEM_MASTER_CLEAN!F231</f>
        <v>6.38</v>
      </c>
      <c r="E231" s="5" t="n">
        <f aca="false">ITEM_MASTER_CLEAN!H231</f>
        <v>3</v>
      </c>
      <c r="F231" s="5" t="n">
        <f aca="false">ITEM_MASTER_CLEAN!I231</f>
        <v>1</v>
      </c>
      <c r="G231" s="5" t="n">
        <f aca="false">PAR_LEVELS!J231</f>
        <v>3.71428571428571</v>
      </c>
      <c r="H231" s="5" t="n">
        <f aca="false">PAR_LEVELS!K231</f>
        <v>5.57142857142857</v>
      </c>
      <c r="I231" s="12" t="n">
        <f aca="false">E231*D231</f>
        <v>19.14</v>
      </c>
      <c r="J231" s="12" t="n">
        <f aca="false">F231*D231</f>
        <v>6.38</v>
      </c>
      <c r="K231" s="12" t="n">
        <f aca="false">MAX(E231-G231,0)*D231</f>
        <v>0</v>
      </c>
      <c r="L231" s="12" t="n">
        <f aca="false">MAX(F231-H231,0)*D231</f>
        <v>0</v>
      </c>
      <c r="M231" s="12" t="n">
        <f aca="false">MAX(G231-E231,0)*D231</f>
        <v>4.55714285714286</v>
      </c>
      <c r="N231" s="12" t="n">
        <f aca="false">MAX(H231-F231,0)*D231</f>
        <v>29.1657142857143</v>
      </c>
      <c r="O231" s="26" t="n">
        <f aca="false">IFERROR(E231/DEMAND_MODEL!K231,999)</f>
        <v>10.5</v>
      </c>
      <c r="P231" s="26" t="n">
        <f aca="false">IFERROR(F231/DEMAND_MODEL!L231,999)</f>
        <v>2.33333333333333</v>
      </c>
    </row>
    <row r="232" customFormat="false" ht="15" hidden="false" customHeight="false" outlineLevel="0" collapsed="false">
      <c r="A232" s="5" t="n">
        <f aca="false">ITEM_MASTER_CLEAN!A232</f>
        <v>231</v>
      </c>
      <c r="B232" s="5" t="n">
        <f aca="false">ITEM_MASTER_CLEAN!B232</f>
        <v>62819</v>
      </c>
      <c r="C232" s="5" t="str">
        <f aca="false">ITEM_MASTER_CLEAN!C232</f>
        <v>GLOVES TPE CLR PDR FREE SM 100UN</v>
      </c>
      <c r="D232" s="12" t="n">
        <f aca="false">ITEM_MASTER_CLEAN!F232</f>
        <v>6.54</v>
      </c>
      <c r="E232" s="5" t="n">
        <f aca="false">ITEM_MASTER_CLEAN!H232</f>
        <v>0</v>
      </c>
      <c r="F232" s="5" t="n">
        <f aca="false">ITEM_MASTER_CLEAN!I232</f>
        <v>0</v>
      </c>
      <c r="G232" s="5" t="n">
        <f aca="false">PAR_LEVELS!J232</f>
        <v>3.71428571428571</v>
      </c>
      <c r="H232" s="5" t="n">
        <f aca="false">PAR_LEVELS!K232</f>
        <v>5.57142857142857</v>
      </c>
      <c r="I232" s="12" t="n">
        <f aca="false">E232*D232</f>
        <v>0</v>
      </c>
      <c r="J232" s="12" t="n">
        <f aca="false">F232*D232</f>
        <v>0</v>
      </c>
      <c r="K232" s="12" t="n">
        <f aca="false">MAX(E232-G232,0)*D232</f>
        <v>0</v>
      </c>
      <c r="L232" s="12" t="n">
        <f aca="false">MAX(F232-H232,0)*D232</f>
        <v>0</v>
      </c>
      <c r="M232" s="12" t="n">
        <f aca="false">MAX(G232-E232,0)*D232</f>
        <v>24.2914285714286</v>
      </c>
      <c r="N232" s="12" t="n">
        <f aca="false">MAX(H232-F232,0)*D232</f>
        <v>36.4371428571429</v>
      </c>
      <c r="O232" s="26" t="n">
        <f aca="false">IFERROR(E232/DEMAND_MODEL!K232,999)</f>
        <v>0</v>
      </c>
      <c r="P232" s="26" t="n">
        <f aca="false">IFERROR(F232/DEMAND_MODEL!L232,999)</f>
        <v>0</v>
      </c>
    </row>
    <row r="233" customFormat="false" ht="15" hidden="false" customHeight="false" outlineLevel="0" collapsed="false">
      <c r="A233" s="5" t="n">
        <f aca="false">ITEM_MASTER_CLEAN!A233</f>
        <v>232</v>
      </c>
      <c r="B233" s="5" t="n">
        <f aca="false">ITEM_MASTER_CLEAN!B233</f>
        <v>62844</v>
      </c>
      <c r="C233" s="5" t="str">
        <f aca="false">ITEM_MASTER_CLEAN!C233</f>
        <v>GLOVE TPE CLR PDF FREE MED 100UN</v>
      </c>
      <c r="D233" s="12" t="n">
        <f aca="false">ITEM_MASTER_CLEAN!F233</f>
        <v>12.21</v>
      </c>
      <c r="E233" s="5" t="n">
        <f aca="false">ITEM_MASTER_CLEAN!H233</f>
        <v>1</v>
      </c>
      <c r="F233" s="5" t="n">
        <f aca="false">ITEM_MASTER_CLEAN!I233</f>
        <v>3</v>
      </c>
      <c r="G233" s="5" t="n">
        <f aca="false">PAR_LEVELS!J233</f>
        <v>5.57142857142857</v>
      </c>
      <c r="H233" s="5" t="n">
        <f aca="false">PAR_LEVELS!K233</f>
        <v>3.71428571428571</v>
      </c>
      <c r="I233" s="12" t="n">
        <f aca="false">E233*D233</f>
        <v>12.21</v>
      </c>
      <c r="J233" s="12" t="n">
        <f aca="false">F233*D233</f>
        <v>36.63</v>
      </c>
      <c r="K233" s="12" t="n">
        <f aca="false">MAX(E233-G233,0)*D233</f>
        <v>0</v>
      </c>
      <c r="L233" s="12" t="n">
        <f aca="false">MAX(F233-H233,0)*D233</f>
        <v>0</v>
      </c>
      <c r="M233" s="12" t="n">
        <f aca="false">MAX(G233-E233,0)*D233</f>
        <v>55.8171428571429</v>
      </c>
      <c r="N233" s="12" t="n">
        <f aca="false">MAX(H233-F233,0)*D233</f>
        <v>8.72142857142857</v>
      </c>
      <c r="O233" s="26" t="n">
        <f aca="false">IFERROR(E233/DEMAND_MODEL!K233,999)</f>
        <v>2.33333333333333</v>
      </c>
      <c r="P233" s="26" t="n">
        <f aca="false">IFERROR(F233/DEMAND_MODEL!L233,999)</f>
        <v>10.5</v>
      </c>
    </row>
    <row r="234" customFormat="false" ht="15" hidden="false" customHeight="false" outlineLevel="0" collapsed="false">
      <c r="A234" s="5" t="n">
        <f aca="false">ITEM_MASTER_CLEAN!A234</f>
        <v>233</v>
      </c>
      <c r="B234" s="5" t="n">
        <f aca="false">ITEM_MASTER_CLEAN!B234</f>
        <v>62816</v>
      </c>
      <c r="C234" s="5" t="str">
        <f aca="false">ITEM_MASTER_CLEAN!C234</f>
        <v>GLOVES TPE CLR PDR FREE LG 100</v>
      </c>
      <c r="D234" s="12" t="n">
        <f aca="false">ITEM_MASTER_CLEAN!F234</f>
        <v>12.55</v>
      </c>
      <c r="E234" s="5" t="n">
        <f aca="false">ITEM_MASTER_CLEAN!H234</f>
        <v>1</v>
      </c>
      <c r="F234" s="5" t="n">
        <f aca="false">ITEM_MASTER_CLEAN!I234</f>
        <v>1</v>
      </c>
      <c r="G234" s="5" t="n">
        <f aca="false">PAR_LEVELS!J234</f>
        <v>5.57142857142857</v>
      </c>
      <c r="H234" s="5" t="n">
        <f aca="false">PAR_LEVELS!K234</f>
        <v>1.85714285714286</v>
      </c>
      <c r="I234" s="12" t="n">
        <f aca="false">E234*D234</f>
        <v>12.55</v>
      </c>
      <c r="J234" s="12" t="n">
        <f aca="false">F234*D234</f>
        <v>12.55</v>
      </c>
      <c r="K234" s="12" t="n">
        <f aca="false">MAX(E234-G234,0)*D234</f>
        <v>0</v>
      </c>
      <c r="L234" s="12" t="n">
        <f aca="false">MAX(F234-H234,0)*D234</f>
        <v>0</v>
      </c>
      <c r="M234" s="12" t="n">
        <f aca="false">MAX(G234-E234,0)*D234</f>
        <v>57.3714285714286</v>
      </c>
      <c r="N234" s="12" t="n">
        <f aca="false">MAX(H234-F234,0)*D234</f>
        <v>10.7571428571429</v>
      </c>
      <c r="O234" s="26" t="n">
        <f aca="false">IFERROR(E234/DEMAND_MODEL!K234,999)</f>
        <v>2.33333333333333</v>
      </c>
      <c r="P234" s="26" t="n">
        <f aca="false">IFERROR(F234/DEMAND_MODEL!L234,999)</f>
        <v>7</v>
      </c>
    </row>
    <row r="235" customFormat="false" ht="15" hidden="false" customHeight="false" outlineLevel="0" collapsed="false">
      <c r="A235" s="5" t="n">
        <f aca="false">ITEM_MASTER_CLEAN!A235</f>
        <v>234</v>
      </c>
      <c r="B235" s="5" t="n">
        <f aca="false">ITEM_MASTER_CLEAN!B235</f>
        <v>62815</v>
      </c>
      <c r="C235" s="5" t="str">
        <f aca="false">ITEM_MASTER_CLEAN!C235</f>
        <v>GLOVES TPE CLR PDR FREE XL 100</v>
      </c>
      <c r="D235" s="12" t="n">
        <f aca="false">ITEM_MASTER_CLEAN!F235</f>
        <v>10.73</v>
      </c>
      <c r="E235" s="5" t="n">
        <f aca="false">ITEM_MASTER_CLEAN!H235</f>
        <v>7</v>
      </c>
      <c r="F235" s="5" t="n">
        <f aca="false">ITEM_MASTER_CLEAN!I235</f>
        <v>0</v>
      </c>
      <c r="G235" s="5" t="n">
        <f aca="false">PAR_LEVELS!J235</f>
        <v>3.71428571428571</v>
      </c>
      <c r="H235" s="5" t="n">
        <f aca="false">PAR_LEVELS!K235</f>
        <v>5.57142857142857</v>
      </c>
      <c r="I235" s="12" t="n">
        <f aca="false">E235*D235</f>
        <v>75.11</v>
      </c>
      <c r="J235" s="12" t="n">
        <f aca="false">F235*D235</f>
        <v>0</v>
      </c>
      <c r="K235" s="12" t="n">
        <f aca="false">MAX(E235-G235,0)*D235</f>
        <v>35.2557142857143</v>
      </c>
      <c r="L235" s="12" t="n">
        <f aca="false">MAX(F235-H235,0)*D235</f>
        <v>0</v>
      </c>
      <c r="M235" s="12" t="n">
        <f aca="false">MAX(G235-E235,0)*D235</f>
        <v>0</v>
      </c>
      <c r="N235" s="12" t="n">
        <f aca="false">MAX(H235-F235,0)*D235</f>
        <v>59.7814285714286</v>
      </c>
      <c r="O235" s="26" t="n">
        <f aca="false">IFERROR(E235/DEMAND_MODEL!K235,999)</f>
        <v>24.5</v>
      </c>
      <c r="P235" s="26" t="n">
        <f aca="false">IFERROR(F235/DEMAND_MODEL!L235,999)</f>
        <v>0</v>
      </c>
    </row>
    <row r="236" customFormat="false" ht="15" hidden="false" customHeight="false" outlineLevel="0" collapsed="false">
      <c r="A236" s="5" t="n">
        <f aca="false">ITEM_MASTER_CLEAN!A236</f>
        <v>235</v>
      </c>
      <c r="B236" s="5" t="n">
        <f aca="false">ITEM_MASTER_CLEAN!B236</f>
        <v>38234</v>
      </c>
      <c r="C236" s="5" t="str">
        <f aca="false">ITEM_MASTER_CLEAN!C236</f>
        <v>GLOVES POLY DISP SM 9945B 500</v>
      </c>
      <c r="D236" s="12" t="n">
        <f aca="false">ITEM_MASTER_CLEAN!F236</f>
        <v>12.29</v>
      </c>
      <c r="E236" s="5" t="n">
        <f aca="false">ITEM_MASTER_CLEAN!H236</f>
        <v>0</v>
      </c>
      <c r="F236" s="5" t="n">
        <f aca="false">ITEM_MASTER_CLEAN!I236</f>
        <v>0</v>
      </c>
      <c r="G236" s="5" t="n">
        <f aca="false">PAR_LEVELS!J236</f>
        <v>1.85714285714286</v>
      </c>
      <c r="H236" s="5" t="n">
        <f aca="false">PAR_LEVELS!K236</f>
        <v>3.71428571428571</v>
      </c>
      <c r="I236" s="12" t="n">
        <f aca="false">E236*D236</f>
        <v>0</v>
      </c>
      <c r="J236" s="12" t="n">
        <f aca="false">F236*D236</f>
        <v>0</v>
      </c>
      <c r="K236" s="12" t="n">
        <f aca="false">MAX(E236-G236,0)*D236</f>
        <v>0</v>
      </c>
      <c r="L236" s="12" t="n">
        <f aca="false">MAX(F236-H236,0)*D236</f>
        <v>0</v>
      </c>
      <c r="M236" s="12" t="n">
        <f aca="false">MAX(G236-E236,0)*D236</f>
        <v>22.8242857142857</v>
      </c>
      <c r="N236" s="12" t="n">
        <f aca="false">MAX(H236-F236,0)*D236</f>
        <v>45.6485714285714</v>
      </c>
      <c r="O236" s="26" t="n">
        <f aca="false">IFERROR(E236/DEMAND_MODEL!K236,999)</f>
        <v>0</v>
      </c>
      <c r="P236" s="26" t="n">
        <f aca="false">IFERROR(F236/DEMAND_MODEL!L236,999)</f>
        <v>0</v>
      </c>
    </row>
    <row r="237" customFormat="false" ht="15" hidden="false" customHeight="false" outlineLevel="0" collapsed="false">
      <c r="A237" s="5" t="n">
        <f aca="false">ITEM_MASTER_CLEAN!A237</f>
        <v>236</v>
      </c>
      <c r="B237" s="5" t="n">
        <f aca="false">ITEM_MASTER_CLEAN!B237</f>
        <v>34246</v>
      </c>
      <c r="C237" s="5" t="str">
        <f aca="false">ITEM_MASTER_CLEAN!C237</f>
        <v>GLOVES POLY DISP MED 9945C 1X500</v>
      </c>
      <c r="D237" s="12" t="n">
        <f aca="false">ITEM_MASTER_CLEAN!F237</f>
        <v>8.41</v>
      </c>
      <c r="E237" s="5" t="n">
        <f aca="false">ITEM_MASTER_CLEAN!H237</f>
        <v>3</v>
      </c>
      <c r="F237" s="5" t="n">
        <f aca="false">ITEM_MASTER_CLEAN!I237</f>
        <v>1</v>
      </c>
      <c r="G237" s="5" t="n">
        <f aca="false">PAR_LEVELS!J237</f>
        <v>3.71428571428571</v>
      </c>
      <c r="H237" s="5" t="n">
        <f aca="false">PAR_LEVELS!K237</f>
        <v>5.57142857142857</v>
      </c>
      <c r="I237" s="12" t="n">
        <f aca="false">E237*D237</f>
        <v>25.23</v>
      </c>
      <c r="J237" s="12" t="n">
        <f aca="false">F237*D237</f>
        <v>8.41</v>
      </c>
      <c r="K237" s="12" t="n">
        <f aca="false">MAX(E237-G237,0)*D237</f>
        <v>0</v>
      </c>
      <c r="L237" s="12" t="n">
        <f aca="false">MAX(F237-H237,0)*D237</f>
        <v>0</v>
      </c>
      <c r="M237" s="12" t="n">
        <f aca="false">MAX(G237-E237,0)*D237</f>
        <v>6.00714285714285</v>
      </c>
      <c r="N237" s="12" t="n">
        <f aca="false">MAX(H237-F237,0)*D237</f>
        <v>38.4457142857143</v>
      </c>
      <c r="O237" s="26" t="n">
        <f aca="false">IFERROR(E237/DEMAND_MODEL!K237,999)</f>
        <v>10.5</v>
      </c>
      <c r="P237" s="26" t="n">
        <f aca="false">IFERROR(F237/DEMAND_MODEL!L237,999)</f>
        <v>2.33333333333333</v>
      </c>
    </row>
    <row r="238" customFormat="false" ht="15" hidden="false" customHeight="false" outlineLevel="0" collapsed="false">
      <c r="A238" s="5" t="n">
        <f aca="false">ITEM_MASTER_CLEAN!A238</f>
        <v>237</v>
      </c>
      <c r="B238" s="5" t="n">
        <f aca="false">ITEM_MASTER_CLEAN!B238</f>
        <v>62734</v>
      </c>
      <c r="C238" s="5" t="str">
        <f aca="false">ITEM_MASTER_CLEAN!C238</f>
        <v>GLOVES POLY DISP LRG 9945D 500</v>
      </c>
      <c r="D238" s="12" t="n">
        <f aca="false">ITEM_MASTER_CLEAN!F238</f>
        <v>7.94</v>
      </c>
      <c r="E238" s="5" t="n">
        <f aca="false">ITEM_MASTER_CLEAN!H238</f>
        <v>0</v>
      </c>
      <c r="F238" s="5" t="n">
        <f aca="false">ITEM_MASTER_CLEAN!I238</f>
        <v>0</v>
      </c>
      <c r="G238" s="5" t="n">
        <f aca="false">PAR_LEVELS!J238</f>
        <v>5.57142857142857</v>
      </c>
      <c r="H238" s="5" t="n">
        <f aca="false">PAR_LEVELS!K238</f>
        <v>1.85714285714286</v>
      </c>
      <c r="I238" s="12" t="n">
        <f aca="false">E238*D238</f>
        <v>0</v>
      </c>
      <c r="J238" s="12" t="n">
        <f aca="false">F238*D238</f>
        <v>0</v>
      </c>
      <c r="K238" s="12" t="n">
        <f aca="false">MAX(E238-G238,0)*D238</f>
        <v>0</v>
      </c>
      <c r="L238" s="12" t="n">
        <f aca="false">MAX(F238-H238,0)*D238</f>
        <v>0</v>
      </c>
      <c r="M238" s="12" t="n">
        <f aca="false">MAX(G238-E238,0)*D238</f>
        <v>44.2371428571429</v>
      </c>
      <c r="N238" s="12" t="n">
        <f aca="false">MAX(H238-F238,0)*D238</f>
        <v>14.7457142857143</v>
      </c>
      <c r="O238" s="26" t="n">
        <f aca="false">IFERROR(E238/DEMAND_MODEL!K238,999)</f>
        <v>0</v>
      </c>
      <c r="P238" s="26" t="n">
        <f aca="false">IFERROR(F238/DEMAND_MODEL!L238,999)</f>
        <v>0</v>
      </c>
    </row>
    <row r="239" customFormat="false" ht="15" hidden="false" customHeight="false" outlineLevel="0" collapsed="false">
      <c r="A239" s="5" t="n">
        <f aca="false">ITEM_MASTER_CLEAN!A239</f>
        <v>238</v>
      </c>
      <c r="B239" s="5" t="n">
        <f aca="false">ITEM_MASTER_CLEAN!B239</f>
        <v>64410</v>
      </c>
      <c r="C239" s="5" t="str">
        <f aca="false">ITEM_MASTER_CLEAN!C239</f>
        <v>CLOTH JCHIX BLUE 12X24" 6279 1X100</v>
      </c>
      <c r="D239" s="12" t="n">
        <f aca="false">ITEM_MASTER_CLEAN!F239</f>
        <v>13.39</v>
      </c>
      <c r="E239" s="5" t="n">
        <f aca="false">ITEM_MASTER_CLEAN!H239</f>
        <v>2</v>
      </c>
      <c r="F239" s="5" t="n">
        <f aca="false">ITEM_MASTER_CLEAN!I239</f>
        <v>1</v>
      </c>
      <c r="G239" s="5" t="n">
        <f aca="false">PAR_LEVELS!J239</f>
        <v>3.71428571428571</v>
      </c>
      <c r="H239" s="5" t="n">
        <f aca="false">PAR_LEVELS!K239</f>
        <v>5.57142857142857</v>
      </c>
      <c r="I239" s="12" t="n">
        <f aca="false">E239*D239</f>
        <v>26.78</v>
      </c>
      <c r="J239" s="12" t="n">
        <f aca="false">F239*D239</f>
        <v>13.39</v>
      </c>
      <c r="K239" s="12" t="n">
        <f aca="false">MAX(E239-G239,0)*D239</f>
        <v>0</v>
      </c>
      <c r="L239" s="12" t="n">
        <f aca="false">MAX(F239-H239,0)*D239</f>
        <v>0</v>
      </c>
      <c r="M239" s="12" t="n">
        <f aca="false">MAX(G239-E239,0)*D239</f>
        <v>22.9542857142857</v>
      </c>
      <c r="N239" s="12" t="n">
        <f aca="false">MAX(H239-F239,0)*D239</f>
        <v>61.2114285714286</v>
      </c>
      <c r="O239" s="26" t="n">
        <f aca="false">IFERROR(E239/DEMAND_MODEL!K239,999)</f>
        <v>7</v>
      </c>
      <c r="P239" s="26" t="n">
        <f aca="false">IFERROR(F239/DEMAND_MODEL!L239,999)</f>
        <v>2.33333333333333</v>
      </c>
    </row>
    <row r="240" customFormat="false" ht="15" hidden="false" customHeight="false" outlineLevel="0" collapsed="false">
      <c r="A240" s="5" t="n">
        <f aca="false">ITEM_MASTER_CLEAN!A240</f>
        <v>239</v>
      </c>
      <c r="B240" s="5" t="n">
        <f aca="false">ITEM_MASTER_CLEAN!B240</f>
        <v>26781</v>
      </c>
      <c r="C240" s="5" t="str">
        <f aca="false">ITEM_MASTER_CLEAN!C240</f>
        <v>MOP HEAD 650G 1</v>
      </c>
      <c r="D240" s="12" t="n">
        <f aca="false">ITEM_MASTER_CLEAN!F240</f>
        <v>11.22</v>
      </c>
      <c r="E240" s="5" t="n">
        <f aca="false">ITEM_MASTER_CLEAN!H240</f>
        <v>0</v>
      </c>
      <c r="F240" s="5" t="n">
        <f aca="false">ITEM_MASTER_CLEAN!I240</f>
        <v>3</v>
      </c>
      <c r="G240" s="5" t="n">
        <f aca="false">PAR_LEVELS!J240</f>
        <v>1.85714285714286</v>
      </c>
      <c r="H240" s="5" t="n">
        <f aca="false">PAR_LEVELS!K240</f>
        <v>1.85714285714286</v>
      </c>
      <c r="I240" s="12" t="n">
        <f aca="false">E240*D240</f>
        <v>0</v>
      </c>
      <c r="J240" s="12" t="n">
        <f aca="false">F240*D240</f>
        <v>33.66</v>
      </c>
      <c r="K240" s="12" t="n">
        <f aca="false">MAX(E240-G240,0)*D240</f>
        <v>0</v>
      </c>
      <c r="L240" s="12" t="n">
        <f aca="false">MAX(F240-H240,0)*D240</f>
        <v>12.8228571428571</v>
      </c>
      <c r="M240" s="12" t="n">
        <f aca="false">MAX(G240-E240,0)*D240</f>
        <v>20.8371428571429</v>
      </c>
      <c r="N240" s="12" t="n">
        <f aca="false">MAX(H240-F240,0)*D240</f>
        <v>0</v>
      </c>
      <c r="O240" s="26" t="n">
        <f aca="false">IFERROR(E240/DEMAND_MODEL!K240,999)</f>
        <v>0</v>
      </c>
      <c r="P240" s="26" t="n">
        <f aca="false">IFERROR(F240/DEMAND_MODEL!L240,999)</f>
        <v>21</v>
      </c>
    </row>
    <row r="241" customFormat="false" ht="15" hidden="false" customHeight="false" outlineLevel="0" collapsed="false">
      <c r="A241" s="5" t="n">
        <f aca="false">ITEM_MASTER_CLEAN!A241</f>
        <v>240</v>
      </c>
      <c r="B241" s="5" t="n">
        <f aca="false">ITEM_MASTER_CLEAN!B241</f>
        <v>49219</v>
      </c>
      <c r="C241" s="5" t="str">
        <f aca="false">ITEM_MASTER_CLEAN!C241</f>
        <v>TOILET PAP 2PL METRO 48X500S</v>
      </c>
      <c r="D241" s="12" t="n">
        <f aca="false">ITEM_MASTER_CLEAN!F241</f>
        <v>36.46</v>
      </c>
      <c r="E241" s="5" t="n">
        <f aca="false">ITEM_MASTER_CLEAN!H241</f>
        <v>1</v>
      </c>
      <c r="F241" s="5" t="n">
        <f aca="false">ITEM_MASTER_CLEAN!I241</f>
        <v>1</v>
      </c>
      <c r="G241" s="5" t="n">
        <f aca="false">PAR_LEVELS!J241</f>
        <v>5.57142857142857</v>
      </c>
      <c r="H241" s="5" t="n">
        <f aca="false">PAR_LEVELS!K241</f>
        <v>1.85714285714286</v>
      </c>
      <c r="I241" s="12" t="n">
        <f aca="false">E241*D241</f>
        <v>36.46</v>
      </c>
      <c r="J241" s="12" t="n">
        <f aca="false">F241*D241</f>
        <v>36.46</v>
      </c>
      <c r="K241" s="12" t="n">
        <f aca="false">MAX(E241-G241,0)*D241</f>
        <v>0</v>
      </c>
      <c r="L241" s="12" t="n">
        <f aca="false">MAX(F241-H241,0)*D241</f>
        <v>0</v>
      </c>
      <c r="M241" s="12" t="n">
        <f aca="false">MAX(G241-E241,0)*D241</f>
        <v>166.674285714286</v>
      </c>
      <c r="N241" s="12" t="n">
        <f aca="false">MAX(H241-F241,0)*D241</f>
        <v>31.2514285714286</v>
      </c>
      <c r="O241" s="26" t="n">
        <f aca="false">IFERROR(E241/DEMAND_MODEL!K241,999)</f>
        <v>2.33333333333333</v>
      </c>
      <c r="P241" s="26" t="n">
        <f aca="false">IFERROR(F241/DEMAND_MODEL!L241,999)</f>
        <v>7</v>
      </c>
    </row>
    <row r="242" customFormat="false" ht="15" hidden="false" customHeight="false" outlineLevel="0" collapsed="false">
      <c r="A242" s="5" t="n">
        <f aca="false">ITEM_MASTER_CLEAN!A242</f>
        <v>241</v>
      </c>
      <c r="B242" s="5" t="n">
        <f aca="false">ITEM_MASTER_CLEAN!B242</f>
        <v>28376</v>
      </c>
      <c r="C242" s="5" t="str">
        <f aca="false">ITEM_MASTER_CLEAN!C242</f>
        <v>BAGS GARBAGE 35X50 X-STG BLK 100</v>
      </c>
      <c r="D242" s="12" t="n">
        <f aca="false">ITEM_MASTER_CLEAN!F242</f>
        <v>10.62</v>
      </c>
      <c r="E242" s="5" t="n">
        <f aca="false">ITEM_MASTER_CLEAN!H242</f>
        <v>1</v>
      </c>
      <c r="F242" s="5" t="n">
        <f aca="false">ITEM_MASTER_CLEAN!I242</f>
        <v>0</v>
      </c>
      <c r="G242" s="5" t="n">
        <f aca="false">PAR_LEVELS!J242</f>
        <v>3.71428571428571</v>
      </c>
      <c r="H242" s="5" t="n">
        <f aca="false">PAR_LEVELS!K242</f>
        <v>1.85714285714286</v>
      </c>
      <c r="I242" s="12" t="n">
        <f aca="false">E242*D242</f>
        <v>10.62</v>
      </c>
      <c r="J242" s="12" t="n">
        <f aca="false">F242*D242</f>
        <v>0</v>
      </c>
      <c r="K242" s="12" t="n">
        <f aca="false">MAX(E242-G242,0)*D242</f>
        <v>0</v>
      </c>
      <c r="L242" s="12" t="n">
        <f aca="false">MAX(F242-H242,0)*D242</f>
        <v>0</v>
      </c>
      <c r="M242" s="12" t="n">
        <f aca="false">MAX(G242-E242,0)*D242</f>
        <v>28.8257142857143</v>
      </c>
      <c r="N242" s="12" t="n">
        <f aca="false">MAX(H242-F242,0)*D242</f>
        <v>19.7228571428571</v>
      </c>
      <c r="O242" s="26" t="n">
        <f aca="false">IFERROR(E242/DEMAND_MODEL!K242,999)</f>
        <v>3.5</v>
      </c>
      <c r="P242" s="26" t="n">
        <f aca="false">IFERROR(F242/DEMAND_MODEL!L242,999)</f>
        <v>0</v>
      </c>
    </row>
    <row r="243" customFormat="false" ht="15" hidden="false" customHeight="false" outlineLevel="0" collapsed="false">
      <c r="A243" s="5" t="n">
        <f aca="false">ITEM_MASTER_CLEAN!A243</f>
        <v>242</v>
      </c>
      <c r="B243" s="5" t="n">
        <f aca="false">ITEM_MASTER_CLEAN!B243</f>
        <v>28671</v>
      </c>
      <c r="C243" s="5" t="str">
        <f aca="false">ITEM_MASTER_CLEAN!C243</f>
        <v>PAD SCOUR #97 GRN 6"X9"   X10UN</v>
      </c>
      <c r="D243" s="12" t="n">
        <f aca="false">ITEM_MASTER_CLEAN!F243</f>
        <v>10.5</v>
      </c>
      <c r="E243" s="5" t="n">
        <f aca="false">ITEM_MASTER_CLEAN!H243</f>
        <v>1</v>
      </c>
      <c r="F243" s="5" t="n">
        <f aca="false">ITEM_MASTER_CLEAN!I243</f>
        <v>2</v>
      </c>
      <c r="G243" s="5" t="n">
        <f aca="false">PAR_LEVELS!J243</f>
        <v>5.57142857142857</v>
      </c>
      <c r="H243" s="5" t="n">
        <f aca="false">PAR_LEVELS!K243</f>
        <v>3.71428571428571</v>
      </c>
      <c r="I243" s="12" t="n">
        <f aca="false">E243*D243</f>
        <v>10.5</v>
      </c>
      <c r="J243" s="12" t="n">
        <f aca="false">F243*D243</f>
        <v>21</v>
      </c>
      <c r="K243" s="12" t="n">
        <f aca="false">MAX(E243-G243,0)*D243</f>
        <v>0</v>
      </c>
      <c r="L243" s="12" t="n">
        <f aca="false">MAX(F243-H243,0)*D243</f>
        <v>0</v>
      </c>
      <c r="M243" s="12" t="n">
        <f aca="false">MAX(G243-E243,0)*D243</f>
        <v>48</v>
      </c>
      <c r="N243" s="12" t="n">
        <f aca="false">MAX(H243-F243,0)*D243</f>
        <v>18</v>
      </c>
      <c r="O243" s="26" t="n">
        <f aca="false">IFERROR(E243/DEMAND_MODEL!K243,999)</f>
        <v>2.33333333333333</v>
      </c>
      <c r="P243" s="26" t="n">
        <f aca="false">IFERROR(F243/DEMAND_MODEL!L243,999)</f>
        <v>7</v>
      </c>
    </row>
    <row r="244" customFormat="false" ht="15" hidden="false" customHeight="false" outlineLevel="0" collapsed="false">
      <c r="A244" s="5" t="n">
        <f aca="false">ITEM_MASTER_CLEAN!A244</f>
        <v>243</v>
      </c>
      <c r="B244" s="5" t="n">
        <f aca="false">ITEM_MASTER_CLEAN!B244</f>
        <v>27499</v>
      </c>
      <c r="C244" s="5" t="str">
        <f aca="false">ITEM_MASTER_CLEAN!C244</f>
        <v>MTY SOAP HAND FM ALLPUR 6X1.3L</v>
      </c>
      <c r="D244" s="12" t="n">
        <f aca="false">ITEM_MASTER_CLEAN!F244</f>
        <v>40.44</v>
      </c>
      <c r="E244" s="5" t="n">
        <f aca="false">ITEM_MASTER_CLEAN!H244</f>
        <v>1</v>
      </c>
      <c r="F244" s="5" t="n">
        <f aca="false">ITEM_MASTER_CLEAN!I244</f>
        <v>1</v>
      </c>
      <c r="G244" s="5" t="n">
        <f aca="false">PAR_LEVELS!J244</f>
        <v>1.85714285714286</v>
      </c>
      <c r="H244" s="5" t="n">
        <f aca="false">PAR_LEVELS!K244</f>
        <v>5.57142857142857</v>
      </c>
      <c r="I244" s="12" t="n">
        <f aca="false">E244*D244</f>
        <v>40.44</v>
      </c>
      <c r="J244" s="12" t="n">
        <f aca="false">F244*D244</f>
        <v>40.44</v>
      </c>
      <c r="K244" s="12" t="n">
        <f aca="false">MAX(E244-G244,0)*D244</f>
        <v>0</v>
      </c>
      <c r="L244" s="12" t="n">
        <f aca="false">MAX(F244-H244,0)*D244</f>
        <v>0</v>
      </c>
      <c r="M244" s="12" t="n">
        <f aca="false">MAX(G244-E244,0)*D244</f>
        <v>34.6628571428571</v>
      </c>
      <c r="N244" s="12" t="n">
        <f aca="false">MAX(H244-F244,0)*D244</f>
        <v>184.868571428571</v>
      </c>
      <c r="O244" s="26" t="n">
        <f aca="false">IFERROR(E244/DEMAND_MODEL!K244,999)</f>
        <v>7</v>
      </c>
      <c r="P244" s="26" t="n">
        <f aca="false">IFERROR(F244/DEMAND_MODEL!L244,999)</f>
        <v>2.33333333333333</v>
      </c>
    </row>
    <row r="245" customFormat="false" ht="15" hidden="false" customHeight="false" outlineLevel="0" collapsed="false">
      <c r="A245" s="5" t="n">
        <f aca="false">ITEM_MASTER_CLEAN!A245</f>
        <v>244</v>
      </c>
      <c r="B245" s="5" t="n">
        <f aca="false">ITEM_MASTER_CLEAN!B245</f>
        <v>28528</v>
      </c>
      <c r="C245" s="5" t="str">
        <f aca="false">ITEM_MASTER_CLEAN!C245</f>
        <v>9 MTY CLNR GLASS LITE TCH RTU12X946</v>
      </c>
      <c r="D245" s="12" t="n">
        <f aca="false">ITEM_MASTER_CLEAN!F245</f>
        <v>52.06</v>
      </c>
      <c r="E245" s="5" t="n">
        <f aca="false">ITEM_MASTER_CLEAN!H245</f>
        <v>1</v>
      </c>
      <c r="F245" s="5" t="n">
        <f aca="false">ITEM_MASTER_CLEAN!I245</f>
        <v>1</v>
      </c>
      <c r="G245" s="5" t="n">
        <f aca="false">PAR_LEVELS!J245</f>
        <v>1.85714285714286</v>
      </c>
      <c r="H245" s="5" t="n">
        <f aca="false">PAR_LEVELS!K245</f>
        <v>1.85714285714286</v>
      </c>
      <c r="I245" s="12" t="n">
        <f aca="false">E245*D245</f>
        <v>52.06</v>
      </c>
      <c r="J245" s="12" t="n">
        <f aca="false">F245*D245</f>
        <v>52.06</v>
      </c>
      <c r="K245" s="12" t="n">
        <f aca="false">MAX(E245-G245,0)*D245</f>
        <v>0</v>
      </c>
      <c r="L245" s="12" t="n">
        <f aca="false">MAX(F245-H245,0)*D245</f>
        <v>0</v>
      </c>
      <c r="M245" s="12" t="n">
        <f aca="false">MAX(G245-E245,0)*D245</f>
        <v>44.6228571428571</v>
      </c>
      <c r="N245" s="12" t="n">
        <f aca="false">MAX(H245-F245,0)*D245</f>
        <v>44.6228571428571</v>
      </c>
      <c r="O245" s="26" t="n">
        <f aca="false">IFERROR(E245/DEMAND_MODEL!K245,999)</f>
        <v>7</v>
      </c>
      <c r="P245" s="26" t="n">
        <f aca="false">IFERROR(F245/DEMAND_MODEL!L245,999)</f>
        <v>7</v>
      </c>
    </row>
    <row r="246" customFormat="false" ht="15" hidden="false" customHeight="false" outlineLevel="0" collapsed="false">
      <c r="A246" s="5" t="n">
        <f aca="false">ITEM_MASTER_CLEAN!A246</f>
        <v>245</v>
      </c>
      <c r="B246" s="5" t="n">
        <f aca="false">ITEM_MASTER_CLEAN!B246</f>
        <v>27497</v>
      </c>
      <c r="C246" s="5" t="str">
        <f aca="false">ITEM_MASTER_CLEAN!C246</f>
        <v>MTY DEGREASR ORANG STUFF  2X3.78L</v>
      </c>
      <c r="D246" s="12" t="n">
        <f aca="false">ITEM_MASTER_CLEAN!F246</f>
        <v>21.31</v>
      </c>
      <c r="E246" s="5" t="n">
        <f aca="false">ITEM_MASTER_CLEAN!H246</f>
        <v>1</v>
      </c>
      <c r="F246" s="5" t="n">
        <f aca="false">ITEM_MASTER_CLEAN!I246</f>
        <v>1</v>
      </c>
      <c r="G246" s="5" t="n">
        <f aca="false">PAR_LEVELS!J246</f>
        <v>5.57142857142857</v>
      </c>
      <c r="H246" s="5" t="n">
        <f aca="false">PAR_LEVELS!K246</f>
        <v>1.85714285714286</v>
      </c>
      <c r="I246" s="12" t="n">
        <f aca="false">E246*D246</f>
        <v>21.31</v>
      </c>
      <c r="J246" s="12" t="n">
        <f aca="false">F246*D246</f>
        <v>21.31</v>
      </c>
      <c r="K246" s="12" t="n">
        <f aca="false">MAX(E246-G246,0)*D246</f>
        <v>0</v>
      </c>
      <c r="L246" s="12" t="n">
        <f aca="false">MAX(F246-H246,0)*D246</f>
        <v>0</v>
      </c>
      <c r="M246" s="12" t="n">
        <f aca="false">MAX(G246-E246,0)*D246</f>
        <v>97.4171428571429</v>
      </c>
      <c r="N246" s="12" t="n">
        <f aca="false">MAX(H246-F246,0)*D246</f>
        <v>18.2657142857143</v>
      </c>
      <c r="O246" s="26" t="n">
        <f aca="false">IFERROR(E246/DEMAND_MODEL!K246,999)</f>
        <v>2.33333333333333</v>
      </c>
      <c r="P246" s="26" t="n">
        <f aca="false">IFERROR(F246/DEMAND_MODEL!L246,999)</f>
        <v>7</v>
      </c>
    </row>
    <row r="247" customFormat="false" ht="15" hidden="false" customHeight="false" outlineLevel="0" collapsed="false">
      <c r="A247" s="5" t="n">
        <f aca="false">ITEM_MASTER_CLEAN!A247</f>
        <v>246</v>
      </c>
      <c r="B247" s="5" t="n">
        <f aca="false">ITEM_MASTER_CLEAN!B247</f>
        <v>27496</v>
      </c>
      <c r="C247" s="5" t="str">
        <f aca="false">ITEM_MASTER_CLEAN!C247</f>
        <v>MTY SANITI SANI-STUFF CONC 2X3.78L</v>
      </c>
      <c r="D247" s="12" t="n">
        <f aca="false">ITEM_MASTER_CLEAN!F247</f>
        <v>46.63</v>
      </c>
      <c r="E247" s="5" t="n">
        <f aca="false">ITEM_MASTER_CLEAN!H247</f>
        <v>1</v>
      </c>
      <c r="F247" s="5" t="n">
        <f aca="false">ITEM_MASTER_CLEAN!I247</f>
        <v>0</v>
      </c>
      <c r="G247" s="5" t="n">
        <f aca="false">PAR_LEVELS!J247</f>
        <v>5.57142857142857</v>
      </c>
      <c r="H247" s="5" t="n">
        <f aca="false">PAR_LEVELS!K247</f>
        <v>5.57142857142857</v>
      </c>
      <c r="I247" s="12" t="n">
        <f aca="false">E247*D247</f>
        <v>46.63</v>
      </c>
      <c r="J247" s="12" t="n">
        <f aca="false">F247*D247</f>
        <v>0</v>
      </c>
      <c r="K247" s="12" t="n">
        <f aca="false">MAX(E247-G247,0)*D247</f>
        <v>0</v>
      </c>
      <c r="L247" s="12" t="n">
        <f aca="false">MAX(F247-H247,0)*D247</f>
        <v>0</v>
      </c>
      <c r="M247" s="12" t="n">
        <f aca="false">MAX(G247-E247,0)*D247</f>
        <v>213.165714285714</v>
      </c>
      <c r="N247" s="12" t="n">
        <f aca="false">MAX(H247-F247,0)*D247</f>
        <v>259.795714285714</v>
      </c>
      <c r="O247" s="26" t="n">
        <f aca="false">IFERROR(E247/DEMAND_MODEL!K247,999)</f>
        <v>2.33333333333333</v>
      </c>
      <c r="P247" s="26" t="n">
        <f aca="false">IFERROR(F247/DEMAND_MODEL!L247,999)</f>
        <v>0</v>
      </c>
    </row>
    <row r="248" customFormat="false" ht="15" hidden="false" customHeight="false" outlineLevel="0" collapsed="false">
      <c r="A248" s="5" t="n">
        <f aca="false">ITEM_MASTER_CLEAN!A248</f>
        <v>247</v>
      </c>
      <c r="B248" s="5" t="n">
        <f aca="false">ITEM_MASTER_CLEAN!B248</f>
        <v>27498</v>
      </c>
      <c r="C248" s="5" t="str">
        <f aca="false">ITEM_MASTER_CLEAN!C248</f>
        <v>MTY DET YELLOW STUFF POT/PAN 2X3.78</v>
      </c>
      <c r="D248" s="12" t="n">
        <f aca="false">ITEM_MASTER_CLEAN!F248</f>
        <v>39.77</v>
      </c>
      <c r="E248" s="5" t="n">
        <f aca="false">ITEM_MASTER_CLEAN!H248</f>
        <v>0</v>
      </c>
      <c r="F248" s="5" t="n">
        <f aca="false">ITEM_MASTER_CLEAN!I248</f>
        <v>0</v>
      </c>
      <c r="G248" s="5" t="n">
        <f aca="false">PAR_LEVELS!J248</f>
        <v>5.57142857142857</v>
      </c>
      <c r="H248" s="5" t="n">
        <f aca="false">PAR_LEVELS!K248</f>
        <v>5.57142857142857</v>
      </c>
      <c r="I248" s="12" t="n">
        <f aca="false">E248*D248</f>
        <v>0</v>
      </c>
      <c r="J248" s="12" t="n">
        <f aca="false">F248*D248</f>
        <v>0</v>
      </c>
      <c r="K248" s="12" t="n">
        <f aca="false">MAX(E248-G248,0)*D248</f>
        <v>0</v>
      </c>
      <c r="L248" s="12" t="n">
        <f aca="false">MAX(F248-H248,0)*D248</f>
        <v>0</v>
      </c>
      <c r="M248" s="12" t="n">
        <f aca="false">MAX(G248-E248,0)*D248</f>
        <v>221.575714285714</v>
      </c>
      <c r="N248" s="12" t="n">
        <f aca="false">MAX(H248-F248,0)*D248</f>
        <v>221.575714285714</v>
      </c>
      <c r="O248" s="26" t="n">
        <f aca="false">IFERROR(E248/DEMAND_MODEL!K248,999)</f>
        <v>0</v>
      </c>
      <c r="P248" s="26" t="n">
        <f aca="false">IFERROR(F248/DEMAND_MODEL!L248,999)</f>
        <v>0</v>
      </c>
    </row>
    <row r="249" customFormat="false" ht="23.85" hidden="false" customHeight="false" outlineLevel="0" collapsed="false">
      <c r="A249" s="5" t="n">
        <f aca="false">ITEM_MASTER_CLEAN!A249</f>
        <v>248</v>
      </c>
      <c r="B249" s="5" t="n">
        <f aca="false">ITEM_MASTER_CLEAN!B249</f>
        <v>28527</v>
      </c>
      <c r="C249" s="5" t="str">
        <f aca="false">ITEM_MASTER_CLEAN!C249</f>
        <v>9 MTY OVEN CLEANGEL HOTSTUF 6X946ML</v>
      </c>
      <c r="D249" s="12" t="n">
        <f aca="false">ITEM_MASTER_CLEAN!F249</f>
        <v>28.13</v>
      </c>
      <c r="E249" s="5" t="n">
        <f aca="false">ITEM_MASTER_CLEAN!H249</f>
        <v>1</v>
      </c>
      <c r="F249" s="5" t="n">
        <f aca="false">ITEM_MASTER_CLEAN!I249</f>
        <v>1</v>
      </c>
      <c r="G249" s="5" t="n">
        <f aca="false">PAR_LEVELS!J249</f>
        <v>1.85714285714286</v>
      </c>
      <c r="H249" s="5" t="n">
        <f aca="false">PAR_LEVELS!K249</f>
        <v>5.57142857142857</v>
      </c>
      <c r="I249" s="12" t="n">
        <f aca="false">E249*D249</f>
        <v>28.13</v>
      </c>
      <c r="J249" s="12" t="n">
        <f aca="false">F249*D249</f>
        <v>28.13</v>
      </c>
      <c r="K249" s="12" t="n">
        <f aca="false">MAX(E249-G249,0)*D249</f>
        <v>0</v>
      </c>
      <c r="L249" s="12" t="n">
        <f aca="false">MAX(F249-H249,0)*D249</f>
        <v>0</v>
      </c>
      <c r="M249" s="12" t="n">
        <f aca="false">MAX(G249-E249,0)*D249</f>
        <v>24.1114285714286</v>
      </c>
      <c r="N249" s="12" t="n">
        <f aca="false">MAX(H249-F249,0)*D249</f>
        <v>128.594285714286</v>
      </c>
      <c r="O249" s="26" t="n">
        <f aca="false">IFERROR(E249/DEMAND_MODEL!K249,999)</f>
        <v>7</v>
      </c>
      <c r="P249" s="26" t="n">
        <f aca="false">IFERROR(F249/DEMAND_MODEL!L249,999)</f>
        <v>2.33333333333333</v>
      </c>
    </row>
    <row r="250" customFormat="false" ht="15" hidden="false" customHeight="false" outlineLevel="0" collapsed="false">
      <c r="A250" s="5" t="n">
        <f aca="false">ITEM_MASTER_CLEAN!A250</f>
        <v>249</v>
      </c>
      <c r="B250" s="5" t="n">
        <f aca="false">ITEM_MASTER_CLEAN!B250</f>
        <v>28524</v>
      </c>
      <c r="C250" s="5" t="str">
        <f aca="false">ITEM_MASTER_CLEAN!C250</f>
        <v>9 MTY SANI-STUFF NO RINSE 6X946ML</v>
      </c>
      <c r="D250" s="12" t="n">
        <f aca="false">ITEM_MASTER_CLEAN!F250</f>
        <v>53.83</v>
      </c>
      <c r="E250" s="5" t="n">
        <f aca="false">ITEM_MASTER_CLEAN!H250</f>
        <v>0</v>
      </c>
      <c r="F250" s="5" t="n">
        <f aca="false">ITEM_MASTER_CLEAN!I250</f>
        <v>0</v>
      </c>
      <c r="G250" s="5" t="n">
        <f aca="false">PAR_LEVELS!J250</f>
        <v>5.57142857142857</v>
      </c>
      <c r="H250" s="5" t="n">
        <f aca="false">PAR_LEVELS!K250</f>
        <v>1.85714285714286</v>
      </c>
      <c r="I250" s="12" t="n">
        <f aca="false">E250*D250</f>
        <v>0</v>
      </c>
      <c r="J250" s="12" t="n">
        <f aca="false">F250*D250</f>
        <v>0</v>
      </c>
      <c r="K250" s="12" t="n">
        <f aca="false">MAX(E250-G250,0)*D250</f>
        <v>0</v>
      </c>
      <c r="L250" s="12" t="n">
        <f aca="false">MAX(F250-H250,0)*D250</f>
        <v>0</v>
      </c>
      <c r="M250" s="12" t="n">
        <f aca="false">MAX(G250-E250,0)*D250</f>
        <v>299.91</v>
      </c>
      <c r="N250" s="12" t="n">
        <f aca="false">MAX(H250-F250,0)*D250</f>
        <v>99.97</v>
      </c>
      <c r="O250" s="26" t="n">
        <f aca="false">IFERROR(E250/DEMAND_MODEL!K250,999)</f>
        <v>0</v>
      </c>
      <c r="P250" s="26" t="n">
        <f aca="false">IFERROR(F250/DEMAND_MODEL!L250,999)</f>
        <v>0</v>
      </c>
    </row>
    <row r="251" customFormat="false" ht="15" hidden="false" customHeight="false" outlineLevel="0" collapsed="false">
      <c r="A251" s="5" t="n">
        <f aca="false">ITEM_MASTER_CLEAN!A251</f>
        <v>250</v>
      </c>
      <c r="B251" s="5" t="n">
        <f aca="false">ITEM_MASTER_CLEAN!B251</f>
        <v>28531</v>
      </c>
      <c r="C251" s="5" t="str">
        <f aca="false">ITEM_MASTER_CLEAN!C251</f>
        <v>9 MTY QUAT TEST PAP SANIT QT-10 X1</v>
      </c>
      <c r="D251" s="12" t="n">
        <f aca="false">ITEM_MASTER_CLEAN!F251</f>
        <v>16.15</v>
      </c>
      <c r="E251" s="5" t="n">
        <f aca="false">ITEM_MASTER_CLEAN!H251</f>
        <v>1</v>
      </c>
      <c r="F251" s="5" t="n">
        <f aca="false">ITEM_MASTER_CLEAN!I251</f>
        <v>1</v>
      </c>
      <c r="G251" s="5" t="n">
        <f aca="false">PAR_LEVELS!J251</f>
        <v>1.85714285714286</v>
      </c>
      <c r="H251" s="5" t="n">
        <f aca="false">PAR_LEVELS!K251</f>
        <v>1.85714285714286</v>
      </c>
      <c r="I251" s="12" t="n">
        <f aca="false">E251*D251</f>
        <v>16.15</v>
      </c>
      <c r="J251" s="12" t="n">
        <f aca="false">F251*D251</f>
        <v>16.15</v>
      </c>
      <c r="K251" s="12" t="n">
        <f aca="false">MAX(E251-G251,0)*D251</f>
        <v>0</v>
      </c>
      <c r="L251" s="12" t="n">
        <f aca="false">MAX(F251-H251,0)*D251</f>
        <v>0</v>
      </c>
      <c r="M251" s="12" t="n">
        <f aca="false">MAX(G251-E251,0)*D251</f>
        <v>13.8428571428571</v>
      </c>
      <c r="N251" s="12" t="n">
        <f aca="false">MAX(H251-F251,0)*D251</f>
        <v>13.8428571428571</v>
      </c>
      <c r="O251" s="26" t="n">
        <f aca="false">IFERROR(E251/DEMAND_MODEL!K251,999)</f>
        <v>7</v>
      </c>
      <c r="P251" s="26" t="n">
        <f aca="false">IFERROR(F251/DEMAND_MODEL!L251,999)</f>
        <v>7</v>
      </c>
    </row>
    <row r="252" customFormat="false" ht="15" hidden="false" customHeight="false" outlineLevel="0" collapsed="false">
      <c r="A252" s="5" t="n">
        <f aca="false">ITEM_MASTER_CLEAN!A252</f>
        <v>251</v>
      </c>
      <c r="B252" s="5" t="n">
        <f aca="false">ITEM_MASTER_CLEAN!B252</f>
        <v>27495</v>
      </c>
      <c r="C252" s="5" t="str">
        <f aca="false">ITEM_MASTER_CLEAN!C252</f>
        <v>MTY RED SANITIZER STAT PAIL 6QT X1</v>
      </c>
      <c r="D252" s="12" t="n">
        <f aca="false">ITEM_MASTER_CLEAN!F252</f>
        <v>16.28</v>
      </c>
      <c r="E252" s="5" t="n">
        <f aca="false">ITEM_MASTER_CLEAN!H252</f>
        <v>0</v>
      </c>
      <c r="F252" s="5" t="n">
        <f aca="false">ITEM_MASTER_CLEAN!I252</f>
        <v>0</v>
      </c>
      <c r="G252" s="5" t="n">
        <f aca="false">PAR_LEVELS!J252</f>
        <v>5.57142857142857</v>
      </c>
      <c r="H252" s="5" t="n">
        <f aca="false">PAR_LEVELS!K252</f>
        <v>5.57142857142857</v>
      </c>
      <c r="I252" s="12" t="n">
        <f aca="false">E252*D252</f>
        <v>0</v>
      </c>
      <c r="J252" s="12" t="n">
        <f aca="false">F252*D252</f>
        <v>0</v>
      </c>
      <c r="K252" s="12" t="n">
        <f aca="false">MAX(E252-G252,0)*D252</f>
        <v>0</v>
      </c>
      <c r="L252" s="12" t="n">
        <f aca="false">MAX(F252-H252,0)*D252</f>
        <v>0</v>
      </c>
      <c r="M252" s="12" t="n">
        <f aca="false">MAX(G252-E252,0)*D252</f>
        <v>90.7028571428571</v>
      </c>
      <c r="N252" s="12" t="n">
        <f aca="false">MAX(H252-F252,0)*D252</f>
        <v>90.7028571428571</v>
      </c>
      <c r="O252" s="26" t="n">
        <f aca="false">IFERROR(E252/DEMAND_MODEL!K252,999)</f>
        <v>0</v>
      </c>
      <c r="P252" s="26" t="n">
        <f aca="false">IFERROR(F252/DEMAND_MODEL!L252,999)</f>
        <v>0</v>
      </c>
    </row>
    <row r="253" customFormat="false" ht="15" hidden="false" customHeight="false" outlineLevel="0" collapsed="false">
      <c r="A253" s="5" t="n">
        <f aca="false">ITEM_MASTER_CLEAN!A253</f>
        <v>252</v>
      </c>
      <c r="B253" s="5" t="n">
        <f aca="false">ITEM_MASTER_CLEAN!B253</f>
        <v>27002</v>
      </c>
      <c r="C253" s="5" t="str">
        <f aca="false">ITEM_MASTER_CLEAN!C253</f>
        <v>MTY BTL SPRAYER D6044848 1UN</v>
      </c>
      <c r="D253" s="12" t="n">
        <f aca="false">ITEM_MASTER_CLEAN!F253</f>
        <v>5.17</v>
      </c>
      <c r="E253" s="5" t="n">
        <f aca="false">ITEM_MASTER_CLEAN!H253</f>
        <v>1</v>
      </c>
      <c r="F253" s="5" t="n">
        <f aca="false">ITEM_MASTER_CLEAN!I253</f>
        <v>1</v>
      </c>
      <c r="G253" s="5" t="n">
        <f aca="false">PAR_LEVELS!J253</f>
        <v>1.85714285714286</v>
      </c>
      <c r="H253" s="5" t="n">
        <f aca="false">PAR_LEVELS!K253</f>
        <v>5.57142857142857</v>
      </c>
      <c r="I253" s="12" t="n">
        <f aca="false">E253*D253</f>
        <v>5.17</v>
      </c>
      <c r="J253" s="12" t="n">
        <f aca="false">F253*D253</f>
        <v>5.17</v>
      </c>
      <c r="K253" s="12" t="n">
        <f aca="false">MAX(E253-G253,0)*D253</f>
        <v>0</v>
      </c>
      <c r="L253" s="12" t="n">
        <f aca="false">MAX(F253-H253,0)*D253</f>
        <v>0</v>
      </c>
      <c r="M253" s="12" t="n">
        <f aca="false">MAX(G253-E253,0)*D253</f>
        <v>4.43142857142857</v>
      </c>
      <c r="N253" s="12" t="n">
        <f aca="false">MAX(H253-F253,0)*D253</f>
        <v>23.6342857142857</v>
      </c>
      <c r="O253" s="26" t="n">
        <f aca="false">IFERROR(E253/DEMAND_MODEL!K253,999)</f>
        <v>7</v>
      </c>
      <c r="P253" s="26" t="n">
        <f aca="false">IFERROR(F253/DEMAND_MODEL!L253,999)</f>
        <v>2.33333333333333</v>
      </c>
    </row>
    <row r="254" customFormat="false" ht="15" hidden="false" customHeight="false" outlineLevel="0" collapsed="false">
      <c r="A254" s="5" t="n">
        <f aca="false">ITEM_MASTER_CLEAN!A254</f>
        <v>253</v>
      </c>
      <c r="B254" s="5" t="n">
        <f aca="false">ITEM_MASTER_CLEAN!B254</f>
        <v>27003</v>
      </c>
      <c r="C254" s="5" t="str">
        <f aca="false">ITEM_MASTER_CLEAN!C254</f>
        <v>MTY TRIGGER SPRAYER HEAD 1UN</v>
      </c>
      <c r="D254" s="12" t="n">
        <f aca="false">ITEM_MASTER_CLEAN!F254</f>
        <v>4.36</v>
      </c>
      <c r="E254" s="5" t="n">
        <f aca="false">ITEM_MASTER_CLEAN!H254</f>
        <v>1</v>
      </c>
      <c r="F254" s="5" t="n">
        <f aca="false">ITEM_MASTER_CLEAN!I254</f>
        <v>1</v>
      </c>
      <c r="G254" s="5" t="n">
        <f aca="false">PAR_LEVELS!J254</f>
        <v>5.57142857142857</v>
      </c>
      <c r="H254" s="5" t="n">
        <f aca="false">PAR_LEVELS!K254</f>
        <v>1.85714285714286</v>
      </c>
      <c r="I254" s="12" t="n">
        <f aca="false">E254*D254</f>
        <v>4.36</v>
      </c>
      <c r="J254" s="12" t="n">
        <f aca="false">F254*D254</f>
        <v>4.36</v>
      </c>
      <c r="K254" s="12" t="n">
        <f aca="false">MAX(E254-G254,0)*D254</f>
        <v>0</v>
      </c>
      <c r="L254" s="12" t="n">
        <f aca="false">MAX(F254-H254,0)*D254</f>
        <v>0</v>
      </c>
      <c r="M254" s="12" t="n">
        <f aca="false">MAX(G254-E254,0)*D254</f>
        <v>19.9314285714286</v>
      </c>
      <c r="N254" s="12" t="n">
        <f aca="false">MAX(H254-F254,0)*D254</f>
        <v>3.73714285714286</v>
      </c>
      <c r="O254" s="26" t="n">
        <f aca="false">IFERROR(E254/DEMAND_MODEL!K254,999)</f>
        <v>2.33333333333333</v>
      </c>
      <c r="P254" s="26" t="n">
        <f aca="false">IFERROR(F254/DEMAND_MODEL!L254,999)</f>
        <v>7</v>
      </c>
    </row>
    <row r="255" customFormat="false" ht="23.85" hidden="false" customHeight="false" outlineLevel="0" collapsed="false">
      <c r="A255" s="5" t="n">
        <f aca="false">ITEM_MASTER_CLEAN!A255</f>
        <v>254</v>
      </c>
      <c r="B255" s="5" t="n">
        <f aca="false">ITEM_MASTER_CLEAN!B255</f>
        <v>28530</v>
      </c>
      <c r="C255" s="5" t="str">
        <f aca="false">ITEM_MASTER_CLEAN!C255</f>
        <v>9 MTY DOSAGE PUMP HAND 4LJUG 1OZ X1</v>
      </c>
      <c r="D255" s="12" t="n">
        <f aca="false">ITEM_MASTER_CLEAN!F255</f>
        <v>5.94</v>
      </c>
      <c r="E255" s="5" t="n">
        <f aca="false">ITEM_MASTER_CLEAN!H255</f>
        <v>2</v>
      </c>
      <c r="F255" s="5" t="n">
        <f aca="false">ITEM_MASTER_CLEAN!I255</f>
        <v>1</v>
      </c>
      <c r="G255" s="5" t="n">
        <f aca="false">PAR_LEVELS!J255</f>
        <v>3.71428571428571</v>
      </c>
      <c r="H255" s="5" t="n">
        <f aca="false">PAR_LEVELS!K255</f>
        <v>1.85714285714286</v>
      </c>
      <c r="I255" s="12" t="n">
        <f aca="false">E255*D255</f>
        <v>11.88</v>
      </c>
      <c r="J255" s="12" t="n">
        <f aca="false">F255*D255</f>
        <v>5.94</v>
      </c>
      <c r="K255" s="12" t="n">
        <f aca="false">MAX(E255-G255,0)*D255</f>
        <v>0</v>
      </c>
      <c r="L255" s="12" t="n">
        <f aca="false">MAX(F255-H255,0)*D255</f>
        <v>0</v>
      </c>
      <c r="M255" s="12" t="n">
        <f aca="false">MAX(G255-E255,0)*D255</f>
        <v>10.1828571428571</v>
      </c>
      <c r="N255" s="12" t="n">
        <f aca="false">MAX(H255-F255,0)*D255</f>
        <v>5.09142857142857</v>
      </c>
      <c r="O255" s="26" t="n">
        <f aca="false">IFERROR(E255/DEMAND_MODEL!K255,999)</f>
        <v>7</v>
      </c>
      <c r="P255" s="26" t="n">
        <f aca="false">IFERROR(F255/DEMAND_MODEL!L255,999)</f>
        <v>7</v>
      </c>
    </row>
    <row r="256" customFormat="false" ht="15" hidden="false" customHeight="false" outlineLevel="0" collapsed="false">
      <c r="A256" s="5" t="n">
        <f aca="false">ITEM_MASTER_CLEAN!A256</f>
        <v>255</v>
      </c>
      <c r="B256" s="5" t="n">
        <f aca="false">ITEM_MASTER_CLEAN!B256</f>
        <v>28529</v>
      </c>
      <c r="C256" s="5" t="str">
        <f aca="false">ITEM_MASTER_CLEAN!C256</f>
        <v>9 MTY DOSAGE PUMP 1/8 OZ GAL X1</v>
      </c>
      <c r="D256" s="12" t="n">
        <f aca="false">ITEM_MASTER_CLEAN!F256</f>
        <v>5.7</v>
      </c>
      <c r="E256" s="5" t="n">
        <f aca="false">ITEM_MASTER_CLEAN!H256</f>
        <v>3</v>
      </c>
      <c r="F256" s="5" t="n">
        <f aca="false">ITEM_MASTER_CLEAN!I256</f>
        <v>0</v>
      </c>
      <c r="G256" s="5" t="n">
        <f aca="false">PAR_LEVELS!J256</f>
        <v>1.85714285714286</v>
      </c>
      <c r="H256" s="5" t="n">
        <f aca="false">PAR_LEVELS!K256</f>
        <v>5.57142857142857</v>
      </c>
      <c r="I256" s="12" t="n">
        <f aca="false">E256*D256</f>
        <v>17.1</v>
      </c>
      <c r="J256" s="12" t="n">
        <f aca="false">F256*D256</f>
        <v>0</v>
      </c>
      <c r="K256" s="12" t="n">
        <f aca="false">MAX(E256-G256,0)*D256</f>
        <v>6.51428571428572</v>
      </c>
      <c r="L256" s="12" t="n">
        <f aca="false">MAX(F256-H256,0)*D256</f>
        <v>0</v>
      </c>
      <c r="M256" s="12" t="n">
        <f aca="false">MAX(G256-E256,0)*D256</f>
        <v>0</v>
      </c>
      <c r="N256" s="12" t="n">
        <f aca="false">MAX(H256-F256,0)*D256</f>
        <v>31.7571428571429</v>
      </c>
      <c r="O256" s="26" t="n">
        <f aca="false">IFERROR(E256/DEMAND_MODEL!K256,999)</f>
        <v>21</v>
      </c>
      <c r="P256" s="26" t="n">
        <f aca="false">IFERROR(F256/DEMAND_MODEL!L256,999)</f>
        <v>0</v>
      </c>
    </row>
    <row r="257" customFormat="false" ht="15" hidden="false" customHeight="false" outlineLevel="0" collapsed="false">
      <c r="A257" s="5" t="n">
        <f aca="false">ITEM_MASTER_CLEAN!A257</f>
        <v>256</v>
      </c>
      <c r="B257" s="5" t="n">
        <f aca="false">ITEM_MASTER_CLEAN!B257</f>
        <v>29153</v>
      </c>
      <c r="C257" s="5" t="str">
        <f aca="false">ITEM_MASTER_CLEAN!C257</f>
        <v>BEV P.LEAF GRN TEA/HONEY 12X547ML</v>
      </c>
      <c r="D257" s="12" t="n">
        <f aca="false">ITEM_MASTER_CLEAN!F257</f>
        <v>24.81</v>
      </c>
      <c r="E257" s="5" t="n">
        <f aca="false">ITEM_MASTER_CLEAN!H257</f>
        <v>7</v>
      </c>
      <c r="F257" s="5" t="n">
        <f aca="false">ITEM_MASTER_CLEAN!I257</f>
        <v>3</v>
      </c>
      <c r="G257" s="5" t="n">
        <f aca="false">PAR_LEVELS!J257</f>
        <v>9.28571428571429</v>
      </c>
      <c r="H257" s="5" t="n">
        <f aca="false">PAR_LEVELS!K257</f>
        <v>3.71428571428571</v>
      </c>
      <c r="I257" s="12" t="n">
        <f aca="false">E257*D257</f>
        <v>173.67</v>
      </c>
      <c r="J257" s="12" t="n">
        <f aca="false">F257*D257</f>
        <v>74.43</v>
      </c>
      <c r="K257" s="12" t="n">
        <f aca="false">MAX(E257-G257,0)*D257</f>
        <v>0</v>
      </c>
      <c r="L257" s="12" t="n">
        <f aca="false">MAX(F257-H257,0)*D257</f>
        <v>0</v>
      </c>
      <c r="M257" s="12" t="n">
        <f aca="false">MAX(G257-E257,0)*D257</f>
        <v>56.7085714285714</v>
      </c>
      <c r="N257" s="12" t="n">
        <f aca="false">MAX(H257-F257,0)*D257</f>
        <v>17.7214285714286</v>
      </c>
      <c r="O257" s="26" t="n">
        <f aca="false">IFERROR(E257/DEMAND_MODEL!K257,999)</f>
        <v>9.8</v>
      </c>
      <c r="P257" s="26" t="n">
        <f aca="false">IFERROR(F257/DEMAND_MODEL!L257,999)</f>
        <v>10.5</v>
      </c>
    </row>
    <row r="258" customFormat="false" ht="15" hidden="false" customHeight="false" outlineLevel="0" collapsed="false">
      <c r="A258" s="5" t="n">
        <f aca="false">ITEM_MASTER_CLEAN!A258</f>
        <v>257</v>
      </c>
      <c r="B258" s="5" t="n">
        <f aca="false">ITEM_MASTER_CLEAN!B258</f>
        <v>29154</v>
      </c>
      <c r="C258" s="5" t="str">
        <f aca="false">ITEM_MASTER_CLEAN!C258</f>
        <v>BEV P.LEAF LEMON TEA  12X547ML</v>
      </c>
      <c r="D258" s="12" t="n">
        <f aca="false">ITEM_MASTER_CLEAN!F258</f>
        <v>36.82</v>
      </c>
      <c r="E258" s="5" t="n">
        <f aca="false">ITEM_MASTER_CLEAN!H258</f>
        <v>21</v>
      </c>
      <c r="F258" s="5" t="n">
        <f aca="false">ITEM_MASTER_CLEAN!I258</f>
        <v>3</v>
      </c>
      <c r="G258" s="5" t="n">
        <f aca="false">PAR_LEVELS!J258</f>
        <v>9.28571428571429</v>
      </c>
      <c r="H258" s="5" t="n">
        <f aca="false">PAR_LEVELS!K258</f>
        <v>1.85714285714286</v>
      </c>
      <c r="I258" s="12" t="n">
        <f aca="false">E258*D258</f>
        <v>773.22</v>
      </c>
      <c r="J258" s="12" t="n">
        <f aca="false">F258*D258</f>
        <v>110.46</v>
      </c>
      <c r="K258" s="12" t="n">
        <f aca="false">MAX(E258-G258,0)*D258</f>
        <v>431.32</v>
      </c>
      <c r="L258" s="12" t="n">
        <f aca="false">MAX(F258-H258,0)*D258</f>
        <v>42.08</v>
      </c>
      <c r="M258" s="12" t="n">
        <f aca="false">MAX(G258-E258,0)*D258</f>
        <v>0</v>
      </c>
      <c r="N258" s="12" t="n">
        <f aca="false">MAX(H258-F258,0)*D258</f>
        <v>0</v>
      </c>
      <c r="O258" s="26" t="n">
        <f aca="false">IFERROR(E258/DEMAND_MODEL!K258,999)</f>
        <v>29.4</v>
      </c>
      <c r="P258" s="26" t="n">
        <f aca="false">IFERROR(F258/DEMAND_MODEL!L258,999)</f>
        <v>21</v>
      </c>
    </row>
    <row r="259" customFormat="false" ht="23.85" hidden="false" customHeight="false" outlineLevel="0" collapsed="false">
      <c r="A259" s="5" t="n">
        <f aca="false">ITEM_MASTER_CLEAN!A259</f>
        <v>258</v>
      </c>
      <c r="B259" s="5" t="n">
        <f aca="false">ITEM_MASTER_CLEAN!B259</f>
        <v>14130</v>
      </c>
      <c r="C259" s="5" t="str">
        <f aca="false">ITEM_MASTER_CLEAN!C259</f>
        <v>9 BEV STARBKS TRP SHOT MOCHA 12X444</v>
      </c>
      <c r="D259" s="12" t="n">
        <f aca="false">ITEM_MASTER_CLEAN!F259</f>
        <v>32.26</v>
      </c>
      <c r="E259" s="5" t="n">
        <f aca="false">ITEM_MASTER_CLEAN!H259</f>
        <v>3</v>
      </c>
      <c r="F259" s="5" t="n">
        <f aca="false">ITEM_MASTER_CLEAN!I259</f>
        <v>3</v>
      </c>
      <c r="G259" s="5" t="n">
        <f aca="false">PAR_LEVELS!J259</f>
        <v>3.71428571428571</v>
      </c>
      <c r="H259" s="5" t="n">
        <f aca="false">PAR_LEVELS!K259</f>
        <v>3.71428571428571</v>
      </c>
      <c r="I259" s="12" t="n">
        <f aca="false">E259*D259</f>
        <v>96.78</v>
      </c>
      <c r="J259" s="12" t="n">
        <f aca="false">F259*D259</f>
        <v>96.78</v>
      </c>
      <c r="K259" s="12" t="n">
        <f aca="false">MAX(E259-G259,0)*D259</f>
        <v>0</v>
      </c>
      <c r="L259" s="12" t="n">
        <f aca="false">MAX(F259-H259,0)*D259</f>
        <v>0</v>
      </c>
      <c r="M259" s="12" t="n">
        <f aca="false">MAX(G259-E259,0)*D259</f>
        <v>23.0428571428571</v>
      </c>
      <c r="N259" s="12" t="n">
        <f aca="false">MAX(H259-F259,0)*D259</f>
        <v>23.0428571428571</v>
      </c>
      <c r="O259" s="26" t="n">
        <f aca="false">IFERROR(E259/DEMAND_MODEL!K259,999)</f>
        <v>10.5</v>
      </c>
      <c r="P259" s="26" t="n">
        <f aca="false">IFERROR(F259/DEMAND_MODEL!L259,999)</f>
        <v>10.5</v>
      </c>
    </row>
    <row r="260" customFormat="false" ht="15" hidden="false" customHeight="false" outlineLevel="0" collapsed="false">
      <c r="A260" s="5" t="n">
        <f aca="false">ITEM_MASTER_CLEAN!A260</f>
        <v>259</v>
      </c>
      <c r="B260" s="5" t="n">
        <f aca="false">ITEM_MASTER_CLEAN!B260</f>
        <v>14131</v>
      </c>
      <c r="C260" s="5" t="str">
        <f aca="false">ITEM_MASTER_CLEAN!C260</f>
        <v>9 BEV STARBUCKS DBL SHOT VAN 12X444</v>
      </c>
      <c r="D260" s="12" t="n">
        <f aca="false">ITEM_MASTER_CLEAN!F260</f>
        <v>20.13</v>
      </c>
      <c r="E260" s="5" t="n">
        <f aca="false">ITEM_MASTER_CLEAN!H260</f>
        <v>6</v>
      </c>
      <c r="F260" s="5" t="n">
        <f aca="false">ITEM_MASTER_CLEAN!I260</f>
        <v>0</v>
      </c>
      <c r="G260" s="5" t="n">
        <f aca="false">PAR_LEVELS!J260</f>
        <v>3.71428571428571</v>
      </c>
      <c r="H260" s="5" t="n">
        <f aca="false">PAR_LEVELS!K260</f>
        <v>3.71428571428571</v>
      </c>
      <c r="I260" s="12" t="n">
        <f aca="false">E260*D260</f>
        <v>120.78</v>
      </c>
      <c r="J260" s="12" t="n">
        <f aca="false">F260*D260</f>
        <v>0</v>
      </c>
      <c r="K260" s="12" t="n">
        <f aca="false">MAX(E260-G260,0)*D260</f>
        <v>46.0114285714286</v>
      </c>
      <c r="L260" s="12" t="n">
        <f aca="false">MAX(F260-H260,0)*D260</f>
        <v>0</v>
      </c>
      <c r="M260" s="12" t="n">
        <f aca="false">MAX(G260-E260,0)*D260</f>
        <v>0</v>
      </c>
      <c r="N260" s="12" t="n">
        <f aca="false">MAX(H260-F260,0)*D260</f>
        <v>74.7685714285714</v>
      </c>
      <c r="O260" s="26" t="n">
        <f aca="false">IFERROR(E260/DEMAND_MODEL!K260,999)</f>
        <v>21</v>
      </c>
      <c r="P260" s="26" t="n">
        <f aca="false">IFERROR(F260/DEMAND_MODEL!L260,999)</f>
        <v>0</v>
      </c>
    </row>
    <row r="261" customFormat="false" ht="15" hidden="false" customHeight="false" outlineLevel="0" collapsed="false">
      <c r="A261" s="5" t="n">
        <f aca="false">ITEM_MASTER_CLEAN!A261</f>
        <v>260</v>
      </c>
      <c r="B261" s="5" t="n">
        <f aca="false">ITEM_MASTER_CLEAN!B261</f>
        <v>52342</v>
      </c>
      <c r="C261" s="5" t="str">
        <f aca="false">ITEM_MASTER_CLEAN!C261</f>
        <v>BEV ROOT BEER MUG CAN 12X355ML</v>
      </c>
      <c r="D261" s="12" t="n">
        <f aca="false">ITEM_MASTER_CLEAN!F261</f>
        <v>28.25</v>
      </c>
      <c r="E261" s="5" t="n">
        <f aca="false">ITEM_MASTER_CLEAN!H261</f>
        <v>3</v>
      </c>
      <c r="F261" s="5" t="n">
        <f aca="false">ITEM_MASTER_CLEAN!I261</f>
        <v>1</v>
      </c>
      <c r="G261" s="5" t="n">
        <f aca="false">PAR_LEVELS!J261</f>
        <v>3.71428571428571</v>
      </c>
      <c r="H261" s="5" t="n">
        <f aca="false">PAR_LEVELS!K261</f>
        <v>1.85714285714286</v>
      </c>
      <c r="I261" s="12" t="n">
        <f aca="false">E261*D261</f>
        <v>84.75</v>
      </c>
      <c r="J261" s="12" t="n">
        <f aca="false">F261*D261</f>
        <v>28.25</v>
      </c>
      <c r="K261" s="12" t="n">
        <f aca="false">MAX(E261-G261,0)*D261</f>
        <v>0</v>
      </c>
      <c r="L261" s="12" t="n">
        <f aca="false">MAX(F261-H261,0)*D261</f>
        <v>0</v>
      </c>
      <c r="M261" s="12" t="n">
        <f aca="false">MAX(G261-E261,0)*D261</f>
        <v>20.1785714285714</v>
      </c>
      <c r="N261" s="12" t="n">
        <f aca="false">MAX(H261-F261,0)*D261</f>
        <v>24.2142857142857</v>
      </c>
      <c r="O261" s="26" t="n">
        <f aca="false">IFERROR(E261/DEMAND_MODEL!K261,999)</f>
        <v>10.5</v>
      </c>
      <c r="P261" s="26" t="n">
        <f aca="false">IFERROR(F261/DEMAND_MODEL!L261,999)</f>
        <v>7</v>
      </c>
    </row>
    <row r="262" customFormat="false" ht="15" hidden="false" customHeight="false" outlineLevel="0" collapsed="false">
      <c r="A262" s="5" t="n">
        <f aca="false">ITEM_MASTER_CLEAN!A262</f>
        <v>261</v>
      </c>
      <c r="B262" s="5" t="n">
        <f aca="false">ITEM_MASTER_CLEAN!B262</f>
        <v>52349</v>
      </c>
      <c r="C262" s="5" t="str">
        <f aca="false">ITEM_MASTER_CLEAN!C262</f>
        <v>BEV ORANGE CRUSH CAN 12X355ML</v>
      </c>
      <c r="D262" s="12" t="n">
        <f aca="false">ITEM_MASTER_CLEAN!F262</f>
        <v>18.25</v>
      </c>
      <c r="E262" s="5" t="n">
        <f aca="false">ITEM_MASTER_CLEAN!H262</f>
        <v>1</v>
      </c>
      <c r="F262" s="5" t="n">
        <f aca="false">ITEM_MASTER_CLEAN!I262</f>
        <v>5</v>
      </c>
      <c r="G262" s="5" t="n">
        <f aca="false">PAR_LEVELS!J262</f>
        <v>9.28571428571429</v>
      </c>
      <c r="H262" s="5" t="n">
        <f aca="false">PAR_LEVELS!K262</f>
        <v>3.71428571428571</v>
      </c>
      <c r="I262" s="12" t="n">
        <f aca="false">E262*D262</f>
        <v>18.25</v>
      </c>
      <c r="J262" s="12" t="n">
        <f aca="false">F262*D262</f>
        <v>91.25</v>
      </c>
      <c r="K262" s="12" t="n">
        <f aca="false">MAX(E262-G262,0)*D262</f>
        <v>0</v>
      </c>
      <c r="L262" s="12" t="n">
        <f aca="false">MAX(F262-H262,0)*D262</f>
        <v>23.4642857142857</v>
      </c>
      <c r="M262" s="12" t="n">
        <f aca="false">MAX(G262-E262,0)*D262</f>
        <v>151.214285714286</v>
      </c>
      <c r="N262" s="12" t="n">
        <f aca="false">MAX(H262-F262,0)*D262</f>
        <v>0</v>
      </c>
      <c r="O262" s="26" t="n">
        <f aca="false">IFERROR(E262/DEMAND_MODEL!K262,999)</f>
        <v>1.4</v>
      </c>
      <c r="P262" s="26" t="n">
        <f aca="false">IFERROR(F262/DEMAND_MODEL!L262,999)</f>
        <v>17.5</v>
      </c>
    </row>
    <row r="263" customFormat="false" ht="15" hidden="false" customHeight="false" outlineLevel="0" collapsed="false">
      <c r="A263" s="5" t="n">
        <f aca="false">ITEM_MASTER_CLEAN!A263</f>
        <v>262</v>
      </c>
      <c r="B263" s="5" t="n">
        <f aca="false">ITEM_MASTER_CLEAN!B263</f>
        <v>61804</v>
      </c>
      <c r="C263" s="5" t="str">
        <f aca="false">ITEM_MASTER_CLEAN!C263</f>
        <v>LADIP BOX POPCORN 6X2.75X8.5  100</v>
      </c>
      <c r="D263" s="12" t="n">
        <f aca="false">ITEM_MASTER_CLEAN!F263</f>
        <v>16.46</v>
      </c>
      <c r="E263" s="5" t="n">
        <f aca="false">ITEM_MASTER_CLEAN!H263</f>
        <v>1</v>
      </c>
      <c r="F263" s="5" t="n">
        <f aca="false">ITEM_MASTER_CLEAN!I263</f>
        <v>1</v>
      </c>
      <c r="G263" s="5" t="n">
        <f aca="false">PAR_LEVELS!J263</f>
        <v>5.57142857142857</v>
      </c>
      <c r="H263" s="5" t="n">
        <f aca="false">PAR_LEVELS!K263</f>
        <v>1.85714285714286</v>
      </c>
      <c r="I263" s="12" t="n">
        <f aca="false">E263*D263</f>
        <v>16.46</v>
      </c>
      <c r="J263" s="12" t="n">
        <f aca="false">F263*D263</f>
        <v>16.46</v>
      </c>
      <c r="K263" s="12" t="n">
        <f aca="false">MAX(E263-G263,0)*D263</f>
        <v>0</v>
      </c>
      <c r="L263" s="12" t="n">
        <f aca="false">MAX(F263-H263,0)*D263</f>
        <v>0</v>
      </c>
      <c r="M263" s="12" t="n">
        <f aca="false">MAX(G263-E263,0)*D263</f>
        <v>75.2457142857143</v>
      </c>
      <c r="N263" s="12" t="n">
        <f aca="false">MAX(H263-F263,0)*D263</f>
        <v>14.1085714285714</v>
      </c>
      <c r="O263" s="26" t="n">
        <f aca="false">IFERROR(E263/DEMAND_MODEL!K263,999)</f>
        <v>2.33333333333333</v>
      </c>
      <c r="P263" s="26" t="n">
        <f aca="false">IFERROR(F263/DEMAND_MODEL!L263,999)</f>
        <v>7</v>
      </c>
    </row>
    <row r="265" customFormat="false" ht="15" hidden="false" customHeight="false" outlineLevel="0" collapsed="false">
      <c r="A265" s="2" t="s">
        <v>661</v>
      </c>
    </row>
    <row r="266" customFormat="false" ht="15" hidden="false" customHeight="false" outlineLevel="0" collapsed="false">
      <c r="A266" s="27" t="s">
        <v>662</v>
      </c>
      <c r="B266" s="16" t="n">
        <f aca="false">SUM(I2:I263)</f>
        <v>48457.7</v>
      </c>
    </row>
    <row r="267" customFormat="false" ht="15" hidden="false" customHeight="false" outlineLevel="0" collapsed="false">
      <c r="A267" s="27" t="s">
        <v>663</v>
      </c>
      <c r="B267" s="16" t="n">
        <f aca="false">SUM(J2:J263)</f>
        <v>27637.29</v>
      </c>
    </row>
    <row r="268" customFormat="false" ht="15" hidden="false" customHeight="false" outlineLevel="0" collapsed="false">
      <c r="A268" s="27" t="s">
        <v>664</v>
      </c>
      <c r="B268" s="16" t="n">
        <f aca="false">SUM(K2:K263)</f>
        <v>15135.8985714286</v>
      </c>
    </row>
    <row r="269" customFormat="false" ht="15" hidden="false" customHeight="false" outlineLevel="0" collapsed="false">
      <c r="A269" s="27" t="s">
        <v>665</v>
      </c>
      <c r="B269" s="16" t="n">
        <f aca="false">SUM(L2:L263)</f>
        <v>7618.85</v>
      </c>
    </row>
    <row r="270" customFormat="false" ht="15" hidden="false" customHeight="false" outlineLevel="0" collapsed="false">
      <c r="A270" s="27" t="s">
        <v>666</v>
      </c>
      <c r="B270" s="16" t="n">
        <f aca="false">SUM(M2:M263)</f>
        <v>25717.6242857143</v>
      </c>
    </row>
    <row r="271" customFormat="false" ht="15" hidden="false" customHeight="false" outlineLevel="0" collapsed="false">
      <c r="A271" s="27" t="s">
        <v>667</v>
      </c>
      <c r="B271" s="16" t="n">
        <f aca="false">SUM(N2:N263)</f>
        <v>21285.03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668</v>
      </c>
    </row>
    <row r="3" customFormat="false" ht="15" hidden="false" customHeight="false" outlineLevel="0" collapsed="false">
      <c r="A3" s="4" t="s">
        <v>669</v>
      </c>
      <c r="B3" s="4" t="s">
        <v>509</v>
      </c>
    </row>
    <row r="4" customFormat="false" ht="15" hidden="false" customHeight="false" outlineLevel="0" collapsed="false">
      <c r="A4" s="8" t="s">
        <v>662</v>
      </c>
      <c r="B4" s="16" t="n">
        <f aca="false">INV_VALUE_HEALTH!B266</f>
        <v>48457.7</v>
      </c>
    </row>
    <row r="5" customFormat="false" ht="15" hidden="false" customHeight="false" outlineLevel="0" collapsed="false">
      <c r="A5" s="8" t="s">
        <v>663</v>
      </c>
      <c r="B5" s="16" t="n">
        <f aca="false">INV_VALUE_HEALTH!B267</f>
        <v>27637.29</v>
      </c>
    </row>
    <row r="6" customFormat="false" ht="15" hidden="false" customHeight="false" outlineLevel="0" collapsed="false">
      <c r="A6" s="8" t="s">
        <v>670</v>
      </c>
      <c r="B6" s="16" t="n">
        <f aca="false">B4+B5</f>
        <v>76094.99</v>
      </c>
    </row>
    <row r="7" customFormat="false" ht="15" hidden="false" customHeight="false" outlineLevel="0" collapsed="false">
      <c r="A7" s="8" t="s">
        <v>671</v>
      </c>
      <c r="B7" s="16" t="n">
        <f aca="false">INV_VALUE_HEALTH!B268</f>
        <v>15135.8985714286</v>
      </c>
    </row>
    <row r="8" customFormat="false" ht="15" hidden="false" customHeight="false" outlineLevel="0" collapsed="false">
      <c r="A8" s="8" t="s">
        <v>672</v>
      </c>
      <c r="B8" s="16" t="n">
        <f aca="false">INV_VALUE_HEALTH!B269</f>
        <v>7618.85</v>
      </c>
    </row>
    <row r="9" customFormat="false" ht="15" hidden="false" customHeight="false" outlineLevel="0" collapsed="false">
      <c r="A9" s="8" t="s">
        <v>673</v>
      </c>
      <c r="B9" s="16" t="n">
        <f aca="false">INV_VALUE_HEALTH!B270</f>
        <v>25717.6242857143</v>
      </c>
    </row>
    <row r="10" customFormat="false" ht="15" hidden="false" customHeight="false" outlineLevel="0" collapsed="false">
      <c r="A10" s="8" t="s">
        <v>674</v>
      </c>
      <c r="B10" s="16" t="n">
        <f aca="false">INV_VALUE_HEALTH!B271</f>
        <v>21285.03</v>
      </c>
    </row>
    <row r="11" customFormat="false" ht="15" hidden="false" customHeight="false" outlineLevel="0" collapsed="false">
      <c r="A11" s="8" t="s">
        <v>675</v>
      </c>
      <c r="B11" s="28" t="n">
        <f aca="false">COUNTIF(REBALANCE_PLAN!M2:M263,"&lt;&gt;None")</f>
        <v>27</v>
      </c>
    </row>
    <row r="12" customFormat="false" ht="15" hidden="false" customHeight="false" outlineLevel="0" collapsed="false">
      <c r="A12" s="8" t="s">
        <v>676</v>
      </c>
      <c r="B12" s="16" t="n">
        <f aca="false">SUM(SUPPLIER_ORDER_PLAN!I2:I263)</f>
        <v>156470.66</v>
      </c>
    </row>
    <row r="13" customFormat="false" ht="15" hidden="false" customHeight="false" outlineLevel="0" collapsed="false">
      <c r="A13" s="8" t="s">
        <v>677</v>
      </c>
      <c r="B13" s="16" t="n">
        <f aca="false">SETTLEMENT_SUMMARY!B16</f>
        <v>-339.95</v>
      </c>
    </row>
    <row r="14" customFormat="false" ht="15" hidden="false" customHeight="false" outlineLevel="0" collapsed="false">
      <c r="A14" s="8" t="s">
        <v>515</v>
      </c>
      <c r="B14" s="19" t="str">
        <f aca="false">LowCashMode</f>
        <v>OFF</v>
      </c>
    </row>
    <row r="15" customFormat="false" ht="15" hidden="false" customHeight="false" outlineLevel="0" collapsed="false">
      <c r="A15" s="8" t="s">
        <v>678</v>
      </c>
      <c r="B15" s="28" t="n">
        <f aca="false">COUNTIF(LOW_CASH_MODE!J2:J263,"YES")</f>
        <v>92</v>
      </c>
    </row>
    <row r="16" customFormat="false" ht="15" hidden="false" customHeight="false" outlineLevel="0" collapsed="false">
      <c r="A16" s="8" t="s">
        <v>679</v>
      </c>
      <c r="B16" s="28" t="n">
        <f aca="false">COUNTIF(LOW_CASH_MODE!K2:K263,"YES")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4" min="4" style="0" width="3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553</v>
      </c>
      <c r="B1" s="4" t="s">
        <v>32</v>
      </c>
      <c r="C1" s="4" t="s">
        <v>29</v>
      </c>
      <c r="D1" s="4" t="s">
        <v>680</v>
      </c>
      <c r="E1" s="4" t="s">
        <v>681</v>
      </c>
    </row>
    <row r="2" customFormat="false" ht="15" hidden="false" customHeight="false" outlineLevel="0" collapsed="false">
      <c r="A2" s="5" t="n">
        <f aca="false">ITEM_MASTER_CLEAN!A2</f>
        <v>1</v>
      </c>
      <c r="B2" s="5" t="n">
        <f aca="false">ITEM_MASTER_CLEAN!B2</f>
        <v>62966</v>
      </c>
      <c r="C2" s="5" t="str">
        <f aca="false">ITEM_MASTER_CLEAN!C2</f>
        <v>9 CAKE WHITE LAYER 8" 24X354G</v>
      </c>
      <c r="D2" s="5" t="str">
        <f aca="false">IF(ITEM_MASTER_CLEAN!J2&lt;&gt;"",ITEM_MASTER_CLEAN!J2&amp;" COST ","")&amp;IF(ITEM_MASTER_CLEAN!K2&lt;&gt;"",ITEM_MASTER_CLEAN!K2&amp;" PACK ","")&amp;IF(ITEM_MASTER_CLEAN!L2&lt;&gt;"",ITEM_MASTER_CLEAN!L2&amp;" CAT ","")&amp;IF(ITEM_MASTER_CLEAN!M2&lt;&gt;"",ITEM_MASTER_CLEAN!M2,"")</f>
        <v/>
      </c>
      <c r="E2" s="5" t="str">
        <f aca="false">IF(D2="","No issues","Excluded from cost/value calculations where data missing")</f>
        <v>No issues</v>
      </c>
    </row>
    <row r="3" customFormat="false" ht="15" hidden="false" customHeight="false" outlineLevel="0" collapsed="false">
      <c r="A3" s="5" t="n">
        <f aca="false">ITEM_MASTER_CLEAN!A3</f>
        <v>2</v>
      </c>
      <c r="B3" s="5" t="n">
        <f aca="false">ITEM_MASTER_CLEAN!B3</f>
        <v>62967</v>
      </c>
      <c r="C3" s="5" t="str">
        <f aca="false">ITEM_MASTER_CLEAN!C3</f>
        <v>9 CAKE CHOC LAYER 8" 24X354G</v>
      </c>
      <c r="D3" s="5" t="str">
        <f aca="false">IF(ITEM_MASTER_CLEAN!J3&lt;&gt;"",ITEM_MASTER_CLEAN!J3&amp;" COST ","")&amp;IF(ITEM_MASTER_CLEAN!K3&lt;&gt;"",ITEM_MASTER_CLEAN!K3&amp;" PACK ","")&amp;IF(ITEM_MASTER_CLEAN!L3&lt;&gt;"",ITEM_MASTER_CLEAN!L3&amp;" CAT ","")&amp;IF(ITEM_MASTER_CLEAN!M3&lt;&gt;"",ITEM_MASTER_CLEAN!M3,"")</f>
        <v/>
      </c>
      <c r="E3" s="5" t="str">
        <f aca="false">IF(D3="","No issues","Excluded from cost/value calculations where data missing")</f>
        <v>No issues</v>
      </c>
    </row>
    <row r="4" customFormat="false" ht="15" hidden="false" customHeight="false" outlineLevel="0" collapsed="false">
      <c r="A4" s="5" t="n">
        <f aca="false">ITEM_MASTER_CLEAN!A4</f>
        <v>3</v>
      </c>
      <c r="B4" s="5" t="n">
        <f aca="false">ITEM_MASTER_CLEAN!B4</f>
        <v>62963</v>
      </c>
      <c r="C4" s="5" t="str">
        <f aca="false">ITEM_MASTER_CLEAN!C4</f>
        <v>ICING PRE-WHIPPED VANILLA 6.8K</v>
      </c>
      <c r="D4" s="5" t="str">
        <f aca="false">IF(ITEM_MASTER_CLEAN!J4&lt;&gt;"",ITEM_MASTER_CLEAN!J4&amp;" COST ","")&amp;IF(ITEM_MASTER_CLEAN!K4&lt;&gt;"",ITEM_MASTER_CLEAN!K4&amp;" PACK ","")&amp;IF(ITEM_MASTER_CLEAN!L4&lt;&gt;"",ITEM_MASTER_CLEAN!L4&amp;" CAT ","")&amp;IF(ITEM_MASTER_CLEAN!M4&lt;&gt;"",ITEM_MASTER_CLEAN!M4,"")</f>
        <v/>
      </c>
      <c r="E4" s="5" t="str">
        <f aca="false">IF(D4="","No issues","Excluded from cost/value calculations where data missing")</f>
        <v>No issues</v>
      </c>
    </row>
    <row r="5" customFormat="false" ht="23.85" hidden="false" customHeight="false" outlineLevel="0" collapsed="false">
      <c r="A5" s="5" t="n">
        <f aca="false">ITEM_MASTER_CLEAN!A5</f>
        <v>4</v>
      </c>
      <c r="B5" s="5" t="n">
        <f aca="false">ITEM_MASTER_CLEAN!B5</f>
        <v>22400</v>
      </c>
      <c r="C5" s="5" t="str">
        <f aca="false">ITEM_MASTER_CLEAN!C5</f>
        <v>LADIP LABEL CHOCOLATE CAKE 1RLX50UN</v>
      </c>
      <c r="D5" s="5" t="str">
        <f aca="false">IF(ITEM_MASTER_CLEAN!J5&lt;&gt;"",ITEM_MASTER_CLEAN!J5&amp;" COST ","")&amp;IF(ITEM_MASTER_CLEAN!K5&lt;&gt;"",ITEM_MASTER_CLEAN!K5&amp;" PACK ","")&amp;IF(ITEM_MASTER_CLEAN!L5&lt;&gt;"",ITEM_MASTER_CLEAN!L5&amp;" CAT ","")&amp;IF(ITEM_MASTER_CLEAN!M5&lt;&gt;"",ITEM_MASTER_CLEAN!M5,"")</f>
        <v/>
      </c>
      <c r="E5" s="5" t="str">
        <f aca="false">IF(D5="","No issues","Excluded from cost/value calculations where data missing")</f>
        <v>No issues</v>
      </c>
    </row>
    <row r="6" customFormat="false" ht="15" hidden="false" customHeight="false" outlineLevel="0" collapsed="false">
      <c r="A6" s="5" t="n">
        <f aca="false">ITEM_MASTER_CLEAN!A6</f>
        <v>5</v>
      </c>
      <c r="B6" s="5" t="n">
        <f aca="false">ITEM_MASTER_CLEAN!B6</f>
        <v>22401</v>
      </c>
      <c r="C6" s="5" t="str">
        <f aca="false">ITEM_MASTER_CLEAN!C6</f>
        <v>LADIP LABEL BIRTHDAY CAKE 1RLX50UN</v>
      </c>
      <c r="D6" s="5" t="str">
        <f aca="false">IF(ITEM_MASTER_CLEAN!J6&lt;&gt;"",ITEM_MASTER_CLEAN!J6&amp;" COST ","")&amp;IF(ITEM_MASTER_CLEAN!K6&lt;&gt;"",ITEM_MASTER_CLEAN!K6&amp;" PACK ","")&amp;IF(ITEM_MASTER_CLEAN!L6&lt;&gt;"",ITEM_MASTER_CLEAN!L6&amp;" CAT ","")&amp;IF(ITEM_MASTER_CLEAN!M6&lt;&gt;"",ITEM_MASTER_CLEAN!M6,"")</f>
        <v/>
      </c>
      <c r="E6" s="5" t="str">
        <f aca="false">IF(D6="","No issues","Excluded from cost/value calculations where data missing")</f>
        <v>No issues</v>
      </c>
    </row>
    <row r="7" customFormat="false" ht="15" hidden="false" customHeight="false" outlineLevel="0" collapsed="false">
      <c r="A7" s="5" t="n">
        <f aca="false">ITEM_MASTER_CLEAN!A7</f>
        <v>6</v>
      </c>
      <c r="B7" s="5" t="n">
        <f aca="false">ITEM_MASTER_CLEAN!B7</f>
        <v>22402</v>
      </c>
      <c r="C7" s="5" t="str">
        <f aca="false">ITEM_MASTER_CLEAN!C7</f>
        <v>LADIP LABEL COOKIE &amp; CREAM CAKE 1RL</v>
      </c>
      <c r="D7" s="5" t="str">
        <f aca="false">IF(ITEM_MASTER_CLEAN!J7&lt;&gt;"",ITEM_MASTER_CLEAN!J7&amp;" COST ","")&amp;IF(ITEM_MASTER_CLEAN!K7&lt;&gt;"",ITEM_MASTER_CLEAN!K7&amp;" PACK ","")&amp;IF(ITEM_MASTER_CLEAN!L7&lt;&gt;"",ITEM_MASTER_CLEAN!L7&amp;" CAT ","")&amp;IF(ITEM_MASTER_CLEAN!M7&lt;&gt;"",ITEM_MASTER_CLEAN!M7,"")</f>
        <v/>
      </c>
      <c r="E7" s="5" t="str">
        <f aca="false">IF(D7="","No issues","Excluded from cost/value calculations where data missing")</f>
        <v>No issues</v>
      </c>
    </row>
    <row r="8" customFormat="false" ht="15" hidden="false" customHeight="false" outlineLevel="0" collapsed="false">
      <c r="A8" s="5" t="n">
        <f aca="false">ITEM_MASTER_CLEAN!A8</f>
        <v>7</v>
      </c>
      <c r="B8" s="5" t="n">
        <f aca="false">ITEM_MASTER_CLEAN!B8</f>
        <v>22406</v>
      </c>
      <c r="C8" s="5" t="str">
        <f aca="false">ITEM_MASTER_CLEAN!C8</f>
        <v>LADIP LABEL SALTD CARAMEL CAKE 1RL</v>
      </c>
      <c r="D8" s="5" t="str">
        <f aca="false">IF(ITEM_MASTER_CLEAN!J8&lt;&gt;"",ITEM_MASTER_CLEAN!J8&amp;" COST ","")&amp;IF(ITEM_MASTER_CLEAN!K8&lt;&gt;"",ITEM_MASTER_CLEAN!K8&amp;" PACK ","")&amp;IF(ITEM_MASTER_CLEAN!L8&lt;&gt;"",ITEM_MASTER_CLEAN!L8&amp;" CAT ","")&amp;IF(ITEM_MASTER_CLEAN!M8&lt;&gt;"",ITEM_MASTER_CLEAN!M8,"")</f>
        <v/>
      </c>
      <c r="E8" s="5" t="str">
        <f aca="false">IF(D8="","No issues","Excluded from cost/value calculations where data missing")</f>
        <v>No issues</v>
      </c>
    </row>
    <row r="9" customFormat="false" ht="23.85" hidden="false" customHeight="false" outlineLevel="0" collapsed="false">
      <c r="A9" s="5" t="n">
        <f aca="false">ITEM_MASTER_CLEAN!A9</f>
        <v>8</v>
      </c>
      <c r="B9" s="5" t="n">
        <f aca="false">ITEM_MASTER_CLEAN!B9</f>
        <v>22407</v>
      </c>
      <c r="C9" s="5" t="str">
        <f aca="false">ITEM_MASTER_CLEAN!C9</f>
        <v>LADIP LABEL STRABERRY CAKE 1RLX50UN</v>
      </c>
      <c r="D9" s="5" t="str">
        <f aca="false">IF(ITEM_MASTER_CLEAN!J9&lt;&gt;"",ITEM_MASTER_CLEAN!J9&amp;" COST ","")&amp;IF(ITEM_MASTER_CLEAN!K9&lt;&gt;"",ITEM_MASTER_CLEAN!K9&amp;" PACK ","")&amp;IF(ITEM_MASTER_CLEAN!L9&lt;&gt;"",ITEM_MASTER_CLEAN!L9&amp;" CAT ","")&amp;IF(ITEM_MASTER_CLEAN!M9&lt;&gt;"",ITEM_MASTER_CLEAN!M9,"")</f>
        <v/>
      </c>
      <c r="E9" s="5" t="str">
        <f aca="false">IF(D9="","No issues","Excluded from cost/value calculations where data missing")</f>
        <v>No issues</v>
      </c>
    </row>
    <row r="10" customFormat="false" ht="15" hidden="false" customHeight="false" outlineLevel="0" collapsed="false">
      <c r="A10" s="5" t="n">
        <f aca="false">ITEM_MASTER_CLEAN!A10</f>
        <v>9</v>
      </c>
      <c r="B10" s="5" t="n">
        <f aca="false">ITEM_MASTER_CLEAN!B10</f>
        <v>25800</v>
      </c>
      <c r="C10" s="5" t="str">
        <f aca="false">ITEM_MASTER_CLEAN!C10</f>
        <v>CAKE CARDBOARD 8" BLCK GOLD 100</v>
      </c>
      <c r="D10" s="5" t="str">
        <f aca="false">IF(ITEM_MASTER_CLEAN!J10&lt;&gt;"",ITEM_MASTER_CLEAN!J10&amp;" COST ","")&amp;IF(ITEM_MASTER_CLEAN!K10&lt;&gt;"",ITEM_MASTER_CLEAN!K10&amp;" PACK ","")&amp;IF(ITEM_MASTER_CLEAN!L10&lt;&gt;"",ITEM_MASTER_CLEAN!L10&amp;" CAT ","")&amp;IF(ITEM_MASTER_CLEAN!M10&lt;&gt;"",ITEM_MASTER_CLEAN!M10,"")</f>
        <v/>
      </c>
      <c r="E10" s="5" t="str">
        <f aca="false">IF(D10="","No issues","Excluded from cost/value calculations where data missing")</f>
        <v>No issues</v>
      </c>
    </row>
    <row r="11" customFormat="false" ht="15" hidden="false" customHeight="false" outlineLevel="0" collapsed="false">
      <c r="A11" s="5" t="n">
        <f aca="false">ITEM_MASTER_CLEAN!A11</f>
        <v>10</v>
      </c>
      <c r="B11" s="5" t="n">
        <f aca="false">ITEM_MASTER_CLEAN!B11</f>
        <v>25802</v>
      </c>
      <c r="C11" s="5" t="str">
        <f aca="false">ITEM_MASTER_CLEAN!C11</f>
        <v>ACETATE ROLL 3.5"X1250" 4MM 1RL</v>
      </c>
      <c r="D11" s="5" t="str">
        <f aca="false">IF(ITEM_MASTER_CLEAN!J11&lt;&gt;"",ITEM_MASTER_CLEAN!J11&amp;" COST ","")&amp;IF(ITEM_MASTER_CLEAN!K11&lt;&gt;"",ITEM_MASTER_CLEAN!K11&amp;" PACK ","")&amp;IF(ITEM_MASTER_CLEAN!L11&lt;&gt;"",ITEM_MASTER_CLEAN!L11&amp;" CAT ","")&amp;IF(ITEM_MASTER_CLEAN!M11&lt;&gt;"",ITEM_MASTER_CLEAN!M11,"")</f>
        <v/>
      </c>
      <c r="E11" s="5" t="str">
        <f aca="false">IF(D11="","No issues","Excluded from cost/value calculations where data missing")</f>
        <v>No issues</v>
      </c>
    </row>
    <row r="12" customFormat="false" ht="15" hidden="false" customHeight="false" outlineLevel="0" collapsed="false">
      <c r="A12" s="5" t="n">
        <f aca="false">ITEM_MASTER_CLEAN!A12</f>
        <v>11</v>
      </c>
      <c r="B12" s="5" t="n">
        <f aca="false">ITEM_MASTER_CLEAN!B12</f>
        <v>19689</v>
      </c>
      <c r="C12" s="5" t="str">
        <f aca="false">ITEM_MASTER_CLEAN!C12</f>
        <v>CAKE CUPCAKE BLACKOUT 8X4UN</v>
      </c>
      <c r="D12" s="5" t="str">
        <f aca="false">IF(ITEM_MASTER_CLEAN!J12&lt;&gt;"",ITEM_MASTER_CLEAN!J12&amp;" COST ","")&amp;IF(ITEM_MASTER_CLEAN!K12&lt;&gt;"",ITEM_MASTER_CLEAN!K12&amp;" PACK ","")&amp;IF(ITEM_MASTER_CLEAN!L12&lt;&gt;"",ITEM_MASTER_CLEAN!L12&amp;" CAT ","")&amp;IF(ITEM_MASTER_CLEAN!M12&lt;&gt;"",ITEM_MASTER_CLEAN!M12,"")</f>
        <v/>
      </c>
      <c r="E12" s="5" t="str">
        <f aca="false">IF(D12="","No issues","Excluded from cost/value calculations where data missing")</f>
        <v>No issues</v>
      </c>
    </row>
    <row r="13" customFormat="false" ht="15" hidden="false" customHeight="false" outlineLevel="0" collapsed="false">
      <c r="A13" s="5" t="n">
        <f aca="false">ITEM_MASTER_CLEAN!A13</f>
        <v>12</v>
      </c>
      <c r="B13" s="5" t="n">
        <f aca="false">ITEM_MASTER_CLEAN!B13</f>
        <v>19692</v>
      </c>
      <c r="C13" s="5" t="str">
        <f aca="false">ITEM_MASTER_CLEAN!C13</f>
        <v>CAKE CUPCAKE RED VELVET 8X4UN</v>
      </c>
      <c r="D13" s="5" t="str">
        <f aca="false">IF(ITEM_MASTER_CLEAN!J13&lt;&gt;"",ITEM_MASTER_CLEAN!J13&amp;" COST ","")&amp;IF(ITEM_MASTER_CLEAN!K13&lt;&gt;"",ITEM_MASTER_CLEAN!K13&amp;" PACK ","")&amp;IF(ITEM_MASTER_CLEAN!L13&lt;&gt;"",ITEM_MASTER_CLEAN!L13&amp;" CAT ","")&amp;IF(ITEM_MASTER_CLEAN!M13&lt;&gt;"",ITEM_MASTER_CLEAN!M13,"")</f>
        <v/>
      </c>
      <c r="E13" s="5" t="str">
        <f aca="false">IF(D13="","No issues","Excluded from cost/value calculations where data missing")</f>
        <v>No issues</v>
      </c>
    </row>
    <row r="14" customFormat="false" ht="15" hidden="false" customHeight="false" outlineLevel="0" collapsed="false">
      <c r="A14" s="5" t="n">
        <f aca="false">ITEM_MASTER_CLEAN!A14</f>
        <v>13</v>
      </c>
      <c r="B14" s="5" t="n">
        <f aca="false">ITEM_MASTER_CLEAN!B14</f>
        <v>19693</v>
      </c>
      <c r="C14" s="5" t="str">
        <f aca="false">ITEM_MASTER_CLEAN!C14</f>
        <v>CAKE CUPCAKE VANILLA BEAN 8X4UN</v>
      </c>
      <c r="D14" s="5" t="str">
        <f aca="false">IF(ITEM_MASTER_CLEAN!J14&lt;&gt;"",ITEM_MASTER_CLEAN!J14&amp;" COST ","")&amp;IF(ITEM_MASTER_CLEAN!K14&lt;&gt;"",ITEM_MASTER_CLEAN!K14&amp;" PACK ","")&amp;IF(ITEM_MASTER_CLEAN!L14&lt;&gt;"",ITEM_MASTER_CLEAN!L14&amp;" CAT ","")&amp;IF(ITEM_MASTER_CLEAN!M14&lt;&gt;"",ITEM_MASTER_CLEAN!M14,"")</f>
        <v/>
      </c>
      <c r="E14" s="5" t="str">
        <f aca="false">IF(D14="","No issues","Excluded from cost/value calculations where data missing")</f>
        <v>No issues</v>
      </c>
    </row>
    <row r="15" customFormat="false" ht="15" hidden="false" customHeight="false" outlineLevel="0" collapsed="false">
      <c r="A15" s="5" t="n">
        <f aca="false">ITEM_MASTER_CLEAN!A15</f>
        <v>14</v>
      </c>
      <c r="B15" s="5" t="n">
        <f aca="false">ITEM_MASTER_CLEAN!B15</f>
        <v>19688</v>
      </c>
      <c r="C15" s="5" t="str">
        <f aca="false">ITEM_MASTER_CLEAN!C15</f>
        <v>CAKE CHEESE ORIGINAL 6X6"</v>
      </c>
      <c r="D15" s="5" t="str">
        <f aca="false">IF(ITEM_MASTER_CLEAN!J15&lt;&gt;"",ITEM_MASTER_CLEAN!J15&amp;" COST ","")&amp;IF(ITEM_MASTER_CLEAN!K15&lt;&gt;"",ITEM_MASTER_CLEAN!K15&amp;" PACK ","")&amp;IF(ITEM_MASTER_CLEAN!L15&lt;&gt;"",ITEM_MASTER_CLEAN!L15&amp;" CAT ","")&amp;IF(ITEM_MASTER_CLEAN!M15&lt;&gt;"",ITEM_MASTER_CLEAN!M15,"")</f>
        <v/>
      </c>
      <c r="E15" s="5" t="str">
        <f aca="false">IF(D15="","No issues","Excluded from cost/value calculations where data missing")</f>
        <v>No issues</v>
      </c>
    </row>
    <row r="16" customFormat="false" ht="15" hidden="false" customHeight="false" outlineLevel="0" collapsed="false">
      <c r="A16" s="5" t="n">
        <f aca="false">ITEM_MASTER_CLEAN!A16</f>
        <v>15</v>
      </c>
      <c r="B16" s="5" t="n">
        <f aca="false">ITEM_MASTER_CLEAN!B16</f>
        <v>19687</v>
      </c>
      <c r="C16" s="5" t="str">
        <f aca="false">ITEM_MASTER_CLEAN!C16</f>
        <v>CAKE CHEESE WHT CHOC/RASP 6X6"</v>
      </c>
      <c r="D16" s="5" t="str">
        <f aca="false">IF(ITEM_MASTER_CLEAN!J16&lt;&gt;"",ITEM_MASTER_CLEAN!J16&amp;" COST ","")&amp;IF(ITEM_MASTER_CLEAN!K16&lt;&gt;"",ITEM_MASTER_CLEAN!K16&amp;" PACK ","")&amp;IF(ITEM_MASTER_CLEAN!L16&lt;&gt;"",ITEM_MASTER_CLEAN!L16&amp;" CAT ","")&amp;IF(ITEM_MASTER_CLEAN!M16&lt;&gt;"",ITEM_MASTER_CLEAN!M16,"")</f>
        <v/>
      </c>
      <c r="E16" s="5" t="str">
        <f aca="false">IF(D16="","No issues","Excluded from cost/value calculations where data missing")</f>
        <v>No issues</v>
      </c>
    </row>
    <row r="17" customFormat="false" ht="15" hidden="false" customHeight="false" outlineLevel="0" collapsed="false">
      <c r="A17" s="5" t="n">
        <f aca="false">ITEM_MASTER_CLEAN!A17</f>
        <v>16</v>
      </c>
      <c r="B17" s="5" t="n">
        <f aca="false">ITEM_MASTER_CLEAN!B17</f>
        <v>19685</v>
      </c>
      <c r="C17" s="5" t="str">
        <f aca="false">ITEM_MASTER_CLEAN!C17</f>
        <v>CAKE CHEESE CHOC MOUSSE 6X6"</v>
      </c>
      <c r="D17" s="5" t="str">
        <f aca="false">IF(ITEM_MASTER_CLEAN!J17&lt;&gt;"",ITEM_MASTER_CLEAN!J17&amp;" COST ","")&amp;IF(ITEM_MASTER_CLEAN!K17&lt;&gt;"",ITEM_MASTER_CLEAN!K17&amp;" PACK ","")&amp;IF(ITEM_MASTER_CLEAN!L17&lt;&gt;"",ITEM_MASTER_CLEAN!L17&amp;" CAT ","")&amp;IF(ITEM_MASTER_CLEAN!M17&lt;&gt;"",ITEM_MASTER_CLEAN!M17,"")</f>
        <v/>
      </c>
      <c r="E17" s="5" t="str">
        <f aca="false">IF(D17="","No issues","Excluded from cost/value calculations where data missing")</f>
        <v>No issues</v>
      </c>
    </row>
    <row r="18" customFormat="false" ht="15" hidden="false" customHeight="false" outlineLevel="0" collapsed="false">
      <c r="A18" s="5" t="n">
        <f aca="false">ITEM_MASTER_CLEAN!A18</f>
        <v>17</v>
      </c>
      <c r="B18" s="5" t="n">
        <f aca="false">ITEM_MASTER_CLEAN!B18</f>
        <v>19628</v>
      </c>
      <c r="C18" s="5" t="str">
        <f aca="false">ITEM_MASTER_CLEAN!C18</f>
        <v>CAKE CHEESE CAKE FACTORY 2X14UN</v>
      </c>
      <c r="D18" s="5" t="str">
        <f aca="false">IF(ITEM_MASTER_CLEAN!J18&lt;&gt;"",ITEM_MASTER_CLEAN!J18&amp;" COST ","")&amp;IF(ITEM_MASTER_CLEAN!K18&lt;&gt;"",ITEM_MASTER_CLEAN!K18&amp;" PACK ","")&amp;IF(ITEM_MASTER_CLEAN!L18&lt;&gt;"",ITEM_MASTER_CLEAN!L18&amp;" CAT ","")&amp;IF(ITEM_MASTER_CLEAN!M18&lt;&gt;"",ITEM_MASTER_CLEAN!M18,"")</f>
        <v/>
      </c>
      <c r="E18" s="5" t="str">
        <f aca="false">IF(D18="","No issues","Excluded from cost/value calculations where data missing")</f>
        <v>No issues</v>
      </c>
    </row>
    <row r="19" customFormat="false" ht="15" hidden="false" customHeight="false" outlineLevel="0" collapsed="false">
      <c r="A19" s="5" t="n">
        <f aca="false">ITEM_MASTER_CLEAN!A19</f>
        <v>18</v>
      </c>
      <c r="B19" s="5" t="n">
        <f aca="false">ITEM_MASTER_CLEAN!B19</f>
        <v>16992</v>
      </c>
      <c r="C19" s="5" t="str">
        <f aca="false">ITEM_MASTER_CLEAN!C19</f>
        <v>CAKE CHEESE MANGO LIME X2</v>
      </c>
      <c r="D19" s="5" t="str">
        <f aca="false">IF(ITEM_MASTER_CLEAN!J19&lt;&gt;"",ITEM_MASTER_CLEAN!J19&amp;" COST ","")&amp;IF(ITEM_MASTER_CLEAN!K19&lt;&gt;"",ITEM_MASTER_CLEAN!K19&amp;" PACK ","")&amp;IF(ITEM_MASTER_CLEAN!L19&lt;&gt;"",ITEM_MASTER_CLEAN!L19&amp;" CAT ","")&amp;IF(ITEM_MASTER_CLEAN!M19&lt;&gt;"",ITEM_MASTER_CLEAN!M19,"")</f>
        <v/>
      </c>
      <c r="E19" s="5" t="str">
        <f aca="false">IF(D19="","No issues","Excluded from cost/value calculations where data missing")</f>
        <v>No issues</v>
      </c>
    </row>
    <row r="20" customFormat="false" ht="15" hidden="false" customHeight="false" outlineLevel="0" collapsed="false">
      <c r="A20" s="5" t="n">
        <f aca="false">ITEM_MASTER_CLEAN!A20</f>
        <v>19</v>
      </c>
      <c r="B20" s="5" t="n">
        <f aca="false">ITEM_MASTER_CLEAN!B20</f>
        <v>16995</v>
      </c>
      <c r="C20" s="5" t="str">
        <f aca="false">ITEM_MASTER_CLEAN!C20</f>
        <v>CAKE CHEESE CINNABON X2</v>
      </c>
      <c r="D20" s="5" t="str">
        <f aca="false">IF(ITEM_MASTER_CLEAN!J20&lt;&gt;"",ITEM_MASTER_CLEAN!J20&amp;" COST ","")&amp;IF(ITEM_MASTER_CLEAN!K20&lt;&gt;"",ITEM_MASTER_CLEAN!K20&amp;" PACK ","")&amp;IF(ITEM_MASTER_CLEAN!L20&lt;&gt;"",ITEM_MASTER_CLEAN!L20&amp;" CAT ","")&amp;IF(ITEM_MASTER_CLEAN!M20&lt;&gt;"",ITEM_MASTER_CLEAN!M20,"")</f>
        <v/>
      </c>
      <c r="E20" s="5" t="str">
        <f aca="false">IF(D20="","No issues","Excluded from cost/value calculations where data missing")</f>
        <v>No issues</v>
      </c>
    </row>
    <row r="21" customFormat="false" ht="15" hidden="false" customHeight="false" outlineLevel="0" collapsed="false">
      <c r="A21" s="5" t="n">
        <f aca="false">ITEM_MASTER_CLEAN!A21</f>
        <v>20</v>
      </c>
      <c r="B21" s="5" t="n">
        <f aca="false">ITEM_MASTER_CLEAN!B21</f>
        <v>19629</v>
      </c>
      <c r="C21" s="5" t="str">
        <f aca="false">ITEM_MASTER_CLEAN!C21</f>
        <v>CAKE GODIVA DBL CHOC CHEESE 2X28PC</v>
      </c>
      <c r="D21" s="5" t="str">
        <f aca="false">IF(ITEM_MASTER_CLEAN!J21&lt;&gt;"",ITEM_MASTER_CLEAN!J21&amp;" COST ","")&amp;IF(ITEM_MASTER_CLEAN!K21&lt;&gt;"",ITEM_MASTER_CLEAN!K21&amp;" PACK ","")&amp;IF(ITEM_MASTER_CLEAN!L21&lt;&gt;"",ITEM_MASTER_CLEAN!L21&amp;" CAT ","")&amp;IF(ITEM_MASTER_CLEAN!M21&lt;&gt;"",ITEM_MASTER_CLEAN!M21,"")</f>
        <v/>
      </c>
      <c r="E21" s="5" t="str">
        <f aca="false">IF(D21="","No issues","Excluded from cost/value calculations where data missing")</f>
        <v>No issues</v>
      </c>
    </row>
    <row r="22" customFormat="false" ht="15" hidden="false" customHeight="false" outlineLevel="0" collapsed="false">
      <c r="A22" s="5" t="n">
        <f aca="false">ITEM_MASTER_CLEAN!A22</f>
        <v>21</v>
      </c>
      <c r="B22" s="5" t="n">
        <f aca="false">ITEM_MASTER_CLEAN!B22</f>
        <v>16993</v>
      </c>
      <c r="C22" s="5" t="str">
        <f aca="false">ITEM_MASTER_CLEAN!C22</f>
        <v>CAKE CHEESE OREO X2</v>
      </c>
      <c r="D22" s="5" t="str">
        <f aca="false">IF(ITEM_MASTER_CLEAN!J22&lt;&gt;"",ITEM_MASTER_CLEAN!J22&amp;" COST ","")&amp;IF(ITEM_MASTER_CLEAN!K22&lt;&gt;"",ITEM_MASTER_CLEAN!K22&amp;" PACK ","")&amp;IF(ITEM_MASTER_CLEAN!L22&lt;&gt;"",ITEM_MASTER_CLEAN!L22&amp;" CAT ","")&amp;IF(ITEM_MASTER_CLEAN!M22&lt;&gt;"",ITEM_MASTER_CLEAN!M22,"")</f>
        <v/>
      </c>
      <c r="E22" s="5" t="str">
        <f aca="false">IF(D22="","No issues","Excluded from cost/value calculations where data missing")</f>
        <v>No issues</v>
      </c>
    </row>
    <row r="23" customFormat="false" ht="15" hidden="false" customHeight="false" outlineLevel="0" collapsed="false">
      <c r="A23" s="5" t="n">
        <f aca="false">ITEM_MASTER_CLEAN!A23</f>
        <v>22</v>
      </c>
      <c r="B23" s="5" t="n">
        <f aca="false">ITEM_MASTER_CLEAN!B23</f>
        <v>16988</v>
      </c>
      <c r="C23" s="5" t="str">
        <f aca="false">ITEM_MASTER_CLEAN!C23</f>
        <v>CAKE CHEESE BANANA FOSTER X2</v>
      </c>
      <c r="D23" s="5" t="str">
        <f aca="false">IF(ITEM_MASTER_CLEAN!J23&lt;&gt;"",ITEM_MASTER_CLEAN!J23&amp;" COST ","")&amp;IF(ITEM_MASTER_CLEAN!K23&lt;&gt;"",ITEM_MASTER_CLEAN!K23&amp;" PACK ","")&amp;IF(ITEM_MASTER_CLEAN!L23&lt;&gt;"",ITEM_MASTER_CLEAN!L23&amp;" CAT ","")&amp;IF(ITEM_MASTER_CLEAN!M23&lt;&gt;"",ITEM_MASTER_CLEAN!M23,"")</f>
        <v/>
      </c>
      <c r="E23" s="5" t="str">
        <f aca="false">IF(D23="","No issues","Excluded from cost/value calculations where data missing")</f>
        <v>No issues</v>
      </c>
    </row>
    <row r="24" customFormat="false" ht="15" hidden="false" customHeight="false" outlineLevel="0" collapsed="false">
      <c r="A24" s="5" t="n">
        <f aca="false">ITEM_MASTER_CLEAN!A24</f>
        <v>23</v>
      </c>
      <c r="B24" s="5" t="n">
        <f aca="false">ITEM_MASTER_CLEAN!B24</f>
        <v>16987</v>
      </c>
      <c r="C24" s="5" t="str">
        <f aca="false">ITEM_MASTER_CLEAN!C24</f>
        <v>CAKE CHEESE WILD STRWBERRY X2</v>
      </c>
      <c r="D24" s="5" t="str">
        <f aca="false">IF(ITEM_MASTER_CLEAN!J24&lt;&gt;"",ITEM_MASTER_CLEAN!J24&amp;" COST ","")&amp;IF(ITEM_MASTER_CLEAN!K24&lt;&gt;"",ITEM_MASTER_CLEAN!K24&amp;" PACK ","")&amp;IF(ITEM_MASTER_CLEAN!L24&lt;&gt;"",ITEM_MASTER_CLEAN!L24&amp;" CAT ","")&amp;IF(ITEM_MASTER_CLEAN!M24&lt;&gt;"",ITEM_MASTER_CLEAN!M24,"")</f>
        <v/>
      </c>
      <c r="E24" s="5" t="str">
        <f aca="false">IF(D24="","No issues","Excluded from cost/value calculations where data missing")</f>
        <v>No issues</v>
      </c>
    </row>
    <row r="25" customFormat="false" ht="15" hidden="false" customHeight="false" outlineLevel="0" collapsed="false">
      <c r="A25" s="5" t="n">
        <f aca="false">ITEM_MASTER_CLEAN!A25</f>
        <v>24</v>
      </c>
      <c r="B25" s="5" t="n">
        <f aca="false">ITEM_MASTER_CLEAN!B25</f>
        <v>16994</v>
      </c>
      <c r="C25" s="5" t="str">
        <f aca="false">ITEM_MASTER_CLEAN!C25</f>
        <v>CAKE CHEESE DULCE DE LECHE X2</v>
      </c>
      <c r="D25" s="5" t="str">
        <f aca="false">IF(ITEM_MASTER_CLEAN!J25&lt;&gt;"",ITEM_MASTER_CLEAN!J25&amp;" COST ","")&amp;IF(ITEM_MASTER_CLEAN!K25&lt;&gt;"",ITEM_MASTER_CLEAN!K25&amp;" PACK ","")&amp;IF(ITEM_MASTER_CLEAN!L25&lt;&gt;"",ITEM_MASTER_CLEAN!L25&amp;" CAT ","")&amp;IF(ITEM_MASTER_CLEAN!M25&lt;&gt;"",ITEM_MASTER_CLEAN!M25,"")</f>
        <v/>
      </c>
      <c r="E25" s="5" t="str">
        <f aca="false">IF(D25="","No issues","Excluded from cost/value calculations where data missing")</f>
        <v>No issues</v>
      </c>
    </row>
    <row r="26" customFormat="false" ht="15" hidden="false" customHeight="false" outlineLevel="0" collapsed="false">
      <c r="A26" s="5" t="n">
        <f aca="false">ITEM_MASTER_CLEAN!A26</f>
        <v>25</v>
      </c>
      <c r="B26" s="5" t="n">
        <f aca="false">ITEM_MASTER_CLEAN!B26</f>
        <v>19694</v>
      </c>
      <c r="C26" s="5" t="str">
        <f aca="false">ITEM_MASTER_CLEAN!C26</f>
        <v>CAKE REESE P.BUTTER CHOC 2X28PC</v>
      </c>
      <c r="D26" s="5" t="str">
        <f aca="false">IF(ITEM_MASTER_CLEAN!J26&lt;&gt;"",ITEM_MASTER_CLEAN!J26&amp;" COST ","")&amp;IF(ITEM_MASTER_CLEAN!K26&lt;&gt;"",ITEM_MASTER_CLEAN!K26&amp;" PACK ","")&amp;IF(ITEM_MASTER_CLEAN!L26&lt;&gt;"",ITEM_MASTER_CLEAN!L26&amp;" CAT ","")&amp;IF(ITEM_MASTER_CLEAN!M26&lt;&gt;"",ITEM_MASTER_CLEAN!M26,"")</f>
        <v/>
      </c>
      <c r="E26" s="5" t="str">
        <f aca="false">IF(D26="","No issues","Excluded from cost/value calculations where data missing")</f>
        <v>No issues</v>
      </c>
    </row>
    <row r="27" customFormat="false" ht="15" hidden="false" customHeight="false" outlineLevel="0" collapsed="false">
      <c r="A27" s="5" t="n">
        <f aca="false">ITEM_MASTER_CLEAN!A27</f>
        <v>26</v>
      </c>
      <c r="B27" s="5" t="n">
        <f aca="false">ITEM_MASTER_CLEAN!B27</f>
        <v>16991</v>
      </c>
      <c r="C27" s="5" t="str">
        <f aca="false">ITEM_MASTER_CLEAN!C27</f>
        <v>CAKE CHEESE RED VELVET X2</v>
      </c>
      <c r="D27" s="5" t="str">
        <f aca="false">IF(ITEM_MASTER_CLEAN!J27&lt;&gt;"",ITEM_MASTER_CLEAN!J27&amp;" COST ","")&amp;IF(ITEM_MASTER_CLEAN!K27&lt;&gt;"",ITEM_MASTER_CLEAN!K27&amp;" PACK ","")&amp;IF(ITEM_MASTER_CLEAN!L27&lt;&gt;"",ITEM_MASTER_CLEAN!L27&amp;" CAT ","")&amp;IF(ITEM_MASTER_CLEAN!M27&lt;&gt;"",ITEM_MASTER_CLEAN!M27,"")</f>
        <v/>
      </c>
      <c r="E27" s="5" t="str">
        <f aca="false">IF(D27="","No issues","Excluded from cost/value calculations where data missing")</f>
        <v>No issues</v>
      </c>
    </row>
    <row r="28" customFormat="false" ht="15" hidden="false" customHeight="false" outlineLevel="0" collapsed="false">
      <c r="A28" s="5" t="n">
        <f aca="false">ITEM_MASTER_CLEAN!A28</f>
        <v>27</v>
      </c>
      <c r="B28" s="5" t="n">
        <f aca="false">ITEM_MASTER_CLEAN!B28</f>
        <v>16989</v>
      </c>
      <c r="C28" s="5" t="str">
        <f aca="false">ITEM_MASTER_CLEAN!C28</f>
        <v>CAKE CHEESE TUXEDO MOUSSE X2</v>
      </c>
      <c r="D28" s="5" t="str">
        <f aca="false">IF(ITEM_MASTER_CLEAN!J28&lt;&gt;"",ITEM_MASTER_CLEAN!J28&amp;" COST ","")&amp;IF(ITEM_MASTER_CLEAN!K28&lt;&gt;"",ITEM_MASTER_CLEAN!K28&amp;" PACK ","")&amp;IF(ITEM_MASTER_CLEAN!L28&lt;&gt;"",ITEM_MASTER_CLEAN!L28&amp;" CAT ","")&amp;IF(ITEM_MASTER_CLEAN!M28&lt;&gt;"",ITEM_MASTER_CLEAN!M28,"")</f>
        <v/>
      </c>
      <c r="E28" s="5" t="str">
        <f aca="false">IF(D28="","No issues","Excluded from cost/value calculations where data missing")</f>
        <v>No issues</v>
      </c>
    </row>
    <row r="29" customFormat="false" ht="15" hidden="false" customHeight="false" outlineLevel="0" collapsed="false">
      <c r="A29" s="5" t="n">
        <f aca="false">ITEM_MASTER_CLEAN!A29</f>
        <v>28</v>
      </c>
      <c r="B29" s="5" t="n">
        <f aca="false">ITEM_MASTER_CLEAN!B29</f>
        <v>19630</v>
      </c>
      <c r="C29" s="5" t="str">
        <f aca="false">ITEM_MASTER_CLEAN!C29</f>
        <v>CAKE WHITE CHOC RSPBRY CHEESE X2</v>
      </c>
      <c r="D29" s="5" t="str">
        <f aca="false">IF(ITEM_MASTER_CLEAN!J29&lt;&gt;"",ITEM_MASTER_CLEAN!J29&amp;" COST ","")&amp;IF(ITEM_MASTER_CLEAN!K29&lt;&gt;"",ITEM_MASTER_CLEAN!K29&amp;" PACK ","")&amp;IF(ITEM_MASTER_CLEAN!L29&lt;&gt;"",ITEM_MASTER_CLEAN!L29&amp;" CAT ","")&amp;IF(ITEM_MASTER_CLEAN!M29&lt;&gt;"",ITEM_MASTER_CLEAN!M29,"")</f>
        <v/>
      </c>
      <c r="E29" s="5" t="str">
        <f aca="false">IF(D29="","No issues","Excluded from cost/value calculations where data missing")</f>
        <v>No issues</v>
      </c>
    </row>
    <row r="30" customFormat="false" ht="15" hidden="false" customHeight="false" outlineLevel="0" collapsed="false">
      <c r="A30" s="5" t="n">
        <f aca="false">ITEM_MASTER_CLEAN!A30</f>
        <v>29</v>
      </c>
      <c r="B30" s="5" t="n">
        <f aca="false">ITEM_MASTER_CLEAN!B30</f>
        <v>44985</v>
      </c>
      <c r="C30" s="5" t="str">
        <f aca="false">ITEM_MASTER_CLEAN!C30</f>
        <v>BISC DOUGH OREO V-VIT0013V 5K</v>
      </c>
      <c r="D30" s="5" t="str">
        <f aca="false">IF(ITEM_MASTER_CLEAN!J30&lt;&gt;"",ITEM_MASTER_CLEAN!J30&amp;" COST ","")&amp;IF(ITEM_MASTER_CLEAN!K30&lt;&gt;"",ITEM_MASTER_CLEAN!K30&amp;" PACK ","")&amp;IF(ITEM_MASTER_CLEAN!L30&lt;&gt;"",ITEM_MASTER_CLEAN!L30&amp;" CAT ","")&amp;IF(ITEM_MASTER_CLEAN!M30&lt;&gt;"",ITEM_MASTER_CLEAN!M30,"")</f>
        <v/>
      </c>
      <c r="E30" s="5" t="str">
        <f aca="false">IF(D30="","No issues","Excluded from cost/value calculations where data missing")</f>
        <v>No issues</v>
      </c>
    </row>
    <row r="31" customFormat="false" ht="15" hidden="false" customHeight="false" outlineLevel="0" collapsed="false">
      <c r="A31" s="5" t="n">
        <f aca="false">ITEM_MASTER_CLEAN!A31</f>
        <v>30</v>
      </c>
      <c r="B31" s="5" t="n">
        <f aca="false">ITEM_MASTER_CLEAN!B31</f>
        <v>44961</v>
      </c>
      <c r="C31" s="5" t="str">
        <f aca="false">ITEM_MASTER_CLEAN!C31</f>
        <v>BISC DOUGH BLK CHOCO MED SWEET 5K</v>
      </c>
      <c r="D31" s="5" t="str">
        <f aca="false">IF(ITEM_MASTER_CLEAN!J31&lt;&gt;"",ITEM_MASTER_CLEAN!J31&amp;" COST ","")&amp;IF(ITEM_MASTER_CLEAN!K31&lt;&gt;"",ITEM_MASTER_CLEAN!K31&amp;" PACK ","")&amp;IF(ITEM_MASTER_CLEAN!L31&lt;&gt;"",ITEM_MASTER_CLEAN!L31&amp;" CAT ","")&amp;IF(ITEM_MASTER_CLEAN!M31&lt;&gt;"",ITEM_MASTER_CLEAN!M31,"")</f>
        <v/>
      </c>
      <c r="E31" s="5" t="str">
        <f aca="false">IF(D31="","No issues","Excluded from cost/value calculations where data missing")</f>
        <v>No issues</v>
      </c>
    </row>
    <row r="32" customFormat="false" ht="15" hidden="false" customHeight="false" outlineLevel="0" collapsed="false">
      <c r="A32" s="5" t="n">
        <f aca="false">ITEM_MASTER_CLEAN!A32</f>
        <v>31</v>
      </c>
      <c r="B32" s="5" t="n">
        <f aca="false">ITEM_MASTER_CLEAN!B32</f>
        <v>44962</v>
      </c>
      <c r="C32" s="5" t="str">
        <f aca="false">ITEM_MASTER_CLEAN!C32</f>
        <v>BISC DOUGH DBL CHOCO PAIL 5K</v>
      </c>
      <c r="D32" s="5" t="str">
        <f aca="false">IF(ITEM_MASTER_CLEAN!J32&lt;&gt;"",ITEM_MASTER_CLEAN!J32&amp;" COST ","")&amp;IF(ITEM_MASTER_CLEAN!K32&lt;&gt;"",ITEM_MASTER_CLEAN!K32&amp;" PACK ","")&amp;IF(ITEM_MASTER_CLEAN!L32&lt;&gt;"",ITEM_MASTER_CLEAN!L32&amp;" CAT ","")&amp;IF(ITEM_MASTER_CLEAN!M32&lt;&gt;"",ITEM_MASTER_CLEAN!M32,"")</f>
        <v/>
      </c>
      <c r="E32" s="5" t="str">
        <f aca="false">IF(D32="","No issues","Excluded from cost/value calculations where data missing")</f>
        <v>No issues</v>
      </c>
    </row>
    <row r="33" customFormat="false" ht="15" hidden="false" customHeight="false" outlineLevel="0" collapsed="false">
      <c r="A33" s="5" t="n">
        <f aca="false">ITEM_MASTER_CLEAN!A33</f>
        <v>32</v>
      </c>
      <c r="B33" s="5" t="n">
        <f aca="false">ITEM_MASTER_CLEAN!B33</f>
        <v>63927</v>
      </c>
      <c r="C33" s="5" t="str">
        <f aca="false">ITEM_MASTER_CLEAN!C33</f>
        <v>Bisc PUCK Dbl Choc 160x2oz</v>
      </c>
      <c r="D33" s="5" t="str">
        <f aca="false">IF(ITEM_MASTER_CLEAN!J33&lt;&gt;"",ITEM_MASTER_CLEAN!J33&amp;" COST ","")&amp;IF(ITEM_MASTER_CLEAN!K33&lt;&gt;"",ITEM_MASTER_CLEAN!K33&amp;" PACK ","")&amp;IF(ITEM_MASTER_CLEAN!L33&lt;&gt;"",ITEM_MASTER_CLEAN!L33&amp;" CAT ","")&amp;IF(ITEM_MASTER_CLEAN!M33&lt;&gt;"",ITEM_MASTER_CLEAN!M33,"")</f>
        <v/>
      </c>
      <c r="E33" s="5" t="str">
        <f aca="false">IF(D33="","No issues","Excluded from cost/value calculations where data missing")</f>
        <v>No issues</v>
      </c>
    </row>
    <row r="34" customFormat="false" ht="15" hidden="false" customHeight="false" outlineLevel="0" collapsed="false">
      <c r="A34" s="5" t="n">
        <f aca="false">ITEM_MASTER_CLEAN!A34</f>
        <v>33</v>
      </c>
      <c r="B34" s="5" t="n">
        <f aca="false">ITEM_MASTER_CLEAN!B34</f>
        <v>64106</v>
      </c>
      <c r="C34" s="5" t="str">
        <f aca="false">ITEM_MASTER_CLEAN!C34</f>
        <v>Bisc PUCK ChocBln/Maca 160x2oz</v>
      </c>
      <c r="D34" s="5" t="str">
        <f aca="false">IF(ITEM_MASTER_CLEAN!J34&lt;&gt;"",ITEM_MASTER_CLEAN!J34&amp;" COST ","")&amp;IF(ITEM_MASTER_CLEAN!K34&lt;&gt;"",ITEM_MASTER_CLEAN!K34&amp;" PACK ","")&amp;IF(ITEM_MASTER_CLEAN!L34&lt;&gt;"",ITEM_MASTER_CLEAN!L34&amp;" CAT ","")&amp;IF(ITEM_MASTER_CLEAN!M34&lt;&gt;"",ITEM_MASTER_CLEAN!M34,"")</f>
        <v/>
      </c>
      <c r="E34" s="5" t="str">
        <f aca="false">IF(D34="","No issues","Excluded from cost/value calculations where data missing")</f>
        <v>No issues</v>
      </c>
    </row>
    <row r="35" customFormat="false" ht="15" hidden="false" customHeight="false" outlineLevel="0" collapsed="false">
      <c r="A35" s="5" t="n">
        <f aca="false">ITEM_MASTER_CLEAN!A35</f>
        <v>34</v>
      </c>
      <c r="B35" s="5" t="n">
        <f aca="false">ITEM_MASTER_CLEAN!B35</f>
        <v>63934</v>
      </c>
      <c r="C35" s="5" t="str">
        <f aca="false">ITEM_MASTER_CLEAN!C35</f>
        <v>Bisc PUCK ChocChunk 160x2oz</v>
      </c>
      <c r="D35" s="5" t="str">
        <f aca="false">IF(ITEM_MASTER_CLEAN!J35&lt;&gt;"",ITEM_MASTER_CLEAN!J35&amp;" COST ","")&amp;IF(ITEM_MASTER_CLEAN!K35&lt;&gt;"",ITEM_MASTER_CLEAN!K35&amp;" PACK ","")&amp;IF(ITEM_MASTER_CLEAN!L35&lt;&gt;"",ITEM_MASTER_CLEAN!L35&amp;" CAT ","")&amp;IF(ITEM_MASTER_CLEAN!M35&lt;&gt;"",ITEM_MASTER_CLEAN!M35,"")</f>
        <v/>
      </c>
      <c r="E35" s="5" t="str">
        <f aca="false">IF(D35="","No issues","Excluded from cost/value calculations where data missing")</f>
        <v>No issues</v>
      </c>
    </row>
    <row r="36" customFormat="false" ht="15" hidden="false" customHeight="false" outlineLevel="0" collapsed="false">
      <c r="A36" s="5" t="n">
        <f aca="false">ITEM_MASTER_CLEAN!A36</f>
        <v>35</v>
      </c>
      <c r="B36" s="5" t="n">
        <f aca="false">ITEM_MASTER_CLEAN!B36</f>
        <v>12596</v>
      </c>
      <c r="C36" s="5" t="str">
        <f aca="false">ITEM_MASTER_CLEAN!C36</f>
        <v>MTY TREAT FOR DOGS 24UN</v>
      </c>
      <c r="D36" s="5" t="str">
        <f aca="false">IF(ITEM_MASTER_CLEAN!J36&lt;&gt;"",ITEM_MASTER_CLEAN!J36&amp;" COST ","")&amp;IF(ITEM_MASTER_CLEAN!K36&lt;&gt;"",ITEM_MASTER_CLEAN!K36&amp;" PACK ","")&amp;IF(ITEM_MASTER_CLEAN!L36&lt;&gt;"",ITEM_MASTER_CLEAN!L36&amp;" CAT ","")&amp;IF(ITEM_MASTER_CLEAN!M36&lt;&gt;"",ITEM_MASTER_CLEAN!M36,"")</f>
        <v/>
      </c>
      <c r="E36" s="5" t="str">
        <f aca="false">IF(D36="","No issues","Excluded from cost/value calculations where data missing")</f>
        <v>No issues</v>
      </c>
    </row>
    <row r="37" customFormat="false" ht="15" hidden="false" customHeight="false" outlineLevel="0" collapsed="false">
      <c r="A37" s="5" t="n">
        <f aca="false">ITEM_MASTER_CLEAN!A37</f>
        <v>36</v>
      </c>
      <c r="B37" s="5" t="n">
        <f aca="false">ITEM_MASTER_CLEAN!B37</f>
        <v>48219</v>
      </c>
      <c r="C37" s="5" t="str">
        <f aca="false">ITEM_MASTER_CLEAN!C37</f>
        <v>BISC LOTUS BISCOFF 10X250G</v>
      </c>
      <c r="D37" s="5" t="str">
        <f aca="false">IF(ITEM_MASTER_CLEAN!J37&lt;&gt;"",ITEM_MASTER_CLEAN!J37&amp;" COST ","")&amp;IF(ITEM_MASTER_CLEAN!K37&lt;&gt;"",ITEM_MASTER_CLEAN!K37&amp;" PACK ","")&amp;IF(ITEM_MASTER_CLEAN!L37&lt;&gt;"",ITEM_MASTER_CLEAN!L37&amp;" CAT ","")&amp;IF(ITEM_MASTER_CLEAN!M37&lt;&gt;"",ITEM_MASTER_CLEAN!M37,"")</f>
        <v/>
      </c>
      <c r="E37" s="5" t="str">
        <f aca="false">IF(D37="","No issues","Excluded from cost/value calculations where data missing")</f>
        <v>No issues</v>
      </c>
    </row>
    <row r="38" customFormat="false" ht="15" hidden="false" customHeight="false" outlineLevel="0" collapsed="false">
      <c r="A38" s="5" t="n">
        <f aca="false">ITEM_MASTER_CLEAN!A38</f>
        <v>37</v>
      </c>
      <c r="B38" s="5" t="n">
        <f aca="false">ITEM_MASTER_CLEAN!B38</f>
        <v>39811</v>
      </c>
      <c r="C38" s="5" t="str">
        <f aca="false">ITEM_MASTER_CLEAN!C38</f>
        <v>DONUT REGULAR 00726  140X28G</v>
      </c>
      <c r="D38" s="5" t="str">
        <f aca="false">IF(ITEM_MASTER_CLEAN!J38&lt;&gt;"",ITEM_MASTER_CLEAN!J38&amp;" COST ","")&amp;IF(ITEM_MASTER_CLEAN!K38&lt;&gt;"",ITEM_MASTER_CLEAN!K38&amp;" PACK ","")&amp;IF(ITEM_MASTER_CLEAN!L38&lt;&gt;"",ITEM_MASTER_CLEAN!L38&amp;" CAT ","")&amp;IF(ITEM_MASTER_CLEAN!M38&lt;&gt;"",ITEM_MASTER_CLEAN!M38,"")</f>
        <v/>
      </c>
      <c r="E38" s="5" t="str">
        <f aca="false">IF(D38="","No issues","Excluded from cost/value calculations where data missing")</f>
        <v>No issues</v>
      </c>
    </row>
    <row r="39" customFormat="false" ht="15" hidden="false" customHeight="false" outlineLevel="0" collapsed="false">
      <c r="A39" s="5" t="n">
        <f aca="false">ITEM_MASTER_CLEAN!A39</f>
        <v>38</v>
      </c>
      <c r="B39" s="5" t="n">
        <f aca="false">ITEM_MASTER_CLEAN!B39</f>
        <v>43328</v>
      </c>
      <c r="C39" s="5" t="str">
        <f aca="false">ITEM_MASTER_CLEAN!C39</f>
        <v>DONUT MINI VANILLA 2442 300X12G</v>
      </c>
      <c r="D39" s="5" t="str">
        <f aca="false">IF(ITEM_MASTER_CLEAN!J39&lt;&gt;"",ITEM_MASTER_CLEAN!J39&amp;" COST ","")&amp;IF(ITEM_MASTER_CLEAN!K39&lt;&gt;"",ITEM_MASTER_CLEAN!K39&amp;" PACK ","")&amp;IF(ITEM_MASTER_CLEAN!L39&lt;&gt;"",ITEM_MASTER_CLEAN!L39&amp;" CAT ","")&amp;IF(ITEM_MASTER_CLEAN!M39&lt;&gt;"",ITEM_MASTER_CLEAN!M39,"")</f>
        <v/>
      </c>
      <c r="E39" s="5" t="str">
        <f aca="false">IF(D39="","No issues","Excluded from cost/value calculations where data missing")</f>
        <v>No issues</v>
      </c>
    </row>
    <row r="40" customFormat="false" ht="15" hidden="false" customHeight="false" outlineLevel="0" collapsed="false">
      <c r="A40" s="5" t="n">
        <f aca="false">ITEM_MASTER_CLEAN!A40</f>
        <v>39</v>
      </c>
      <c r="B40" s="5" t="n">
        <f aca="false">ITEM_MASTER_CLEAN!B40</f>
        <v>50170</v>
      </c>
      <c r="C40" s="5" t="str">
        <f aca="false">ITEM_MASTER_CLEAN!C40</f>
        <v>MTY CHOC FF 3100051  5X1L</v>
      </c>
      <c r="D40" s="5" t="str">
        <f aca="false">IF(ITEM_MASTER_CLEAN!J40&lt;&gt;"",ITEM_MASTER_CLEAN!J40&amp;" COST ","")&amp;IF(ITEM_MASTER_CLEAN!K40&lt;&gt;"",ITEM_MASTER_CLEAN!K40&amp;" PACK ","")&amp;IF(ITEM_MASTER_CLEAN!L40&lt;&gt;"",ITEM_MASTER_CLEAN!L40&amp;" CAT ","")&amp;IF(ITEM_MASTER_CLEAN!M40&lt;&gt;"",ITEM_MASTER_CLEAN!M40,"")</f>
        <v/>
      </c>
      <c r="E40" s="5" t="str">
        <f aca="false">IF(D40="","No issues","Excluded from cost/value calculations where data missing")</f>
        <v>No issues</v>
      </c>
    </row>
    <row r="41" customFormat="false" ht="15" hidden="false" customHeight="false" outlineLevel="0" collapsed="false">
      <c r="A41" s="5" t="n">
        <f aca="false">ITEM_MASTER_CLEAN!A41</f>
        <v>40</v>
      </c>
      <c r="B41" s="5" t="n">
        <f aca="false">ITEM_MASTER_CLEAN!B41</f>
        <v>50010</v>
      </c>
      <c r="C41" s="5" t="str">
        <f aca="false">ITEM_MASTER_CLEAN!C41</f>
        <v>SCE CARAMEL REG MCL 5X1L</v>
      </c>
      <c r="D41" s="5" t="str">
        <f aca="false">IF(ITEM_MASTER_CLEAN!J41&lt;&gt;"",ITEM_MASTER_CLEAN!J41&amp;" COST ","")&amp;IF(ITEM_MASTER_CLEAN!K41&lt;&gt;"",ITEM_MASTER_CLEAN!K41&amp;" PACK ","")&amp;IF(ITEM_MASTER_CLEAN!L41&lt;&gt;"",ITEM_MASTER_CLEAN!L41&amp;" CAT ","")&amp;IF(ITEM_MASTER_CLEAN!M41&lt;&gt;"",ITEM_MASTER_CLEAN!M41,"")</f>
        <v/>
      </c>
      <c r="E41" s="5" t="str">
        <f aca="false">IF(D41="","No issues","Excluded from cost/value calculations where data missing")</f>
        <v>No issues</v>
      </c>
    </row>
    <row r="42" customFormat="false" ht="15" hidden="false" customHeight="false" outlineLevel="0" collapsed="false">
      <c r="A42" s="5" t="n">
        <f aca="false">ITEM_MASTER_CLEAN!A42</f>
        <v>41</v>
      </c>
      <c r="B42" s="5" t="n">
        <f aca="false">ITEM_MASTER_CLEAN!B42</f>
        <v>50166</v>
      </c>
      <c r="C42" s="5" t="str">
        <f aca="false">ITEM_MASTER_CLEAN!C42</f>
        <v>MTY fraise fr flow 10x1L</v>
      </c>
      <c r="D42" s="5" t="str">
        <f aca="false">IF(ITEM_MASTER_CLEAN!J42&lt;&gt;"",ITEM_MASTER_CLEAN!J42&amp;" COST ","")&amp;IF(ITEM_MASTER_CLEAN!K42&lt;&gt;"",ITEM_MASTER_CLEAN!K42&amp;" PACK ","")&amp;IF(ITEM_MASTER_CLEAN!L42&lt;&gt;"",ITEM_MASTER_CLEAN!L42&amp;" CAT ","")&amp;IF(ITEM_MASTER_CLEAN!M42&lt;&gt;"",ITEM_MASTER_CLEAN!M42,"")</f>
        <v/>
      </c>
      <c r="E42" s="5" t="str">
        <f aca="false">IF(D42="","No issues","Excluded from cost/value calculations where data missing")</f>
        <v>No issues</v>
      </c>
    </row>
    <row r="43" customFormat="false" ht="15" hidden="false" customHeight="false" outlineLevel="0" collapsed="false">
      <c r="A43" s="5" t="n">
        <f aca="false">ITEM_MASTER_CLEAN!A43</f>
        <v>42</v>
      </c>
      <c r="B43" s="5" t="n">
        <f aca="false">ITEM_MASTER_CLEAN!B43</f>
        <v>19850</v>
      </c>
      <c r="C43" s="5" t="str">
        <f aca="false">ITEM_MASTER_CLEAN!C43</f>
        <v>SPICE CINNAMON GRND 400G</v>
      </c>
      <c r="D43" s="5" t="str">
        <f aca="false">IF(ITEM_MASTER_CLEAN!J43&lt;&gt;"",ITEM_MASTER_CLEAN!J43&amp;" COST ","")&amp;IF(ITEM_MASTER_CLEAN!K43&lt;&gt;"",ITEM_MASTER_CLEAN!K43&amp;" PACK ","")&amp;IF(ITEM_MASTER_CLEAN!L43&lt;&gt;"",ITEM_MASTER_CLEAN!L43&amp;" CAT ","")&amp;IF(ITEM_MASTER_CLEAN!M43&lt;&gt;"",ITEM_MASTER_CLEAN!M43,"")</f>
        <v/>
      </c>
      <c r="E43" s="5" t="str">
        <f aca="false">IF(D43="","No issues","Excluded from cost/value calculations where data missing")</f>
        <v>No issues</v>
      </c>
    </row>
    <row r="44" customFormat="false" ht="15" hidden="false" customHeight="false" outlineLevel="0" collapsed="false">
      <c r="A44" s="5" t="n">
        <f aca="false">ITEM_MASTER_CLEAN!A44</f>
        <v>43</v>
      </c>
      <c r="B44" s="5" t="n">
        <f aca="false">ITEM_MASTER_CLEAN!B44</f>
        <v>68587</v>
      </c>
      <c r="C44" s="5" t="str">
        <f aca="false">ITEM_MASTER_CLEAN!C44</f>
        <v>SUGAR SPECIAL FINE K 1X2K</v>
      </c>
      <c r="D44" s="5" t="str">
        <f aca="false">IF(ITEM_MASTER_CLEAN!J44&lt;&gt;"",ITEM_MASTER_CLEAN!J44&amp;" COST ","")&amp;IF(ITEM_MASTER_CLEAN!K44&lt;&gt;"",ITEM_MASTER_CLEAN!K44&amp;" PACK ","")&amp;IF(ITEM_MASTER_CLEAN!L44&lt;&gt;"",ITEM_MASTER_CLEAN!L44&amp;" CAT ","")&amp;IF(ITEM_MASTER_CLEAN!M44&lt;&gt;"",ITEM_MASTER_CLEAN!M44,"")</f>
        <v/>
      </c>
      <c r="E44" s="5" t="str">
        <f aca="false">IF(D44="","No issues","Excluded from cost/value calculations where data missing")</f>
        <v>No issues</v>
      </c>
    </row>
    <row r="45" customFormat="false" ht="15" hidden="false" customHeight="false" outlineLevel="0" collapsed="false">
      <c r="A45" s="5" t="n">
        <f aca="false">ITEM_MASTER_CLEAN!A45</f>
        <v>44</v>
      </c>
      <c r="B45" s="5" t="n">
        <f aca="false">ITEM_MASTER_CLEAN!B45</f>
        <v>65315</v>
      </c>
      <c r="C45" s="5" t="str">
        <f aca="false">ITEM_MASTER_CLEAN!C45</f>
        <v>SUGAR ICING K 1X1K</v>
      </c>
      <c r="D45" s="5" t="str">
        <f aca="false">IF(ITEM_MASTER_CLEAN!J45&lt;&gt;"",ITEM_MASTER_CLEAN!J45&amp;" COST ","")&amp;IF(ITEM_MASTER_CLEAN!K45&lt;&gt;"",ITEM_MASTER_CLEAN!K45&amp;" PACK ","")&amp;IF(ITEM_MASTER_CLEAN!L45&lt;&gt;"",ITEM_MASTER_CLEAN!L45&amp;" CAT ","")&amp;IF(ITEM_MASTER_CLEAN!M45&lt;&gt;"",ITEM_MASTER_CLEAN!M45,"")</f>
        <v/>
      </c>
      <c r="E45" s="5" t="str">
        <f aca="false">IF(D45="","No issues","Excluded from cost/value calculations where data missing")</f>
        <v>No issues</v>
      </c>
    </row>
    <row r="46" customFormat="false" ht="15" hidden="false" customHeight="false" outlineLevel="0" collapsed="false">
      <c r="A46" s="5" t="n">
        <f aca="false">ITEM_MASTER_CLEAN!A46</f>
        <v>45</v>
      </c>
      <c r="B46" s="5" t="n">
        <f aca="false">ITEM_MASTER_CLEAN!B46</f>
        <v>47526</v>
      </c>
      <c r="C46" s="5" t="str">
        <f aca="false">ITEM_MASTER_CLEAN!C46</f>
        <v>CREPE DUTCH 105498 100X63G</v>
      </c>
      <c r="D46" s="5" t="str">
        <f aca="false">IF(ITEM_MASTER_CLEAN!J46&lt;&gt;"",ITEM_MASTER_CLEAN!J46&amp;" COST ","")&amp;IF(ITEM_MASTER_CLEAN!K46&lt;&gt;"",ITEM_MASTER_CLEAN!K46&amp;" PACK ","")&amp;IF(ITEM_MASTER_CLEAN!L46&lt;&gt;"",ITEM_MASTER_CLEAN!L46&amp;" CAT ","")&amp;IF(ITEM_MASTER_CLEAN!M46&lt;&gt;"",ITEM_MASTER_CLEAN!M46,"")</f>
        <v/>
      </c>
      <c r="E46" s="5" t="str">
        <f aca="false">IF(D46="","No issues","Excluded from cost/value calculations where data missing")</f>
        <v>No issues</v>
      </c>
    </row>
    <row r="47" customFormat="false" ht="15" hidden="false" customHeight="false" outlineLevel="0" collapsed="false">
      <c r="A47" s="5" t="n">
        <f aca="false">ITEM_MASTER_CLEAN!A47</f>
        <v>46</v>
      </c>
      <c r="B47" s="5" t="n">
        <f aca="false">ITEM_MASTER_CLEAN!B47</f>
        <v>49632</v>
      </c>
      <c r="C47" s="5" t="str">
        <f aca="false">ITEM_MASTER_CLEAN!C47</f>
        <v>WAFFLE BELGIAN VAN IND.WRAP 80X70G</v>
      </c>
      <c r="D47" s="5" t="str">
        <f aca="false">IF(ITEM_MASTER_CLEAN!J47&lt;&gt;"",ITEM_MASTER_CLEAN!J47&amp;" COST ","")&amp;IF(ITEM_MASTER_CLEAN!K47&lt;&gt;"",ITEM_MASTER_CLEAN!K47&amp;" PACK ","")&amp;IF(ITEM_MASTER_CLEAN!L47&lt;&gt;"",ITEM_MASTER_CLEAN!L47&amp;" CAT ","")&amp;IF(ITEM_MASTER_CLEAN!M47&lt;&gt;"",ITEM_MASTER_CLEAN!M47,"")</f>
        <v/>
      </c>
      <c r="E47" s="5" t="str">
        <f aca="false">IF(D47="","No issues","Excluded from cost/value calculations where data missing")</f>
        <v>No issues</v>
      </c>
    </row>
    <row r="48" customFormat="false" ht="15" hidden="false" customHeight="false" outlineLevel="0" collapsed="false">
      <c r="A48" s="5" t="n">
        <f aca="false">ITEM_MASTER_CLEAN!A48</f>
        <v>47</v>
      </c>
      <c r="B48" s="5" t="n">
        <f aca="false">ITEM_MASTER_CLEAN!B48</f>
        <v>44967</v>
      </c>
      <c r="C48" s="5" t="str">
        <f aca="false">ITEM_MASTER_CLEAN!C48</f>
        <v>CHOC FONDANT BKD V-FX956 32X105G</v>
      </c>
      <c r="D48" s="5" t="str">
        <f aca="false">IF(ITEM_MASTER_CLEAN!J48&lt;&gt;"",ITEM_MASTER_CLEAN!J48&amp;" COST ","")&amp;IF(ITEM_MASTER_CLEAN!K48&lt;&gt;"",ITEM_MASTER_CLEAN!K48&amp;" PACK ","")&amp;IF(ITEM_MASTER_CLEAN!L48&lt;&gt;"",ITEM_MASTER_CLEAN!L48&amp;" CAT ","")&amp;IF(ITEM_MASTER_CLEAN!M48&lt;&gt;"",ITEM_MASTER_CLEAN!M48,"")</f>
        <v/>
      </c>
      <c r="E48" s="5" t="str">
        <f aca="false">IF(D48="","No issues","Excluded from cost/value calculations where data missing")</f>
        <v>No issues</v>
      </c>
    </row>
    <row r="49" customFormat="false" ht="15" hidden="false" customHeight="false" outlineLevel="0" collapsed="false">
      <c r="A49" s="5" t="n">
        <f aca="false">ITEM_MASTER_CLEAN!A49</f>
        <v>48</v>
      </c>
      <c r="B49" s="5" t="n">
        <f aca="false">ITEM_MASTER_CLEAN!B49</f>
        <v>33785</v>
      </c>
      <c r="C49" s="5" t="str">
        <f aca="false">ITEM_MASTER_CLEAN!C49</f>
        <v>LADIP CAKE MARSHMELLOW C.DOUGH X2</v>
      </c>
      <c r="D49" s="5" t="str">
        <f aca="false">IF(ITEM_MASTER_CLEAN!J49&lt;&gt;"",ITEM_MASTER_CLEAN!J49&amp;" COST ","")&amp;IF(ITEM_MASTER_CLEAN!K49&lt;&gt;"",ITEM_MASTER_CLEAN!K49&amp;" PACK ","")&amp;IF(ITEM_MASTER_CLEAN!L49&lt;&gt;"",ITEM_MASTER_CLEAN!L49&amp;" CAT ","")&amp;IF(ITEM_MASTER_CLEAN!M49&lt;&gt;"",ITEM_MASTER_CLEAN!M49,"")</f>
        <v/>
      </c>
      <c r="E49" s="5" t="str">
        <f aca="false">IF(D49="","No issues","Excluded from cost/value calculations where data missing")</f>
        <v>No issues</v>
      </c>
    </row>
    <row r="50" customFormat="false" ht="15" hidden="false" customHeight="false" outlineLevel="0" collapsed="false">
      <c r="A50" s="5" t="n">
        <f aca="false">ITEM_MASTER_CLEAN!A50</f>
        <v>49</v>
      </c>
      <c r="B50" s="5" t="n">
        <f aca="false">ITEM_MASTER_CLEAN!B50</f>
        <v>33784</v>
      </c>
      <c r="C50" s="5" t="str">
        <f aca="false">ITEM_MASTER_CLEAN!C50</f>
        <v>LADIP CAKE CARNIVAL 10" X2</v>
      </c>
      <c r="D50" s="5" t="str">
        <f aca="false">IF(ITEM_MASTER_CLEAN!J50&lt;&gt;"",ITEM_MASTER_CLEAN!J50&amp;" COST ","")&amp;IF(ITEM_MASTER_CLEAN!K50&lt;&gt;"",ITEM_MASTER_CLEAN!K50&amp;" PACK ","")&amp;IF(ITEM_MASTER_CLEAN!L50&lt;&gt;"",ITEM_MASTER_CLEAN!L50&amp;" CAT ","")&amp;IF(ITEM_MASTER_CLEAN!M50&lt;&gt;"",ITEM_MASTER_CLEAN!M50,"")</f>
        <v/>
      </c>
      <c r="E50" s="5" t="str">
        <f aca="false">IF(D50="","No issues","Excluded from cost/value calculations where data missing")</f>
        <v>No issues</v>
      </c>
    </row>
    <row r="51" customFormat="false" ht="15" hidden="false" customHeight="false" outlineLevel="0" collapsed="false">
      <c r="A51" s="5" t="n">
        <f aca="false">ITEM_MASTER_CLEAN!A51</f>
        <v>50</v>
      </c>
      <c r="B51" s="5" t="n">
        <f aca="false">ITEM_MASTER_CLEAN!B51</f>
        <v>33780</v>
      </c>
      <c r="C51" s="5" t="str">
        <f aca="false">ITEM_MASTER_CLEAN!C51</f>
        <v>LADIP CAKE RAINBOW X2</v>
      </c>
      <c r="D51" s="5" t="str">
        <f aca="false">IF(ITEM_MASTER_CLEAN!J51&lt;&gt;"",ITEM_MASTER_CLEAN!J51&amp;" COST ","")&amp;IF(ITEM_MASTER_CLEAN!K51&lt;&gt;"",ITEM_MASTER_CLEAN!K51&amp;" PACK ","")&amp;IF(ITEM_MASTER_CLEAN!L51&lt;&gt;"",ITEM_MASTER_CLEAN!L51&amp;" CAT ","")&amp;IF(ITEM_MASTER_CLEAN!M51&lt;&gt;"",ITEM_MASTER_CLEAN!M51,"")</f>
        <v/>
      </c>
      <c r="E51" s="5" t="str">
        <f aca="false">IF(D51="","No issues","Excluded from cost/value calculations where data missing")</f>
        <v>No issues</v>
      </c>
    </row>
    <row r="52" customFormat="false" ht="15" hidden="false" customHeight="false" outlineLevel="0" collapsed="false">
      <c r="A52" s="5" t="n">
        <f aca="false">ITEM_MASTER_CLEAN!A52</f>
        <v>51</v>
      </c>
      <c r="B52" s="5" t="n">
        <f aca="false">ITEM_MASTER_CLEAN!B52</f>
        <v>28983</v>
      </c>
      <c r="C52" s="5" t="str">
        <f aca="false">ITEM_MASTER_CLEAN!C52</f>
        <v>BROWNIE PLAIN 10" 14PC X2</v>
      </c>
      <c r="D52" s="5" t="str">
        <f aca="false">IF(ITEM_MASTER_CLEAN!J52&lt;&gt;"",ITEM_MASTER_CLEAN!J52&amp;" COST ","")&amp;IF(ITEM_MASTER_CLEAN!K52&lt;&gt;"",ITEM_MASTER_CLEAN!K52&amp;" PACK ","")&amp;IF(ITEM_MASTER_CLEAN!L52&lt;&gt;"",ITEM_MASTER_CLEAN!L52&amp;" CAT ","")&amp;IF(ITEM_MASTER_CLEAN!M52&lt;&gt;"",ITEM_MASTER_CLEAN!M52,"")</f>
        <v/>
      </c>
      <c r="E52" s="5" t="str">
        <f aca="false">IF(D52="","No issues","Excluded from cost/value calculations where data missing")</f>
        <v>No issues</v>
      </c>
    </row>
    <row r="53" customFormat="false" ht="15" hidden="false" customHeight="false" outlineLevel="0" collapsed="false">
      <c r="A53" s="5" t="n">
        <f aca="false">ITEM_MASTER_CLEAN!A53</f>
        <v>52</v>
      </c>
      <c r="B53" s="5" t="n">
        <f aca="false">ITEM_MASTER_CLEAN!B53</f>
        <v>28988</v>
      </c>
      <c r="C53" s="5" t="str">
        <f aca="false">ITEM_MASTER_CLEAN!C53</f>
        <v>CAKE CARROT BEAUX 10" 14PC</v>
      </c>
      <c r="D53" s="5" t="str">
        <f aca="false">IF(ITEM_MASTER_CLEAN!J53&lt;&gt;"",ITEM_MASTER_CLEAN!J53&amp;" COST ","")&amp;IF(ITEM_MASTER_CLEAN!K53&lt;&gt;"",ITEM_MASTER_CLEAN!K53&amp;" PACK ","")&amp;IF(ITEM_MASTER_CLEAN!L53&lt;&gt;"",ITEM_MASTER_CLEAN!L53&amp;" CAT ","")&amp;IF(ITEM_MASTER_CLEAN!M53&lt;&gt;"",ITEM_MASTER_CLEAN!M53,"")</f>
        <v/>
      </c>
      <c r="E53" s="5" t="str">
        <f aca="false">IF(D53="","No issues","Excluded from cost/value calculations where data missing")</f>
        <v>No issues</v>
      </c>
    </row>
    <row r="54" customFormat="false" ht="15" hidden="false" customHeight="false" outlineLevel="0" collapsed="false">
      <c r="A54" s="5" t="n">
        <f aca="false">ITEM_MASTER_CLEAN!A54</f>
        <v>53</v>
      </c>
      <c r="B54" s="5" t="n">
        <f aca="false">ITEM_MASTER_CLEAN!B54</f>
        <v>28989</v>
      </c>
      <c r="C54" s="5" t="str">
        <f aca="false">ITEM_MASTER_CLEAN!C54</f>
        <v>CAKE REODELIGHT 10" 16PC</v>
      </c>
      <c r="D54" s="5" t="str">
        <f aca="false">IF(ITEM_MASTER_CLEAN!J54&lt;&gt;"",ITEM_MASTER_CLEAN!J54&amp;" COST ","")&amp;IF(ITEM_MASTER_CLEAN!K54&lt;&gt;"",ITEM_MASTER_CLEAN!K54&amp;" PACK ","")&amp;IF(ITEM_MASTER_CLEAN!L54&lt;&gt;"",ITEM_MASTER_CLEAN!L54&amp;" CAT ","")&amp;IF(ITEM_MASTER_CLEAN!M54&lt;&gt;"",ITEM_MASTER_CLEAN!M54,"")</f>
        <v/>
      </c>
      <c r="E54" s="5" t="str">
        <f aca="false">IF(D54="","No issues","Excluded from cost/value calculations where data missing")</f>
        <v>No issues</v>
      </c>
    </row>
    <row r="55" customFormat="false" ht="15" hidden="false" customHeight="false" outlineLevel="0" collapsed="false">
      <c r="A55" s="5" t="n">
        <f aca="false">ITEM_MASTER_CLEAN!A55</f>
        <v>54</v>
      </c>
      <c r="B55" s="5" t="n">
        <f aca="false">ITEM_MASTER_CLEAN!B55</f>
        <v>28990</v>
      </c>
      <c r="C55" s="5" t="str">
        <f aca="false">ITEM_MASTER_CLEAN!C55</f>
        <v>CAKE TIRAMISU 9" 12PC</v>
      </c>
      <c r="D55" s="5" t="str">
        <f aca="false">IF(ITEM_MASTER_CLEAN!J55&lt;&gt;"",ITEM_MASTER_CLEAN!J55&amp;" COST ","")&amp;IF(ITEM_MASTER_CLEAN!K55&lt;&gt;"",ITEM_MASTER_CLEAN!K55&amp;" PACK ","")&amp;IF(ITEM_MASTER_CLEAN!L55&lt;&gt;"",ITEM_MASTER_CLEAN!L55&amp;" CAT ","")&amp;IF(ITEM_MASTER_CLEAN!M55&lt;&gt;"",ITEM_MASTER_CLEAN!M55,"")</f>
        <v/>
      </c>
      <c r="E55" s="5" t="str">
        <f aca="false">IF(D55="","No issues","Excluded from cost/value calculations where data missing")</f>
        <v>No issues</v>
      </c>
    </row>
    <row r="56" customFormat="false" ht="15" hidden="false" customHeight="false" outlineLevel="0" collapsed="false">
      <c r="A56" s="5" t="n">
        <f aca="false">ITEM_MASTER_CLEAN!A56</f>
        <v>55</v>
      </c>
      <c r="B56" s="5" t="n">
        <f aca="false">ITEM_MASTER_CLEAN!B56</f>
        <v>28992</v>
      </c>
      <c r="C56" s="5" t="str">
        <f aca="false">ITEM_MASTER_CLEAN!C56</f>
        <v>CAKE RED VELVET 10" 14PC  X1</v>
      </c>
      <c r="D56" s="5" t="str">
        <f aca="false">IF(ITEM_MASTER_CLEAN!J56&lt;&gt;"",ITEM_MASTER_CLEAN!J56&amp;" COST ","")&amp;IF(ITEM_MASTER_CLEAN!K56&lt;&gt;"",ITEM_MASTER_CLEAN!K56&amp;" PACK ","")&amp;IF(ITEM_MASTER_CLEAN!L56&lt;&gt;"",ITEM_MASTER_CLEAN!L56&amp;" CAT ","")&amp;IF(ITEM_MASTER_CLEAN!M56&lt;&gt;"",ITEM_MASTER_CLEAN!M56,"")</f>
        <v/>
      </c>
      <c r="E56" s="5" t="str">
        <f aca="false">IF(D56="","No issues","Excluded from cost/value calculations where data missing")</f>
        <v>No issues</v>
      </c>
    </row>
    <row r="57" customFormat="false" ht="15" hidden="false" customHeight="false" outlineLevel="0" collapsed="false">
      <c r="A57" s="5" t="n">
        <f aca="false">ITEM_MASTER_CLEAN!A57</f>
        <v>56</v>
      </c>
      <c r="B57" s="5" t="n">
        <f aca="false">ITEM_MASTER_CLEAN!B57</f>
        <v>27030</v>
      </c>
      <c r="C57" s="5" t="str">
        <f aca="false">ITEM_MASTER_CLEAN!C57</f>
        <v>*NOUVEAU - gât choc décadent 6" 6un</v>
      </c>
      <c r="D57" s="5" t="str">
        <f aca="false">IF(ITEM_MASTER_CLEAN!J57&lt;&gt;"",ITEM_MASTER_CLEAN!J57&amp;" COST ","")&amp;IF(ITEM_MASTER_CLEAN!K57&lt;&gt;"",ITEM_MASTER_CLEAN!K57&amp;" PACK ","")&amp;IF(ITEM_MASTER_CLEAN!L57&lt;&gt;"",ITEM_MASTER_CLEAN!L57&amp;" CAT ","")&amp;IF(ITEM_MASTER_CLEAN!M57&lt;&gt;"",ITEM_MASTER_CLEAN!M57,"")</f>
        <v/>
      </c>
      <c r="E57" s="5" t="str">
        <f aca="false">IF(D57="","No issues","Excluded from cost/value calculations where data missing")</f>
        <v>No issues</v>
      </c>
    </row>
    <row r="58" customFormat="false" ht="15" hidden="false" customHeight="false" outlineLevel="0" collapsed="false">
      <c r="A58" s="5" t="n">
        <f aca="false">ITEM_MASTER_CLEAN!A58</f>
        <v>57</v>
      </c>
      <c r="B58" s="5" t="n">
        <f aca="false">ITEM_MASTER_CLEAN!B58</f>
        <v>27031</v>
      </c>
      <c r="C58" s="5" t="str">
        <f aca="false">ITEM_MASTER_CLEAN!C58</f>
        <v>*NOUVEAU - gât choc-noiset. 6" 6un</v>
      </c>
      <c r="D58" s="5" t="str">
        <f aca="false">IF(ITEM_MASTER_CLEAN!J58&lt;&gt;"",ITEM_MASTER_CLEAN!J58&amp;" COST ","")&amp;IF(ITEM_MASTER_CLEAN!K58&lt;&gt;"",ITEM_MASTER_CLEAN!K58&amp;" PACK ","")&amp;IF(ITEM_MASTER_CLEAN!L58&lt;&gt;"",ITEM_MASTER_CLEAN!L58&amp;" CAT ","")&amp;IF(ITEM_MASTER_CLEAN!M58&lt;&gt;"",ITEM_MASTER_CLEAN!M58,"")</f>
        <v/>
      </c>
      <c r="E58" s="5" t="str">
        <f aca="false">IF(D58="","No issues","Excluded from cost/value calculations where data missing")</f>
        <v>No issues</v>
      </c>
    </row>
    <row r="59" customFormat="false" ht="15" hidden="false" customHeight="false" outlineLevel="0" collapsed="false">
      <c r="A59" s="5" t="n">
        <f aca="false">ITEM_MASTER_CLEAN!A59</f>
        <v>58</v>
      </c>
      <c r="B59" s="5" t="n">
        <f aca="false">ITEM_MASTER_CLEAN!B59</f>
        <v>27032</v>
      </c>
      <c r="C59" s="5" t="str">
        <f aca="false">ITEM_MASTER_CLEAN!C59</f>
        <v>*NOUVEAU - gât Mangue Msse 6" 6un</v>
      </c>
      <c r="D59" s="5" t="str">
        <f aca="false">IF(ITEM_MASTER_CLEAN!J59&lt;&gt;"",ITEM_MASTER_CLEAN!J59&amp;" COST ","")&amp;IF(ITEM_MASTER_CLEAN!K59&lt;&gt;"",ITEM_MASTER_CLEAN!K59&amp;" PACK ","")&amp;IF(ITEM_MASTER_CLEAN!L59&lt;&gt;"",ITEM_MASTER_CLEAN!L59&amp;" CAT ","")&amp;IF(ITEM_MASTER_CLEAN!M59&lt;&gt;"",ITEM_MASTER_CLEAN!M59,"")</f>
        <v/>
      </c>
      <c r="E59" s="5" t="str">
        <f aca="false">IF(D59="","No issues","Excluded from cost/value calculations where data missing")</f>
        <v>No issues</v>
      </c>
    </row>
    <row r="60" customFormat="false" ht="15" hidden="false" customHeight="false" outlineLevel="0" collapsed="false">
      <c r="A60" s="5" t="n">
        <f aca="false">ITEM_MASTER_CLEAN!A60</f>
        <v>59</v>
      </c>
      <c r="B60" s="5" t="n">
        <f aca="false">ITEM_MASTER_CLEAN!B60</f>
        <v>27033</v>
      </c>
      <c r="C60" s="5" t="str">
        <f aca="false">ITEM_MASTER_CLEAN!C60</f>
        <v>LADIP CAKE RED BERRY MOUSSE 6" 6UN</v>
      </c>
      <c r="D60" s="5" t="str">
        <f aca="false">IF(ITEM_MASTER_CLEAN!J60&lt;&gt;"",ITEM_MASTER_CLEAN!J60&amp;" COST ","")&amp;IF(ITEM_MASTER_CLEAN!K60&lt;&gt;"",ITEM_MASTER_CLEAN!K60&amp;" PACK ","")&amp;IF(ITEM_MASTER_CLEAN!L60&lt;&gt;"",ITEM_MASTER_CLEAN!L60&amp;" CAT ","")&amp;IF(ITEM_MASTER_CLEAN!M60&lt;&gt;"",ITEM_MASTER_CLEAN!M60,"")</f>
        <v/>
      </c>
      <c r="E60" s="5" t="str">
        <f aca="false">IF(D60="","No issues","Excluded from cost/value calculations where data missing")</f>
        <v>No issues</v>
      </c>
    </row>
    <row r="61" customFormat="false" ht="15" hidden="false" customHeight="false" outlineLevel="0" collapsed="false">
      <c r="A61" s="5" t="n">
        <f aca="false">ITEM_MASTER_CLEAN!A61</f>
        <v>60</v>
      </c>
      <c r="B61" s="5" t="n">
        <f aca="false">ITEM_MASTER_CLEAN!B61</f>
        <v>27034</v>
      </c>
      <c r="C61" s="5" t="str">
        <f aca="false">ITEM_MASTER_CLEAN!C61</f>
        <v>*NOUVEAU -gât d'anniversaire 6"6un</v>
      </c>
      <c r="D61" s="5" t="str">
        <f aca="false">IF(ITEM_MASTER_CLEAN!J61&lt;&gt;"",ITEM_MASTER_CLEAN!J61&amp;" COST ","")&amp;IF(ITEM_MASTER_CLEAN!K61&lt;&gt;"",ITEM_MASTER_CLEAN!K61&amp;" PACK ","")&amp;IF(ITEM_MASTER_CLEAN!L61&lt;&gt;"",ITEM_MASTER_CLEAN!L61&amp;" CAT ","")&amp;IF(ITEM_MASTER_CLEAN!M61&lt;&gt;"",ITEM_MASTER_CLEAN!M61,"")</f>
        <v/>
      </c>
      <c r="E61" s="5" t="str">
        <f aca="false">IF(D61="","No issues","Excluded from cost/value calculations where data missing")</f>
        <v>No issues</v>
      </c>
    </row>
    <row r="62" customFormat="false" ht="15" hidden="false" customHeight="false" outlineLevel="0" collapsed="false">
      <c r="A62" s="5" t="n">
        <f aca="false">ITEM_MASTER_CLEAN!A62</f>
        <v>61</v>
      </c>
      <c r="B62" s="5" t="n">
        <f aca="false">ITEM_MASTER_CLEAN!B62</f>
        <v>28967</v>
      </c>
      <c r="C62" s="5" t="str">
        <f aca="false">ITEM_MASTER_CLEAN!C62</f>
        <v>PIE KEY LIME GRAHAM 10" KILO 12PC</v>
      </c>
      <c r="D62" s="5" t="str">
        <f aca="false">IF(ITEM_MASTER_CLEAN!J62&lt;&gt;"",ITEM_MASTER_CLEAN!J62&amp;" COST ","")&amp;IF(ITEM_MASTER_CLEAN!K62&lt;&gt;"",ITEM_MASTER_CLEAN!K62&amp;" PACK ","")&amp;IF(ITEM_MASTER_CLEAN!L62&lt;&gt;"",ITEM_MASTER_CLEAN!L62&amp;" CAT ","")&amp;IF(ITEM_MASTER_CLEAN!M62&lt;&gt;"",ITEM_MASTER_CLEAN!M62,"")</f>
        <v/>
      </c>
      <c r="E62" s="5" t="str">
        <f aca="false">IF(D62="","No issues","Excluded from cost/value calculations where data missing")</f>
        <v>No issues</v>
      </c>
    </row>
    <row r="63" customFormat="false" ht="15" hidden="false" customHeight="false" outlineLevel="0" collapsed="false">
      <c r="A63" s="5" t="n">
        <f aca="false">ITEM_MASTER_CLEAN!A63</f>
        <v>62</v>
      </c>
      <c r="B63" s="5" t="n">
        <f aca="false">ITEM_MASTER_CLEAN!B63</f>
        <v>31229</v>
      </c>
      <c r="C63" s="5" t="str">
        <f aca="false">ITEM_MASTER_CLEAN!C63</f>
        <v>LC ICE CRM MIX VANILLA 2X10L</v>
      </c>
      <c r="D63" s="5" t="str">
        <f aca="false">IF(ITEM_MASTER_CLEAN!J63&lt;&gt;"",ITEM_MASTER_CLEAN!J63&amp;" COST ","")&amp;IF(ITEM_MASTER_CLEAN!K63&lt;&gt;"",ITEM_MASTER_CLEAN!K63&amp;" PACK ","")&amp;IF(ITEM_MASTER_CLEAN!L63&lt;&gt;"",ITEM_MASTER_CLEAN!L63&amp;" CAT ","")&amp;IF(ITEM_MASTER_CLEAN!M63&lt;&gt;"",ITEM_MASTER_CLEAN!M63,"")</f>
        <v/>
      </c>
      <c r="E63" s="5" t="str">
        <f aca="false">IF(D63="","No issues","Excluded from cost/value calculations where data missing")</f>
        <v>No issues</v>
      </c>
    </row>
    <row r="64" customFormat="false" ht="15" hidden="false" customHeight="false" outlineLevel="0" collapsed="false">
      <c r="A64" s="5" t="n">
        <f aca="false">ITEM_MASTER_CLEAN!A64</f>
        <v>63</v>
      </c>
      <c r="B64" s="5" t="n">
        <f aca="false">ITEM_MASTER_CLEAN!B64</f>
        <v>36756</v>
      </c>
      <c r="C64" s="5" t="str">
        <f aca="false">ITEM_MASTER_CLEAN!C64</f>
        <v>LADIP MANGO S/SERVE VEGAN 8X1.89L</v>
      </c>
      <c r="D64" s="5" t="str">
        <f aca="false">IF(ITEM_MASTER_CLEAN!J64&lt;&gt;"",ITEM_MASTER_CLEAN!J64&amp;" COST ","")&amp;IF(ITEM_MASTER_CLEAN!K64&lt;&gt;"",ITEM_MASTER_CLEAN!K64&amp;" PACK ","")&amp;IF(ITEM_MASTER_CLEAN!L64&lt;&gt;"",ITEM_MASTER_CLEAN!L64&amp;" CAT ","")&amp;IF(ITEM_MASTER_CLEAN!M64&lt;&gt;"",ITEM_MASTER_CLEAN!M64,"")</f>
        <v/>
      </c>
      <c r="E64" s="5" t="str">
        <f aca="false">IF(D64="","No issues","Excluded from cost/value calculations where data missing")</f>
        <v>No issues</v>
      </c>
    </row>
    <row r="65" customFormat="false" ht="15" hidden="false" customHeight="false" outlineLevel="0" collapsed="false">
      <c r="A65" s="5" t="n">
        <f aca="false">ITEM_MASTER_CLEAN!A65</f>
        <v>64</v>
      </c>
      <c r="B65" s="5" t="n">
        <f aca="false">ITEM_MASTER_CLEAN!B65</f>
        <v>31231</v>
      </c>
      <c r="C65" s="5" t="str">
        <f aca="false">ITEM_MASTER_CLEAN!C65</f>
        <v>LC ICE CRM MIX CHOCOLATE 2X10L</v>
      </c>
      <c r="D65" s="5" t="str">
        <f aca="false">IF(ITEM_MASTER_CLEAN!J65&lt;&gt;"",ITEM_MASTER_CLEAN!J65&amp;" COST ","")&amp;IF(ITEM_MASTER_CLEAN!K65&lt;&gt;"",ITEM_MASTER_CLEAN!K65&amp;" PACK ","")&amp;IF(ITEM_MASTER_CLEAN!L65&lt;&gt;"",ITEM_MASTER_CLEAN!L65&amp;" CAT ","")&amp;IF(ITEM_MASTER_CLEAN!M65&lt;&gt;"",ITEM_MASTER_CLEAN!M65,"")</f>
        <v/>
      </c>
      <c r="E65" s="5" t="str">
        <f aca="false">IF(D65="","No issues","Excluded from cost/value calculations where data missing")</f>
        <v>No issues</v>
      </c>
    </row>
    <row r="66" customFormat="false" ht="15" hidden="false" customHeight="false" outlineLevel="0" collapsed="false">
      <c r="A66" s="5" t="n">
        <f aca="false">ITEM_MASTER_CLEAN!A66</f>
        <v>65</v>
      </c>
      <c r="B66" s="5" t="n">
        <f aca="false">ITEM_MASTER_CLEAN!B66</f>
        <v>30283</v>
      </c>
      <c r="C66" s="5" t="str">
        <f aca="false">ITEM_MASTER_CLEAN!C66</f>
        <v>BEV MILKSHAKE CARAMILK 12X310ML</v>
      </c>
      <c r="D66" s="5" t="str">
        <f aca="false">IF(ITEM_MASTER_CLEAN!J66&lt;&gt;"",ITEM_MASTER_CLEAN!J66&amp;" COST ","")&amp;IF(ITEM_MASTER_CLEAN!K66&lt;&gt;"",ITEM_MASTER_CLEAN!K66&amp;" PACK ","")&amp;IF(ITEM_MASTER_CLEAN!L66&lt;&gt;"",ITEM_MASTER_CLEAN!L66&amp;" CAT ","")&amp;IF(ITEM_MASTER_CLEAN!M66&lt;&gt;"",ITEM_MASTER_CLEAN!M66,"")</f>
        <v/>
      </c>
      <c r="E66" s="5" t="str">
        <f aca="false">IF(D66="","No issues","Excluded from cost/value calculations where data missing")</f>
        <v>No issues</v>
      </c>
    </row>
    <row r="67" customFormat="false" ht="15" hidden="false" customHeight="false" outlineLevel="0" collapsed="false">
      <c r="A67" s="5" t="n">
        <f aca="false">ITEM_MASTER_CLEAN!A67</f>
        <v>66</v>
      </c>
      <c r="B67" s="5" t="n">
        <f aca="false">ITEM_MASTER_CLEAN!B67</f>
        <v>30282</v>
      </c>
      <c r="C67" s="5" t="str">
        <f aca="false">ITEM_MASTER_CLEAN!C67</f>
        <v>BEV MILKSHAKE COFFE CRISP 12X473ML</v>
      </c>
      <c r="D67" s="5" t="str">
        <f aca="false">IF(ITEM_MASTER_CLEAN!J67&lt;&gt;"",ITEM_MASTER_CLEAN!J67&amp;" COST ","")&amp;IF(ITEM_MASTER_CLEAN!K67&lt;&gt;"",ITEM_MASTER_CLEAN!K67&amp;" PACK ","")&amp;IF(ITEM_MASTER_CLEAN!L67&lt;&gt;"",ITEM_MASTER_CLEAN!L67&amp;" CAT ","")&amp;IF(ITEM_MASTER_CLEAN!M67&lt;&gt;"",ITEM_MASTER_CLEAN!M67,"")</f>
        <v/>
      </c>
      <c r="E67" s="5" t="str">
        <f aca="false">IF(D67="","No issues","Excluded from cost/value calculations where data missing")</f>
        <v>No issues</v>
      </c>
    </row>
    <row r="68" customFormat="false" ht="15" hidden="false" customHeight="false" outlineLevel="0" collapsed="false">
      <c r="A68" s="5" t="n">
        <f aca="false">ITEM_MASTER_CLEAN!A68</f>
        <v>67</v>
      </c>
      <c r="B68" s="5" t="n">
        <f aca="false">ITEM_MASTER_CLEAN!B68</f>
        <v>31225</v>
      </c>
      <c r="C68" s="5" t="str">
        <f aca="false">ITEM_MASTER_CLEAN!C68</f>
        <v>PRVT MILK HOMO 2L</v>
      </c>
      <c r="D68" s="5" t="str">
        <f aca="false">IF(ITEM_MASTER_CLEAN!J68&lt;&gt;"",ITEM_MASTER_CLEAN!J68&amp;" COST ","")&amp;IF(ITEM_MASTER_CLEAN!K68&lt;&gt;"",ITEM_MASTER_CLEAN!K68&amp;" PACK ","")&amp;IF(ITEM_MASTER_CLEAN!L68&lt;&gt;"",ITEM_MASTER_CLEAN!L68&amp;" CAT ","")&amp;IF(ITEM_MASTER_CLEAN!M68&lt;&gt;"",ITEM_MASTER_CLEAN!M68,"")</f>
        <v/>
      </c>
      <c r="E68" s="5" t="str">
        <f aca="false">IF(D68="","No issues","Excluded from cost/value calculations where data missing")</f>
        <v>No issues</v>
      </c>
    </row>
    <row r="69" customFormat="false" ht="15" hidden="false" customHeight="false" outlineLevel="0" collapsed="false">
      <c r="A69" s="5" t="n">
        <f aca="false">ITEM_MASTER_CLEAN!A69</f>
        <v>68</v>
      </c>
      <c r="B69" s="5" t="n">
        <f aca="false">ITEM_MASTER_CLEAN!B69</f>
        <v>31227</v>
      </c>
      <c r="C69" s="5" t="str">
        <f aca="false">ITEM_MASTER_CLEAN!C69</f>
        <v>PRVT MILK CHOCOLATE 2L</v>
      </c>
      <c r="D69" s="5" t="str">
        <f aca="false">IF(ITEM_MASTER_CLEAN!J69&lt;&gt;"",ITEM_MASTER_CLEAN!J69&amp;" COST ","")&amp;IF(ITEM_MASTER_CLEAN!K69&lt;&gt;"",ITEM_MASTER_CLEAN!K69&amp;" PACK ","")&amp;IF(ITEM_MASTER_CLEAN!L69&lt;&gt;"",ITEM_MASTER_CLEAN!L69&amp;" CAT ","")&amp;IF(ITEM_MASTER_CLEAN!M69&lt;&gt;"",ITEM_MASTER_CLEAN!M69,"")</f>
        <v/>
      </c>
      <c r="E69" s="5" t="str">
        <f aca="false">IF(D69="","No issues","Excluded from cost/value calculations where data missing")</f>
        <v>No issues</v>
      </c>
    </row>
    <row r="70" customFormat="false" ht="15" hidden="false" customHeight="false" outlineLevel="0" collapsed="false">
      <c r="A70" s="5" t="n">
        <f aca="false">ITEM_MASTER_CLEAN!A70</f>
        <v>69</v>
      </c>
      <c r="B70" s="5" t="n">
        <f aca="false">ITEM_MASTER_CLEAN!B70</f>
        <v>31226</v>
      </c>
      <c r="C70" s="5" t="str">
        <f aca="false">ITEM_MASTER_CLEAN!C70</f>
        <v>PRVT MILK STRAWBERRY 473ML</v>
      </c>
      <c r="D70" s="5" t="str">
        <f aca="false">IF(ITEM_MASTER_CLEAN!J70&lt;&gt;"",ITEM_MASTER_CLEAN!J70&amp;" COST ","")&amp;IF(ITEM_MASTER_CLEAN!K70&lt;&gt;"",ITEM_MASTER_CLEAN!K70&amp;" PACK ","")&amp;IF(ITEM_MASTER_CLEAN!L70&lt;&gt;"",ITEM_MASTER_CLEAN!L70&amp;" CAT ","")&amp;IF(ITEM_MASTER_CLEAN!M70&lt;&gt;"",ITEM_MASTER_CLEAN!M70,"")</f>
        <v/>
      </c>
      <c r="E70" s="5" t="str">
        <f aca="false">IF(D70="","No issues","Excluded from cost/value calculations where data missing")</f>
        <v>No issues</v>
      </c>
    </row>
    <row r="71" customFormat="false" ht="15" hidden="false" customHeight="false" outlineLevel="0" collapsed="false">
      <c r="A71" s="5" t="n">
        <f aca="false">ITEM_MASTER_CLEAN!A71</f>
        <v>70</v>
      </c>
      <c r="B71" s="5" t="n">
        <f aca="false">ITEM_MASTER_CLEAN!B71</f>
        <v>31221</v>
      </c>
      <c r="C71" s="5" t="str">
        <f aca="false">ITEM_MASTER_CLEAN!C71</f>
        <v>WHIP CREAM AEROSOL 19% 12X225G</v>
      </c>
      <c r="D71" s="5" t="str">
        <f aca="false">IF(ITEM_MASTER_CLEAN!J71&lt;&gt;"",ITEM_MASTER_CLEAN!J71&amp;" COST ","")&amp;IF(ITEM_MASTER_CLEAN!K71&lt;&gt;"",ITEM_MASTER_CLEAN!K71&amp;" PACK ","")&amp;IF(ITEM_MASTER_CLEAN!L71&lt;&gt;"",ITEM_MASTER_CLEAN!L71&amp;" CAT ","")&amp;IF(ITEM_MASTER_CLEAN!M71&lt;&gt;"",ITEM_MASTER_CLEAN!M71,"")</f>
        <v/>
      </c>
      <c r="E71" s="5" t="str">
        <f aca="false">IF(D71="","No issues","Excluded from cost/value calculations where data missing")</f>
        <v>No issues</v>
      </c>
    </row>
    <row r="72" customFormat="false" ht="15" hidden="false" customHeight="false" outlineLevel="0" collapsed="false">
      <c r="A72" s="5" t="n">
        <f aca="false">ITEM_MASTER_CLEAN!A72</f>
        <v>71</v>
      </c>
      <c r="B72" s="5" t="n">
        <f aca="false">ITEM_MASTER_CLEAN!B72</f>
        <v>64878</v>
      </c>
      <c r="C72" s="5" t="str">
        <f aca="false">ITEM_MASTER_CLEAN!C72</f>
        <v>DIPP CUP 16OZ PL 31016MTYL PP* 1M</v>
      </c>
      <c r="D72" s="5" t="str">
        <f aca="false">IF(ITEM_MASTER_CLEAN!J72&lt;&gt;"",ITEM_MASTER_CLEAN!J72&amp;" COST ","")&amp;IF(ITEM_MASTER_CLEAN!K72&lt;&gt;"",ITEM_MASTER_CLEAN!K72&amp;" PACK ","")&amp;IF(ITEM_MASTER_CLEAN!L72&lt;&gt;"",ITEM_MASTER_CLEAN!L72&amp;" CAT ","")&amp;IF(ITEM_MASTER_CLEAN!M72&lt;&gt;"",ITEM_MASTER_CLEAN!M72,"")</f>
        <v/>
      </c>
      <c r="E72" s="5" t="str">
        <f aca="false">IF(D72="","No issues","Excluded from cost/value calculations where data missing")</f>
        <v>No issues</v>
      </c>
    </row>
    <row r="73" customFormat="false" ht="15" hidden="false" customHeight="false" outlineLevel="0" collapsed="false">
      <c r="A73" s="5" t="n">
        <f aca="false">ITEM_MASTER_CLEAN!A73</f>
        <v>72</v>
      </c>
      <c r="B73" s="5" t="n">
        <f aca="false">ITEM_MASTER_CLEAN!B73</f>
        <v>61594</v>
      </c>
      <c r="C73" s="5" t="str">
        <f aca="false">ITEM_MASTER_CLEAN!C73</f>
        <v>Couv. Plat 16oz 10x100 units</v>
      </c>
      <c r="D73" s="5" t="str">
        <f aca="false">IF(ITEM_MASTER_CLEAN!J73&lt;&gt;"",ITEM_MASTER_CLEAN!J73&amp;" COST ","")&amp;IF(ITEM_MASTER_CLEAN!K73&lt;&gt;"",ITEM_MASTER_CLEAN!K73&amp;" PACK ","")&amp;IF(ITEM_MASTER_CLEAN!L73&lt;&gt;"",ITEM_MASTER_CLEAN!L73&amp;" CAT ","")&amp;IF(ITEM_MASTER_CLEAN!M73&lt;&gt;"",ITEM_MASTER_CLEAN!M73,"")</f>
        <v/>
      </c>
      <c r="E73" s="5" t="str">
        <f aca="false">IF(D73="","No issues","Excluded from cost/value calculations where data missing")</f>
        <v>No issues</v>
      </c>
    </row>
    <row r="74" customFormat="false" ht="15" hidden="false" customHeight="false" outlineLevel="0" collapsed="false">
      <c r="A74" s="5" t="n">
        <f aca="false">ITEM_MASTER_CLEAN!A74</f>
        <v>73</v>
      </c>
      <c r="B74" s="5" t="n">
        <f aca="false">ITEM_MASTER_CLEAN!B74</f>
        <v>61593</v>
      </c>
      <c r="C74" s="5" t="str">
        <f aca="false">ITEM_MASTER_CLEAN!C74</f>
        <v>LID 16 OZ DOME W/SPOON HOLE PP X100</v>
      </c>
      <c r="D74" s="5" t="str">
        <f aca="false">IF(ITEM_MASTER_CLEAN!J74&lt;&gt;"",ITEM_MASTER_CLEAN!J74&amp;" COST ","")&amp;IF(ITEM_MASTER_CLEAN!K74&lt;&gt;"",ITEM_MASTER_CLEAN!K74&amp;" PACK ","")&amp;IF(ITEM_MASTER_CLEAN!L74&lt;&gt;"",ITEM_MASTER_CLEAN!L74&amp;" CAT ","")&amp;IF(ITEM_MASTER_CLEAN!M74&lt;&gt;"",ITEM_MASTER_CLEAN!M74,"")</f>
        <v/>
      </c>
      <c r="E74" s="5" t="str">
        <f aca="false">IF(D74="","No issues","Excluded from cost/value calculations where data missing")</f>
        <v>No issues</v>
      </c>
    </row>
    <row r="75" customFormat="false" ht="15" hidden="false" customHeight="false" outlineLevel="0" collapsed="false">
      <c r="A75" s="5" t="n">
        <f aca="false">ITEM_MASTER_CLEAN!A75</f>
        <v>74</v>
      </c>
      <c r="B75" s="5" t="n">
        <f aca="false">ITEM_MASTER_CLEAN!B75</f>
        <v>32911</v>
      </c>
      <c r="C75" s="5" t="str">
        <f aca="false">ITEM_MASTER_CLEAN!C75</f>
        <v>Montreal paper cup 16oz</v>
      </c>
      <c r="D75" s="5" t="str">
        <f aca="false">IF(ITEM_MASTER_CLEAN!J75&lt;&gt;"",ITEM_MASTER_CLEAN!J75&amp;" COST ","")&amp;IF(ITEM_MASTER_CLEAN!K75&lt;&gt;"",ITEM_MASTER_CLEAN!K75&amp;" PACK ","")&amp;IF(ITEM_MASTER_CLEAN!L75&lt;&gt;"",ITEM_MASTER_CLEAN!L75&amp;" CAT ","")&amp;IF(ITEM_MASTER_CLEAN!M75&lt;&gt;"",ITEM_MASTER_CLEAN!M75,"")</f>
        <v/>
      </c>
      <c r="E75" s="5" t="str">
        <f aca="false">IF(D75="","No issues","Excluded from cost/value calculations where data missing")</f>
        <v>No issues</v>
      </c>
    </row>
    <row r="76" customFormat="false" ht="15" hidden="false" customHeight="false" outlineLevel="0" collapsed="false">
      <c r="A76" s="5" t="n">
        <f aca="false">ITEM_MASTER_CLEAN!A76</f>
        <v>75</v>
      </c>
      <c r="B76" s="5" t="n">
        <f aca="false">ITEM_MASTER_CLEAN!B76</f>
        <v>32912</v>
      </c>
      <c r="C76" s="5" t="str">
        <f aca="false">ITEM_MASTER_CLEAN!C76</f>
        <v>Montreal 16oz flat lid</v>
      </c>
      <c r="D76" s="5" t="str">
        <f aca="false">IF(ITEM_MASTER_CLEAN!J76&lt;&gt;"",ITEM_MASTER_CLEAN!J76&amp;" COST ","")&amp;IF(ITEM_MASTER_CLEAN!K76&lt;&gt;"",ITEM_MASTER_CLEAN!K76&amp;" PACK ","")&amp;IF(ITEM_MASTER_CLEAN!L76&lt;&gt;"",ITEM_MASTER_CLEAN!L76&amp;" CAT ","")&amp;IF(ITEM_MASTER_CLEAN!M76&lt;&gt;"",ITEM_MASTER_CLEAN!M76,"")</f>
        <v/>
      </c>
      <c r="E76" s="5" t="str">
        <f aca="false">IF(D76="","No issues","Excluded from cost/value calculations where data missing")</f>
        <v>No issues</v>
      </c>
    </row>
    <row r="77" customFormat="false" ht="15" hidden="false" customHeight="false" outlineLevel="0" collapsed="false">
      <c r="A77" s="5" t="n">
        <f aca="false">ITEM_MASTER_CLEAN!A77</f>
        <v>76</v>
      </c>
      <c r="B77" s="5" t="n">
        <f aca="false">ITEM_MASTER_CLEAN!B77</f>
        <v>34434</v>
      </c>
      <c r="C77" s="5" t="str">
        <f aca="false">ITEM_MASTER_CLEAN!C77</f>
        <v>Montreal 16oz dome lids</v>
      </c>
      <c r="D77" s="5" t="str">
        <f aca="false">IF(ITEM_MASTER_CLEAN!J77&lt;&gt;"",ITEM_MASTER_CLEAN!J77&amp;" COST ","")&amp;IF(ITEM_MASTER_CLEAN!K77&lt;&gt;"",ITEM_MASTER_CLEAN!K77&amp;" PACK ","")&amp;IF(ITEM_MASTER_CLEAN!L77&lt;&gt;"",ITEM_MASTER_CLEAN!L77&amp;" CAT ","")&amp;IF(ITEM_MASTER_CLEAN!M77&lt;&gt;"",ITEM_MASTER_CLEAN!M77,"")</f>
        <v/>
      </c>
      <c r="E77" s="5" t="str">
        <f aca="false">IF(D77="","No issues","Excluded from cost/value calculations where data missing")</f>
        <v>No issues</v>
      </c>
    </row>
    <row r="78" customFormat="false" ht="15" hidden="false" customHeight="false" outlineLevel="0" collapsed="false">
      <c r="A78" s="5" t="n">
        <f aca="false">ITEM_MASTER_CLEAN!A78</f>
        <v>77</v>
      </c>
      <c r="B78" s="5" t="n">
        <f aca="false">ITEM_MASTER_CLEAN!B78</f>
        <v>63815</v>
      </c>
      <c r="C78" s="5" t="str">
        <f aca="false">ITEM_MASTER_CLEAN!C78</f>
        <v>STRAW 10" PAP  BLK JUMBO 8MM WRP 2M</v>
      </c>
      <c r="D78" s="5" t="str">
        <f aca="false">IF(ITEM_MASTER_CLEAN!J78&lt;&gt;"",ITEM_MASTER_CLEAN!J78&amp;" COST ","")&amp;IF(ITEM_MASTER_CLEAN!K78&lt;&gt;"",ITEM_MASTER_CLEAN!K78&amp;" PACK ","")&amp;IF(ITEM_MASTER_CLEAN!L78&lt;&gt;"",ITEM_MASTER_CLEAN!L78&amp;" CAT ","")&amp;IF(ITEM_MASTER_CLEAN!M78&lt;&gt;"",ITEM_MASTER_CLEAN!M78,"")</f>
        <v/>
      </c>
      <c r="E78" s="5" t="str">
        <f aca="false">IF(D78="","No issues","Excluded from cost/value calculations where data missing")</f>
        <v>No issues</v>
      </c>
    </row>
    <row r="79" customFormat="false" ht="15" hidden="false" customHeight="false" outlineLevel="0" collapsed="false">
      <c r="A79" s="5" t="n">
        <f aca="false">ITEM_MASTER_CLEAN!A79</f>
        <v>78</v>
      </c>
      <c r="B79" s="5" t="n">
        <f aca="false">ITEM_MASTER_CLEAN!B79</f>
        <v>63816</v>
      </c>
      <c r="C79" s="5" t="str">
        <f aca="false">ITEM_MASTER_CLEAN!C79</f>
        <v>STRAW 7.75"PAPER S/J 8MM BLK WRP 2M</v>
      </c>
      <c r="D79" s="5" t="str">
        <f aca="false">IF(ITEM_MASTER_CLEAN!J79&lt;&gt;"",ITEM_MASTER_CLEAN!J79&amp;" COST ","")&amp;IF(ITEM_MASTER_CLEAN!K79&lt;&gt;"",ITEM_MASTER_CLEAN!K79&amp;" PACK ","")&amp;IF(ITEM_MASTER_CLEAN!L79&lt;&gt;"",ITEM_MASTER_CLEAN!L79&amp;" CAT ","")&amp;IF(ITEM_MASTER_CLEAN!M79&lt;&gt;"",ITEM_MASTER_CLEAN!M79,"")</f>
        <v/>
      </c>
      <c r="E79" s="5" t="str">
        <f aca="false">IF(D79="","No issues","Excluded from cost/value calculations where data missing")</f>
        <v>No issues</v>
      </c>
    </row>
    <row r="80" customFormat="false" ht="15" hidden="false" customHeight="false" outlineLevel="0" collapsed="false">
      <c r="A80" s="5" t="n">
        <f aca="false">ITEM_MASTER_CLEAN!A80</f>
        <v>79</v>
      </c>
      <c r="B80" s="5" t="n">
        <f aca="false">ITEM_MASTER_CLEAN!B80</f>
        <v>61558</v>
      </c>
      <c r="C80" s="5" t="str">
        <f aca="false">ITEM_MASTER_CLEAN!C80</f>
        <v>STRAW 8.5" BBL/TEA 12MM WH/PAP 2M</v>
      </c>
      <c r="D80" s="5" t="str">
        <f aca="false">IF(ITEM_MASTER_CLEAN!J80&lt;&gt;"",ITEM_MASTER_CLEAN!J80&amp;" COST ","")&amp;IF(ITEM_MASTER_CLEAN!K80&lt;&gt;"",ITEM_MASTER_CLEAN!K80&amp;" PACK ","")&amp;IF(ITEM_MASTER_CLEAN!L80&lt;&gt;"",ITEM_MASTER_CLEAN!L80&amp;" CAT ","")&amp;IF(ITEM_MASTER_CLEAN!M80&lt;&gt;"",ITEM_MASTER_CLEAN!M80,"")</f>
        <v>DUPLICATE</v>
      </c>
      <c r="E80" s="5" t="str">
        <f aca="false">IF(D80="","No issues","Excluded from cost/value calculations where data missing")</f>
        <v>Excluded from cost/value calculations where data missing</v>
      </c>
    </row>
    <row r="81" customFormat="false" ht="15" hidden="false" customHeight="false" outlineLevel="0" collapsed="false">
      <c r="A81" s="5" t="n">
        <f aca="false">ITEM_MASTER_CLEAN!A81</f>
        <v>80</v>
      </c>
      <c r="B81" s="5" t="n">
        <f aca="false">ITEM_MASTER_CLEAN!B81</f>
        <v>23511</v>
      </c>
      <c r="C81" s="5" t="str">
        <f aca="false">ITEM_MASTER_CLEAN!C81</f>
        <v>Nouv CRM GLC BISC MONSTRE 11.4L</v>
      </c>
      <c r="D81" s="5" t="str">
        <f aca="false">IF(ITEM_MASTER_CLEAN!J81&lt;&gt;"",ITEM_MASTER_CLEAN!J81&amp;" COST ","")&amp;IF(ITEM_MASTER_CLEAN!K81&lt;&gt;"",ITEM_MASTER_CLEAN!K81&amp;" PACK ","")&amp;IF(ITEM_MASTER_CLEAN!L81&lt;&gt;"",ITEM_MASTER_CLEAN!L81&amp;" CAT ","")&amp;IF(ITEM_MASTER_CLEAN!M81&lt;&gt;"",ITEM_MASTER_CLEAN!M81,"")</f>
        <v/>
      </c>
      <c r="E81" s="5" t="str">
        <f aca="false">IF(D81="","No issues","Excluded from cost/value calculations where data missing")</f>
        <v>No issues</v>
      </c>
    </row>
    <row r="82" customFormat="false" ht="15" hidden="false" customHeight="false" outlineLevel="0" collapsed="false">
      <c r="A82" s="5" t="n">
        <f aca="false">ITEM_MASTER_CLEAN!A82</f>
        <v>81</v>
      </c>
      <c r="B82" s="5" t="n">
        <f aca="false">ITEM_MASTER_CLEAN!B82</f>
        <v>15422</v>
      </c>
      <c r="C82" s="5" t="str">
        <f aca="false">ITEM_MASTER_CLEAN!C82</f>
        <v>ICE CREAM CHOCOLATE 11.4L</v>
      </c>
      <c r="D82" s="5" t="str">
        <f aca="false">IF(ITEM_MASTER_CLEAN!J82&lt;&gt;"",ITEM_MASTER_CLEAN!J82&amp;" COST ","")&amp;IF(ITEM_MASTER_CLEAN!K82&lt;&gt;"",ITEM_MASTER_CLEAN!K82&amp;" PACK ","")&amp;IF(ITEM_MASTER_CLEAN!L82&lt;&gt;"",ITEM_MASTER_CLEAN!L82&amp;" CAT ","")&amp;IF(ITEM_MASTER_CLEAN!M82&lt;&gt;"",ITEM_MASTER_CLEAN!M82,"")</f>
        <v/>
      </c>
      <c r="E82" s="5" t="str">
        <f aca="false">IF(D82="","No issues","Excluded from cost/value calculations where data missing")</f>
        <v>No issues</v>
      </c>
    </row>
    <row r="83" customFormat="false" ht="15" hidden="false" customHeight="false" outlineLevel="0" collapsed="false">
      <c r="A83" s="5" t="n">
        <f aca="false">ITEM_MASTER_CLEAN!A83</f>
        <v>82</v>
      </c>
      <c r="B83" s="5" t="n">
        <f aca="false">ITEM_MASTER_CLEAN!B83</f>
        <v>36840</v>
      </c>
      <c r="C83" s="5" t="str">
        <f aca="false">ITEM_MASTER_CLEAN!C83</f>
        <v>ICE CREAM COTTON CANDY 11449 11.4L</v>
      </c>
      <c r="D83" s="5" t="str">
        <f aca="false">IF(ITEM_MASTER_CLEAN!J83&lt;&gt;"",ITEM_MASTER_CLEAN!J83&amp;" COST ","")&amp;IF(ITEM_MASTER_CLEAN!K83&lt;&gt;"",ITEM_MASTER_CLEAN!K83&amp;" PACK ","")&amp;IF(ITEM_MASTER_CLEAN!L83&lt;&gt;"",ITEM_MASTER_CLEAN!L83&amp;" CAT ","")&amp;IF(ITEM_MASTER_CLEAN!M83&lt;&gt;"",ITEM_MASTER_CLEAN!M83,"")</f>
        <v/>
      </c>
      <c r="E83" s="5" t="str">
        <f aca="false">IF(D83="","No issues","Excluded from cost/value calculations where data missing")</f>
        <v>No issues</v>
      </c>
    </row>
    <row r="84" customFormat="false" ht="15" hidden="false" customHeight="false" outlineLevel="0" collapsed="false">
      <c r="A84" s="5" t="n">
        <f aca="false">ITEM_MASTER_CLEAN!A84</f>
        <v>83</v>
      </c>
      <c r="B84" s="5" t="n">
        <f aca="false">ITEM_MASTER_CLEAN!B84</f>
        <v>36827</v>
      </c>
      <c r="C84" s="5" t="str">
        <f aca="false">ITEM_MASTER_CLEAN!C84</f>
        <v>ICE CREAM COOKIE/CRM 11438 11.4L</v>
      </c>
      <c r="D84" s="5" t="str">
        <f aca="false">IF(ITEM_MASTER_CLEAN!J84&lt;&gt;"",ITEM_MASTER_CLEAN!J84&amp;" COST ","")&amp;IF(ITEM_MASTER_CLEAN!K84&lt;&gt;"",ITEM_MASTER_CLEAN!K84&amp;" PACK ","")&amp;IF(ITEM_MASTER_CLEAN!L84&lt;&gt;"",ITEM_MASTER_CLEAN!L84&amp;" CAT ","")&amp;IF(ITEM_MASTER_CLEAN!M84&lt;&gt;"",ITEM_MASTER_CLEAN!M84,"")</f>
        <v/>
      </c>
      <c r="E84" s="5" t="str">
        <f aca="false">IF(D84="","No issues","Excluded from cost/value calculations where data missing")</f>
        <v>No issues</v>
      </c>
    </row>
    <row r="85" customFormat="false" ht="15" hidden="false" customHeight="false" outlineLevel="0" collapsed="false">
      <c r="A85" s="5" t="n">
        <f aca="false">ITEM_MASTER_CLEAN!A85</f>
        <v>84</v>
      </c>
      <c r="B85" s="5" t="n">
        <f aca="false">ITEM_MASTER_CLEAN!B85</f>
        <v>36830</v>
      </c>
      <c r="C85" s="5" t="str">
        <f aca="false">ITEM_MASTER_CLEAN!C85</f>
        <v>ICE CREAM CHOC BROWNIE 11446 11.4L</v>
      </c>
      <c r="D85" s="5" t="str">
        <f aca="false">IF(ITEM_MASTER_CLEAN!J85&lt;&gt;"",ITEM_MASTER_CLEAN!J85&amp;" COST ","")&amp;IF(ITEM_MASTER_CLEAN!K85&lt;&gt;"",ITEM_MASTER_CLEAN!K85&amp;" PACK ","")&amp;IF(ITEM_MASTER_CLEAN!L85&lt;&gt;"",ITEM_MASTER_CLEAN!L85&amp;" CAT ","")&amp;IF(ITEM_MASTER_CLEAN!M85&lt;&gt;"",ITEM_MASTER_CLEAN!M85,"")</f>
        <v/>
      </c>
      <c r="E85" s="5" t="str">
        <f aca="false">IF(D85="","No issues","Excluded from cost/value calculations where data missing")</f>
        <v>No issues</v>
      </c>
    </row>
    <row r="86" customFormat="false" ht="15" hidden="false" customHeight="false" outlineLevel="0" collapsed="false">
      <c r="A86" s="5" t="n">
        <f aca="false">ITEM_MASTER_CLEAN!A86</f>
        <v>85</v>
      </c>
      <c r="B86" s="5" t="n">
        <f aca="false">ITEM_MASTER_CLEAN!B86</f>
        <v>36828</v>
      </c>
      <c r="C86" s="5" t="str">
        <f aca="false">ITEM_MASTER_CLEAN!C86</f>
        <v>ICE CREAM PRALN/CRM 11440 11.4L</v>
      </c>
      <c r="D86" s="5" t="str">
        <f aca="false">IF(ITEM_MASTER_CLEAN!J86&lt;&gt;"",ITEM_MASTER_CLEAN!J86&amp;" COST ","")&amp;IF(ITEM_MASTER_CLEAN!K86&lt;&gt;"",ITEM_MASTER_CLEAN!K86&amp;" PACK ","")&amp;IF(ITEM_MASTER_CLEAN!L86&lt;&gt;"",ITEM_MASTER_CLEAN!L86&amp;" CAT ","")&amp;IF(ITEM_MASTER_CLEAN!M86&lt;&gt;"",ITEM_MASTER_CLEAN!M86,"")</f>
        <v/>
      </c>
      <c r="E86" s="5" t="str">
        <f aca="false">IF(D86="","No issues","Excluded from cost/value calculations where data missing")</f>
        <v>No issues</v>
      </c>
    </row>
    <row r="87" customFormat="false" ht="15" hidden="false" customHeight="false" outlineLevel="0" collapsed="false">
      <c r="A87" s="5" t="n">
        <f aca="false">ITEM_MASTER_CLEAN!A87</f>
        <v>86</v>
      </c>
      <c r="B87" s="5" t="n">
        <f aca="false">ITEM_MASTER_CLEAN!B87</f>
        <v>36837</v>
      </c>
      <c r="C87" s="5" t="str">
        <f aca="false">ITEM_MASTER_CLEAN!C87</f>
        <v>ICE CREAM RIBAMBL 3-COL 11429 11.4L</v>
      </c>
      <c r="D87" s="5" t="str">
        <f aca="false">IF(ITEM_MASTER_CLEAN!J87&lt;&gt;"",ITEM_MASTER_CLEAN!J87&amp;" COST ","")&amp;IF(ITEM_MASTER_CLEAN!K87&lt;&gt;"",ITEM_MASTER_CLEAN!K87&amp;" PACK ","")&amp;IF(ITEM_MASTER_CLEAN!L87&lt;&gt;"",ITEM_MASTER_CLEAN!L87&amp;" CAT ","")&amp;IF(ITEM_MASTER_CLEAN!M87&lt;&gt;"",ITEM_MASTER_CLEAN!M87,"")</f>
        <v/>
      </c>
      <c r="E87" s="5" t="str">
        <f aca="false">IF(D87="","No issues","Excluded from cost/value calculations where data missing")</f>
        <v>No issues</v>
      </c>
    </row>
    <row r="88" customFormat="false" ht="15" hidden="false" customHeight="false" outlineLevel="0" collapsed="false">
      <c r="A88" s="5" t="n">
        <f aca="false">ITEM_MASTER_CLEAN!A88</f>
        <v>87</v>
      </c>
      <c r="B88" s="5" t="n">
        <f aca="false">ITEM_MASTER_CLEAN!B88</f>
        <v>36835</v>
      </c>
      <c r="C88" s="5" t="str">
        <f aca="false">ITEM_MASTER_CLEAN!C88</f>
        <v>ICE CREAM MAPLE TAFFY 11426 11.4L</v>
      </c>
      <c r="D88" s="5" t="str">
        <f aca="false">IF(ITEM_MASTER_CLEAN!J88&lt;&gt;"",ITEM_MASTER_CLEAN!J88&amp;" COST ","")&amp;IF(ITEM_MASTER_CLEAN!K88&lt;&gt;"",ITEM_MASTER_CLEAN!K88&amp;" PACK ","")&amp;IF(ITEM_MASTER_CLEAN!L88&lt;&gt;"",ITEM_MASTER_CLEAN!L88&amp;" CAT ","")&amp;IF(ITEM_MASTER_CLEAN!M88&lt;&gt;"",ITEM_MASTER_CLEAN!M88,"")</f>
        <v/>
      </c>
      <c r="E88" s="5" t="str">
        <f aca="false">IF(D88="","No issues","Excluded from cost/value calculations where data missing")</f>
        <v>No issues</v>
      </c>
    </row>
    <row r="89" customFormat="false" ht="15" hidden="false" customHeight="false" outlineLevel="0" collapsed="false">
      <c r="A89" s="5" t="n">
        <f aca="false">ITEM_MASTER_CLEAN!A89</f>
        <v>88</v>
      </c>
      <c r="B89" s="5" t="n">
        <f aca="false">ITEM_MASTER_CLEAN!B89</f>
        <v>36831</v>
      </c>
      <c r="C89" s="5" t="str">
        <f aca="false">ITEM_MASTER_CLEAN!C89</f>
        <v>ICE CREAM VANILLA 11401 11.4L</v>
      </c>
      <c r="D89" s="5" t="str">
        <f aca="false">IF(ITEM_MASTER_CLEAN!J89&lt;&gt;"",ITEM_MASTER_CLEAN!J89&amp;" COST ","")&amp;IF(ITEM_MASTER_CLEAN!K89&lt;&gt;"",ITEM_MASTER_CLEAN!K89&amp;" PACK ","")&amp;IF(ITEM_MASTER_CLEAN!L89&lt;&gt;"",ITEM_MASTER_CLEAN!L89&amp;" CAT ","")&amp;IF(ITEM_MASTER_CLEAN!M89&lt;&gt;"",ITEM_MASTER_CLEAN!M89,"")</f>
        <v/>
      </c>
      <c r="E89" s="5" t="str">
        <f aca="false">IF(D89="","No issues","Excluded from cost/value calculations where data missing")</f>
        <v>No issues</v>
      </c>
    </row>
    <row r="90" customFormat="false" ht="15" hidden="false" customHeight="false" outlineLevel="0" collapsed="false">
      <c r="A90" s="5" t="n">
        <f aca="false">ITEM_MASTER_CLEAN!A90</f>
        <v>89</v>
      </c>
      <c r="B90" s="5" t="n">
        <f aca="false">ITEM_MASTER_CLEAN!B90</f>
        <v>15425</v>
      </c>
      <c r="C90" s="5" t="str">
        <f aca="false">ITEM_MASTER_CLEAN!C90</f>
        <v>ICE CRM COOKIE DGH/CHOC FUDGE 11.4L</v>
      </c>
      <c r="D90" s="5" t="str">
        <f aca="false">IF(ITEM_MASTER_CLEAN!J90&lt;&gt;"",ITEM_MASTER_CLEAN!J90&amp;" COST ","")&amp;IF(ITEM_MASTER_CLEAN!K90&lt;&gt;"",ITEM_MASTER_CLEAN!K90&amp;" PACK ","")&amp;IF(ITEM_MASTER_CLEAN!L90&lt;&gt;"",ITEM_MASTER_CLEAN!L90&amp;" CAT ","")&amp;IF(ITEM_MASTER_CLEAN!M90&lt;&gt;"",ITEM_MASTER_CLEAN!M90,"")</f>
        <v/>
      </c>
      <c r="E90" s="5" t="str">
        <f aca="false">IF(D90="","No issues","Excluded from cost/value calculations where data missing")</f>
        <v>No issues</v>
      </c>
    </row>
    <row r="91" customFormat="false" ht="15" hidden="false" customHeight="false" outlineLevel="0" collapsed="false">
      <c r="A91" s="5" t="n">
        <f aca="false">ITEM_MASTER_CLEAN!A91</f>
        <v>90</v>
      </c>
      <c r="B91" s="5" t="n">
        <f aca="false">ITEM_MASTER_CLEAN!B91</f>
        <v>15424</v>
      </c>
      <c r="C91" s="5" t="str">
        <f aca="false">ITEM_MASTER_CLEAN!C91</f>
        <v>ICE CREAM MINT CHOC CHIP  11.4L</v>
      </c>
      <c r="D91" s="5" t="str">
        <f aca="false">IF(ITEM_MASTER_CLEAN!J91&lt;&gt;"",ITEM_MASTER_CLEAN!J91&amp;" COST ","")&amp;IF(ITEM_MASTER_CLEAN!K91&lt;&gt;"",ITEM_MASTER_CLEAN!K91&amp;" PACK ","")&amp;IF(ITEM_MASTER_CLEAN!L91&lt;&gt;"",ITEM_MASTER_CLEAN!L91&amp;" CAT ","")&amp;IF(ITEM_MASTER_CLEAN!M91&lt;&gt;"",ITEM_MASTER_CLEAN!M91,"")</f>
        <v/>
      </c>
      <c r="E91" s="5" t="str">
        <f aca="false">IF(D91="","No issues","Excluded from cost/value calculations where data missing")</f>
        <v>No issues</v>
      </c>
    </row>
    <row r="92" customFormat="false" ht="15" hidden="false" customHeight="false" outlineLevel="0" collapsed="false">
      <c r="A92" s="5" t="n">
        <f aca="false">ITEM_MASTER_CLEAN!A92</f>
        <v>91</v>
      </c>
      <c r="B92" s="5" t="n">
        <f aca="false">ITEM_MASTER_CLEAN!B92</f>
        <v>36884</v>
      </c>
      <c r="C92" s="5" t="str">
        <f aca="false">ITEM_MASTER_CLEAN!C92</f>
        <v>ICE CRM CHOC/CHERRY/AMARETTO 11.4L</v>
      </c>
      <c r="D92" s="5" t="str">
        <f aca="false">IF(ITEM_MASTER_CLEAN!J92&lt;&gt;"",ITEM_MASTER_CLEAN!J92&amp;" COST ","")&amp;IF(ITEM_MASTER_CLEAN!K92&lt;&gt;"",ITEM_MASTER_CLEAN!K92&amp;" PACK ","")&amp;IF(ITEM_MASTER_CLEAN!L92&lt;&gt;"",ITEM_MASTER_CLEAN!L92&amp;" CAT ","")&amp;IF(ITEM_MASTER_CLEAN!M92&lt;&gt;"",ITEM_MASTER_CLEAN!M92,"")</f>
        <v/>
      </c>
      <c r="E92" s="5" t="str">
        <f aca="false">IF(D92="","No issues","Excluded from cost/value calculations where data missing")</f>
        <v>No issues</v>
      </c>
    </row>
    <row r="93" customFormat="false" ht="15" hidden="false" customHeight="false" outlineLevel="0" collapsed="false">
      <c r="A93" s="5" t="n">
        <f aca="false">ITEM_MASTER_CLEAN!A93</f>
        <v>92</v>
      </c>
      <c r="B93" s="5" t="n">
        <f aca="false">ITEM_MASTER_CLEAN!B93</f>
        <v>15426</v>
      </c>
      <c r="C93" s="5" t="str">
        <f aca="false">ITEM_MASTER_CLEAN!C93</f>
        <v>ICE CRM DBL STRAWBERRY 11407 11.4L</v>
      </c>
      <c r="D93" s="5" t="str">
        <f aca="false">IF(ITEM_MASTER_CLEAN!J93&lt;&gt;"",ITEM_MASTER_CLEAN!J93&amp;" COST ","")&amp;IF(ITEM_MASTER_CLEAN!K93&lt;&gt;"",ITEM_MASTER_CLEAN!K93&amp;" PACK ","")&amp;IF(ITEM_MASTER_CLEAN!L93&lt;&gt;"",ITEM_MASTER_CLEAN!L93&amp;" CAT ","")&amp;IF(ITEM_MASTER_CLEAN!M93&lt;&gt;"",ITEM_MASTER_CLEAN!M93,"")</f>
        <v/>
      </c>
      <c r="E93" s="5" t="str">
        <f aca="false">IF(D93="","No issues","Excluded from cost/value calculations where data missing")</f>
        <v>No issues</v>
      </c>
    </row>
    <row r="94" customFormat="false" ht="15" hidden="false" customHeight="false" outlineLevel="0" collapsed="false">
      <c r="A94" s="5" t="n">
        <f aca="false">ITEM_MASTER_CLEAN!A94</f>
        <v>93</v>
      </c>
      <c r="B94" s="5" t="n">
        <f aca="false">ITEM_MASTER_CLEAN!B94</f>
        <v>36846</v>
      </c>
      <c r="C94" s="5" t="str">
        <f aca="false">ITEM_MASTER_CLEAN!C94</f>
        <v>ICE CRM SALTED CARAMEL 11445 11.4L</v>
      </c>
      <c r="D94" s="5" t="str">
        <f aca="false">IF(ITEM_MASTER_CLEAN!J94&lt;&gt;"",ITEM_MASTER_CLEAN!J94&amp;" COST ","")&amp;IF(ITEM_MASTER_CLEAN!K94&lt;&gt;"",ITEM_MASTER_CLEAN!K94&amp;" PACK ","")&amp;IF(ITEM_MASTER_CLEAN!L94&lt;&gt;"",ITEM_MASTER_CLEAN!L94&amp;" CAT ","")&amp;IF(ITEM_MASTER_CLEAN!M94&lt;&gt;"",ITEM_MASTER_CLEAN!M94,"")</f>
        <v/>
      </c>
      <c r="E94" s="5" t="str">
        <f aca="false">IF(D94="","No issues","Excluded from cost/value calculations where data missing")</f>
        <v>No issues</v>
      </c>
    </row>
    <row r="95" customFormat="false" ht="15" hidden="false" customHeight="false" outlineLevel="0" collapsed="false">
      <c r="A95" s="5" t="n">
        <f aca="false">ITEM_MASTER_CLEAN!A95</f>
        <v>94</v>
      </c>
      <c r="B95" s="5" t="n">
        <f aca="false">ITEM_MASTER_CLEAN!B95</f>
        <v>15423</v>
      </c>
      <c r="C95" s="5" t="str">
        <f aca="false">ITEM_MASTER_CLEAN!C95</f>
        <v>ICE CREAM PISTACHIO 11416 11.4L</v>
      </c>
      <c r="D95" s="5" t="str">
        <f aca="false">IF(ITEM_MASTER_CLEAN!J95&lt;&gt;"",ITEM_MASTER_CLEAN!J95&amp;" COST ","")&amp;IF(ITEM_MASTER_CLEAN!K95&lt;&gt;"",ITEM_MASTER_CLEAN!K95&amp;" PACK ","")&amp;IF(ITEM_MASTER_CLEAN!L95&lt;&gt;"",ITEM_MASTER_CLEAN!L95&amp;" CAT ","")&amp;IF(ITEM_MASTER_CLEAN!M95&lt;&gt;"",ITEM_MASTER_CLEAN!M95,"")</f>
        <v/>
      </c>
      <c r="E95" s="5" t="str">
        <f aca="false">IF(D95="","No issues","Excluded from cost/value calculations where data missing")</f>
        <v>No issues</v>
      </c>
    </row>
    <row r="96" customFormat="false" ht="15" hidden="false" customHeight="false" outlineLevel="0" collapsed="false">
      <c r="A96" s="5" t="n">
        <f aca="false">ITEM_MASTER_CLEAN!A96</f>
        <v>95</v>
      </c>
      <c r="B96" s="5" t="n">
        <f aca="false">ITEM_MASTER_CLEAN!B96</f>
        <v>36824</v>
      </c>
      <c r="C96" s="5" t="str">
        <f aca="false">ITEM_MASTER_CLEAN!C96</f>
        <v>LC ICE CRM PCN/CARAM/FDG11435 11.4L</v>
      </c>
      <c r="D96" s="5" t="str">
        <f aca="false">IF(ITEM_MASTER_CLEAN!J96&lt;&gt;"",ITEM_MASTER_CLEAN!J96&amp;" COST ","")&amp;IF(ITEM_MASTER_CLEAN!K96&lt;&gt;"",ITEM_MASTER_CLEAN!K96&amp;" PACK ","")&amp;IF(ITEM_MASTER_CLEAN!L96&lt;&gt;"",ITEM_MASTER_CLEAN!L96&amp;" CAT ","")&amp;IF(ITEM_MASTER_CLEAN!M96&lt;&gt;"",ITEM_MASTER_CLEAN!M96,"")</f>
        <v/>
      </c>
      <c r="E96" s="5" t="str">
        <f aca="false">IF(D96="","No issues","Excluded from cost/value calculations where data missing")</f>
        <v>No issues</v>
      </c>
    </row>
    <row r="97" customFormat="false" ht="15" hidden="false" customHeight="false" outlineLevel="0" collapsed="false">
      <c r="A97" s="5" t="n">
        <f aca="false">ITEM_MASTER_CLEAN!A97</f>
        <v>96</v>
      </c>
      <c r="B97" s="5" t="n">
        <f aca="false">ITEM_MASTER_CLEAN!B97</f>
        <v>36833</v>
      </c>
      <c r="C97" s="5" t="str">
        <f aca="false">ITEM_MASTER_CLEAN!C97</f>
        <v>ICE CREAM BUBBLE GUM 11413 11.4L</v>
      </c>
      <c r="D97" s="5" t="str">
        <f aca="false">IF(ITEM_MASTER_CLEAN!J97&lt;&gt;"",ITEM_MASTER_CLEAN!J97&amp;" COST ","")&amp;IF(ITEM_MASTER_CLEAN!K97&lt;&gt;"",ITEM_MASTER_CLEAN!K97&amp;" PACK ","")&amp;IF(ITEM_MASTER_CLEAN!L97&lt;&gt;"",ITEM_MASTER_CLEAN!L97&amp;" CAT ","")&amp;IF(ITEM_MASTER_CLEAN!M97&lt;&gt;"",ITEM_MASTER_CLEAN!M97,"")</f>
        <v/>
      </c>
      <c r="E97" s="5" t="str">
        <f aca="false">IF(D97="","No issues","Excluded from cost/value calculations where data missing")</f>
        <v>No issues</v>
      </c>
    </row>
    <row r="98" customFormat="false" ht="15" hidden="false" customHeight="false" outlineLevel="0" collapsed="false">
      <c r="A98" s="5" t="n">
        <f aca="false">ITEM_MASTER_CLEAN!A98</f>
        <v>97</v>
      </c>
      <c r="B98" s="5" t="n">
        <f aca="false">ITEM_MASTER_CLEAN!B98</f>
        <v>32183</v>
      </c>
      <c r="C98" s="5" t="str">
        <f aca="false">ITEM_MASTER_CLEAN!C98</f>
        <v>ICE CREAM MANGO 851 11.4L</v>
      </c>
      <c r="D98" s="5" t="str">
        <f aca="false">IF(ITEM_MASTER_CLEAN!J98&lt;&gt;"",ITEM_MASTER_CLEAN!J98&amp;" COST ","")&amp;IF(ITEM_MASTER_CLEAN!K98&lt;&gt;"",ITEM_MASTER_CLEAN!K98&amp;" PACK ","")&amp;IF(ITEM_MASTER_CLEAN!L98&lt;&gt;"",ITEM_MASTER_CLEAN!L98&amp;" CAT ","")&amp;IF(ITEM_MASTER_CLEAN!M98&lt;&gt;"",ITEM_MASTER_CLEAN!M98,"")</f>
        <v/>
      </c>
      <c r="E98" s="5" t="str">
        <f aca="false">IF(D98="","No issues","Excluded from cost/value calculations where data missing")</f>
        <v>No issues</v>
      </c>
    </row>
    <row r="99" customFormat="false" ht="15" hidden="false" customHeight="false" outlineLevel="0" collapsed="false">
      <c r="A99" s="5" t="n">
        <f aca="false">ITEM_MASTER_CLEAN!A99</f>
        <v>98</v>
      </c>
      <c r="B99" s="5" t="n">
        <f aca="false">ITEM_MASTER_CLEAN!B99</f>
        <v>15427</v>
      </c>
      <c r="C99" s="5" t="str">
        <f aca="false">ITEM_MASTER_CLEAN!C99</f>
        <v>ICE CREAM RHUM&amp;RAISIN 11.4L</v>
      </c>
      <c r="D99" s="5" t="str">
        <f aca="false">IF(ITEM_MASTER_CLEAN!J99&lt;&gt;"",ITEM_MASTER_CLEAN!J99&amp;" COST ","")&amp;IF(ITEM_MASTER_CLEAN!K99&lt;&gt;"",ITEM_MASTER_CLEAN!K99&amp;" PACK ","")&amp;IF(ITEM_MASTER_CLEAN!L99&lt;&gt;"",ITEM_MASTER_CLEAN!L99&amp;" CAT ","")&amp;IF(ITEM_MASTER_CLEAN!M99&lt;&gt;"",ITEM_MASTER_CLEAN!M99,"")</f>
        <v/>
      </c>
      <c r="E99" s="5" t="str">
        <f aca="false">IF(D99="","No issues","Excluded from cost/value calculations where data missing")</f>
        <v>No issues</v>
      </c>
    </row>
    <row r="100" customFormat="false" ht="15" hidden="false" customHeight="false" outlineLevel="0" collapsed="false">
      <c r="A100" s="5" t="n">
        <f aca="false">ITEM_MASTER_CLEAN!A100</f>
        <v>99</v>
      </c>
      <c r="B100" s="5" t="n">
        <f aca="false">ITEM_MASTER_CLEAN!B100</f>
        <v>15429</v>
      </c>
      <c r="C100" s="5" t="str">
        <f aca="false">ITEM_MASTER_CLEAN!C100</f>
        <v>ICE CREAM CHERRY CHEESECAKE 11.4L</v>
      </c>
      <c r="D100" s="5" t="str">
        <f aca="false">IF(ITEM_MASTER_CLEAN!J100&lt;&gt;"",ITEM_MASTER_CLEAN!J100&amp;" COST ","")&amp;IF(ITEM_MASTER_CLEAN!K100&lt;&gt;"",ITEM_MASTER_CLEAN!K100&amp;" PACK ","")&amp;IF(ITEM_MASTER_CLEAN!L100&lt;&gt;"",ITEM_MASTER_CLEAN!L100&amp;" CAT ","")&amp;IF(ITEM_MASTER_CLEAN!M100&lt;&gt;"",ITEM_MASTER_CLEAN!M100,"")</f>
        <v/>
      </c>
      <c r="E100" s="5" t="str">
        <f aca="false">IF(D100="","No issues","Excluded from cost/value calculations where data missing")</f>
        <v>No issues</v>
      </c>
    </row>
    <row r="101" customFormat="false" ht="15" hidden="false" customHeight="false" outlineLevel="0" collapsed="false">
      <c r="A101" s="5" t="n">
        <f aca="false">ITEM_MASTER_CLEAN!A101</f>
        <v>100</v>
      </c>
      <c r="B101" s="5" t="n">
        <f aca="false">ITEM_MASTER_CLEAN!B101</f>
        <v>32180</v>
      </c>
      <c r="C101" s="5" t="str">
        <f aca="false">ITEM_MASTER_CLEAN!C101</f>
        <v>SORBET LEMON LIME 152 11.4L</v>
      </c>
      <c r="D101" s="5" t="str">
        <f aca="false">IF(ITEM_MASTER_CLEAN!J101&lt;&gt;"",ITEM_MASTER_CLEAN!J101&amp;" COST ","")&amp;IF(ITEM_MASTER_CLEAN!K101&lt;&gt;"",ITEM_MASTER_CLEAN!K101&amp;" PACK ","")&amp;IF(ITEM_MASTER_CLEAN!L101&lt;&gt;"",ITEM_MASTER_CLEAN!L101&amp;" CAT ","")&amp;IF(ITEM_MASTER_CLEAN!M101&lt;&gt;"",ITEM_MASTER_CLEAN!M101,"")</f>
        <v/>
      </c>
      <c r="E101" s="5" t="str">
        <f aca="false">IF(D101="","No issues","Excluded from cost/value calculations where data missing")</f>
        <v>No issues</v>
      </c>
    </row>
    <row r="102" customFormat="false" ht="15" hidden="false" customHeight="false" outlineLevel="0" collapsed="false">
      <c r="A102" s="5" t="n">
        <f aca="false">ITEM_MASTER_CLEAN!A102</f>
        <v>101</v>
      </c>
      <c r="B102" s="5" t="n">
        <f aca="false">ITEM_MASTER_CLEAN!B102</f>
        <v>32181</v>
      </c>
      <c r="C102" s="5" t="str">
        <f aca="false">ITEM_MASTER_CLEAN!C102</f>
        <v>SORBET STRAWBERRY 162 11.4L</v>
      </c>
      <c r="D102" s="5" t="str">
        <f aca="false">IF(ITEM_MASTER_CLEAN!J102&lt;&gt;"",ITEM_MASTER_CLEAN!J102&amp;" COST ","")&amp;IF(ITEM_MASTER_CLEAN!K102&lt;&gt;"",ITEM_MASTER_CLEAN!K102&amp;" PACK ","")&amp;IF(ITEM_MASTER_CLEAN!L102&lt;&gt;"",ITEM_MASTER_CLEAN!L102&amp;" CAT ","")&amp;IF(ITEM_MASTER_CLEAN!M102&lt;&gt;"",ITEM_MASTER_CLEAN!M102,"")</f>
        <v/>
      </c>
      <c r="E102" s="5" t="str">
        <f aca="false">IF(D102="","No issues","Excluded from cost/value calculations where data missing")</f>
        <v>No issues</v>
      </c>
    </row>
    <row r="103" customFormat="false" ht="15" hidden="false" customHeight="false" outlineLevel="0" collapsed="false">
      <c r="A103" s="5" t="n">
        <f aca="false">ITEM_MASTER_CLEAN!A103</f>
        <v>102</v>
      </c>
      <c r="B103" s="5" t="n">
        <f aca="false">ITEM_MASTER_CLEAN!B103</f>
        <v>32182</v>
      </c>
      <c r="C103" s="5" t="str">
        <f aca="false">ITEM_MASTER_CLEAN!C103</f>
        <v>SHERBERT WATERMELON 860 11.4L</v>
      </c>
      <c r="D103" s="5" t="str">
        <f aca="false">IF(ITEM_MASTER_CLEAN!J103&lt;&gt;"",ITEM_MASTER_CLEAN!J103&amp;" COST ","")&amp;IF(ITEM_MASTER_CLEAN!K103&lt;&gt;"",ITEM_MASTER_CLEAN!K103&amp;" PACK ","")&amp;IF(ITEM_MASTER_CLEAN!L103&lt;&gt;"",ITEM_MASTER_CLEAN!L103&amp;" CAT ","")&amp;IF(ITEM_MASTER_CLEAN!M103&lt;&gt;"",ITEM_MASTER_CLEAN!M103,"")</f>
        <v/>
      </c>
      <c r="E103" s="5" t="str">
        <f aca="false">IF(D103="","No issues","Excluded from cost/value calculations where data missing")</f>
        <v>No issues</v>
      </c>
    </row>
    <row r="104" customFormat="false" ht="15" hidden="false" customHeight="false" outlineLevel="0" collapsed="false">
      <c r="A104" s="5" t="n">
        <f aca="false">ITEM_MASTER_CLEAN!A104</f>
        <v>103</v>
      </c>
      <c r="B104" s="5" t="n">
        <f aca="false">ITEM_MASTER_CLEAN!B104</f>
        <v>32184</v>
      </c>
      <c r="C104" s="5" t="str">
        <f aca="false">ITEM_MASTER_CLEAN!C104</f>
        <v>SORBET PEACH 11.4L</v>
      </c>
      <c r="D104" s="5" t="str">
        <f aca="false">IF(ITEM_MASTER_CLEAN!J104&lt;&gt;"",ITEM_MASTER_CLEAN!J104&amp;" COST ","")&amp;IF(ITEM_MASTER_CLEAN!K104&lt;&gt;"",ITEM_MASTER_CLEAN!K104&amp;" PACK ","")&amp;IF(ITEM_MASTER_CLEAN!L104&lt;&gt;"",ITEM_MASTER_CLEAN!L104&amp;" CAT ","")&amp;IF(ITEM_MASTER_CLEAN!M104&lt;&gt;"",ITEM_MASTER_CLEAN!M104,"")</f>
        <v/>
      </c>
      <c r="E104" s="5" t="str">
        <f aca="false">IF(D104="","No issues","Excluded from cost/value calculations where data missing")</f>
        <v>No issues</v>
      </c>
    </row>
    <row r="105" customFormat="false" ht="15" hidden="false" customHeight="false" outlineLevel="0" collapsed="false">
      <c r="A105" s="5" t="n">
        <f aca="false">ITEM_MASTER_CLEAN!A105</f>
        <v>104</v>
      </c>
      <c r="B105" s="5" t="n">
        <f aca="false">ITEM_MASTER_CLEAN!B105</f>
        <v>32185</v>
      </c>
      <c r="C105" s="5" t="str">
        <f aca="false">ITEM_MASTER_CLEAN!C105</f>
        <v>MONSTER COOKIE ICE CRM BAR 8X4UN</v>
      </c>
      <c r="D105" s="5" t="str">
        <f aca="false">IF(ITEM_MASTER_CLEAN!J105&lt;&gt;"",ITEM_MASTER_CLEAN!J105&amp;" COST ","")&amp;IF(ITEM_MASTER_CLEAN!K105&lt;&gt;"",ITEM_MASTER_CLEAN!K105&amp;" PACK ","")&amp;IF(ITEM_MASTER_CLEAN!L105&lt;&gt;"",ITEM_MASTER_CLEAN!L105&amp;" CAT ","")&amp;IF(ITEM_MASTER_CLEAN!M105&lt;&gt;"",ITEM_MASTER_CLEAN!M105,"")</f>
        <v/>
      </c>
      <c r="E105" s="5" t="str">
        <f aca="false">IF(D105="","No issues","Excluded from cost/value calculations where data missing")</f>
        <v>No issues</v>
      </c>
    </row>
    <row r="106" customFormat="false" ht="15" hidden="false" customHeight="false" outlineLevel="0" collapsed="false">
      <c r="A106" s="5" t="n">
        <f aca="false">ITEM_MASTER_CLEAN!A106</f>
        <v>105</v>
      </c>
      <c r="B106" s="5" t="n">
        <f aca="false">ITEM_MASTER_CLEAN!B106</f>
        <v>37191</v>
      </c>
      <c r="C106" s="5" t="str">
        <f aca="false">ITEM_MASTER_CLEAN!C106</f>
        <v>BAR VEGAN CHOC SV20214 24UN</v>
      </c>
      <c r="D106" s="5" t="str">
        <f aca="false">IF(ITEM_MASTER_CLEAN!J106&lt;&gt;"",ITEM_MASTER_CLEAN!J106&amp;" COST ","")&amp;IF(ITEM_MASTER_CLEAN!K106&lt;&gt;"",ITEM_MASTER_CLEAN!K106&amp;" PACK ","")&amp;IF(ITEM_MASTER_CLEAN!L106&lt;&gt;"",ITEM_MASTER_CLEAN!L106&amp;" CAT ","")&amp;IF(ITEM_MASTER_CLEAN!M106&lt;&gt;"",ITEM_MASTER_CLEAN!M106,"")</f>
        <v/>
      </c>
      <c r="E106" s="5" t="str">
        <f aca="false">IF(D106="","No issues","Excluded from cost/value calculations where data missing")</f>
        <v>No issues</v>
      </c>
    </row>
    <row r="107" customFormat="false" ht="15" hidden="false" customHeight="false" outlineLevel="0" collapsed="false">
      <c r="A107" s="5" t="n">
        <f aca="false">ITEM_MASTER_CLEAN!A107</f>
        <v>106</v>
      </c>
      <c r="B107" s="5" t="n">
        <f aca="false">ITEM_MASTER_CLEAN!B107</f>
        <v>37190</v>
      </c>
      <c r="C107" s="5" t="str">
        <f aca="false">ITEM_MASTER_CLEAN!C107</f>
        <v>BAR VEGAN VANIL SV20114 24UN</v>
      </c>
      <c r="D107" s="5" t="str">
        <f aca="false">IF(ITEM_MASTER_CLEAN!J107&lt;&gt;"",ITEM_MASTER_CLEAN!J107&amp;" COST ","")&amp;IF(ITEM_MASTER_CLEAN!K107&lt;&gt;"",ITEM_MASTER_CLEAN!K107&amp;" PACK ","")&amp;IF(ITEM_MASTER_CLEAN!L107&lt;&gt;"",ITEM_MASTER_CLEAN!L107&amp;" CAT ","")&amp;IF(ITEM_MASTER_CLEAN!M107&lt;&gt;"",ITEM_MASTER_CLEAN!M107,"")</f>
        <v/>
      </c>
      <c r="E107" s="5" t="str">
        <f aca="false">IF(D107="","No issues","Excluded from cost/value calculations where data missing")</f>
        <v>No issues</v>
      </c>
    </row>
    <row r="108" customFormat="false" ht="15" hidden="false" customHeight="false" outlineLevel="0" collapsed="false">
      <c r="A108" s="5" t="n">
        <f aca="false">ITEM_MASTER_CLEAN!A108</f>
        <v>107</v>
      </c>
      <c r="B108" s="5" t="n">
        <f aca="false">ITEM_MASTER_CLEAN!B108</f>
        <v>12586</v>
      </c>
      <c r="C108" s="5" t="str">
        <f aca="false">ITEM_MASTER_CLEAN!C108</f>
        <v>MTY DIP 56% CHOCOLATE 6X1K</v>
      </c>
      <c r="D108" s="5" t="str">
        <f aca="false">IF(ITEM_MASTER_CLEAN!J108&lt;&gt;"",ITEM_MASTER_CLEAN!J108&amp;" COST ","")&amp;IF(ITEM_MASTER_CLEAN!K108&lt;&gt;"",ITEM_MASTER_CLEAN!K108&amp;" PACK ","")&amp;IF(ITEM_MASTER_CLEAN!L108&lt;&gt;"",ITEM_MASTER_CLEAN!L108&amp;" CAT ","")&amp;IF(ITEM_MASTER_CLEAN!M108&lt;&gt;"",ITEM_MASTER_CLEAN!M108,"")</f>
        <v/>
      </c>
      <c r="E108" s="5" t="str">
        <f aca="false">IF(D108="","No issues","Excluded from cost/value calculations where data missing")</f>
        <v>No issues</v>
      </c>
    </row>
    <row r="109" customFormat="false" ht="15" hidden="false" customHeight="false" outlineLevel="0" collapsed="false">
      <c r="A109" s="5" t="n">
        <f aca="false">ITEM_MASTER_CLEAN!A109</f>
        <v>108</v>
      </c>
      <c r="B109" s="5" t="n">
        <f aca="false">ITEM_MASTER_CLEAN!B109</f>
        <v>12597</v>
      </c>
      <c r="C109" s="5" t="str">
        <f aca="false">ITEM_MASTER_CLEAN!C109</f>
        <v>MTY DIP 70% DARK CHOC 6X1K</v>
      </c>
      <c r="D109" s="5" t="str">
        <f aca="false">IF(ITEM_MASTER_CLEAN!J109&lt;&gt;"",ITEM_MASTER_CLEAN!J109&amp;" COST ","")&amp;IF(ITEM_MASTER_CLEAN!K109&lt;&gt;"",ITEM_MASTER_CLEAN!K109&amp;" PACK ","")&amp;IF(ITEM_MASTER_CLEAN!L109&lt;&gt;"",ITEM_MASTER_CLEAN!L109&amp;" CAT ","")&amp;IF(ITEM_MASTER_CLEAN!M109&lt;&gt;"",ITEM_MASTER_CLEAN!M109,"")</f>
        <v/>
      </c>
      <c r="E109" s="5" t="str">
        <f aca="false">IF(D109="","No issues","Excluded from cost/value calculations where data missing")</f>
        <v>No issues</v>
      </c>
    </row>
    <row r="110" customFormat="false" ht="15" hidden="false" customHeight="false" outlineLevel="0" collapsed="false">
      <c r="A110" s="5" t="n">
        <f aca="false">ITEM_MASTER_CLEAN!A110</f>
        <v>109</v>
      </c>
      <c r="B110" s="5" t="n">
        <f aca="false">ITEM_MASTER_CLEAN!B110</f>
        <v>19646</v>
      </c>
      <c r="C110" s="5" t="str">
        <f aca="false">ITEM_MASTER_CLEAN!C110</f>
        <v>MTY DIP BANANA 6X1K</v>
      </c>
      <c r="D110" s="5" t="str">
        <f aca="false">IF(ITEM_MASTER_CLEAN!J110&lt;&gt;"",ITEM_MASTER_CLEAN!J110&amp;" COST ","")&amp;IF(ITEM_MASTER_CLEAN!K110&lt;&gt;"",ITEM_MASTER_CLEAN!K110&amp;" PACK ","")&amp;IF(ITEM_MASTER_CLEAN!L110&lt;&gt;"",ITEM_MASTER_CLEAN!L110&amp;" CAT ","")&amp;IF(ITEM_MASTER_CLEAN!M110&lt;&gt;"",ITEM_MASTER_CLEAN!M110,"")</f>
        <v/>
      </c>
      <c r="E110" s="5" t="str">
        <f aca="false">IF(D110="","No issues","Excluded from cost/value calculations where data missing")</f>
        <v>No issues</v>
      </c>
    </row>
    <row r="111" customFormat="false" ht="15" hidden="false" customHeight="false" outlineLevel="0" collapsed="false">
      <c r="A111" s="5" t="n">
        <f aca="false">ITEM_MASTER_CLEAN!A111</f>
        <v>110</v>
      </c>
      <c r="B111" s="5" t="n">
        <f aca="false">ITEM_MASTER_CLEAN!B111</f>
        <v>19647</v>
      </c>
      <c r="C111" s="5" t="str">
        <f aca="false">ITEM_MASTER_CLEAN!C111</f>
        <v>MTY DIP PEANUT BUTTER 6X1K</v>
      </c>
      <c r="D111" s="5" t="str">
        <f aca="false">IF(ITEM_MASTER_CLEAN!J111&lt;&gt;"",ITEM_MASTER_CLEAN!J111&amp;" COST ","")&amp;IF(ITEM_MASTER_CLEAN!K111&lt;&gt;"",ITEM_MASTER_CLEAN!K111&amp;" PACK ","")&amp;IF(ITEM_MASTER_CLEAN!L111&lt;&gt;"",ITEM_MASTER_CLEAN!L111&amp;" CAT ","")&amp;IF(ITEM_MASTER_CLEAN!M111&lt;&gt;"",ITEM_MASTER_CLEAN!M111,"")</f>
        <v/>
      </c>
      <c r="E111" s="5" t="str">
        <f aca="false">IF(D111="","No issues","Excluded from cost/value calculations where data missing")</f>
        <v>No issues</v>
      </c>
    </row>
    <row r="112" customFormat="false" ht="15" hidden="false" customHeight="false" outlineLevel="0" collapsed="false">
      <c r="A112" s="5" t="n">
        <f aca="false">ITEM_MASTER_CLEAN!A112</f>
        <v>111</v>
      </c>
      <c r="B112" s="5" t="n">
        <f aca="false">ITEM_MASTER_CLEAN!B112</f>
        <v>24809</v>
      </c>
      <c r="C112" s="5" t="str">
        <f aca="false">ITEM_MASTER_CLEAN!C112</f>
        <v>MTY DIP MAPLE 6X1K</v>
      </c>
      <c r="D112" s="5" t="str">
        <f aca="false">IF(ITEM_MASTER_CLEAN!J112&lt;&gt;"",ITEM_MASTER_CLEAN!J112&amp;" COST ","")&amp;IF(ITEM_MASTER_CLEAN!K112&lt;&gt;"",ITEM_MASTER_CLEAN!K112&amp;" PACK ","")&amp;IF(ITEM_MASTER_CLEAN!L112&lt;&gt;"",ITEM_MASTER_CLEAN!L112&amp;" CAT ","")&amp;IF(ITEM_MASTER_CLEAN!M112&lt;&gt;"",ITEM_MASTER_CLEAN!M112,"")</f>
        <v/>
      </c>
      <c r="E112" s="5" t="str">
        <f aca="false">IF(D112="","No issues","Excluded from cost/value calculations where data missing")</f>
        <v>No issues</v>
      </c>
    </row>
    <row r="113" customFormat="false" ht="15" hidden="false" customHeight="false" outlineLevel="0" collapsed="false">
      <c r="A113" s="5" t="n">
        <f aca="false">ITEM_MASTER_CLEAN!A113</f>
        <v>112</v>
      </c>
      <c r="B113" s="5" t="n">
        <f aca="false">ITEM_MASTER_CLEAN!B113</f>
        <v>24805</v>
      </c>
      <c r="C113" s="5" t="str">
        <f aca="false">ITEM_MASTER_CLEAN!C113</f>
        <v>MTY DIP WHITE 6X1K</v>
      </c>
      <c r="D113" s="5" t="str">
        <f aca="false">IF(ITEM_MASTER_CLEAN!J113&lt;&gt;"",ITEM_MASTER_CLEAN!J113&amp;" COST ","")&amp;IF(ITEM_MASTER_CLEAN!K113&lt;&gt;"",ITEM_MASTER_CLEAN!K113&amp;" PACK ","")&amp;IF(ITEM_MASTER_CLEAN!L113&lt;&gt;"",ITEM_MASTER_CLEAN!L113&amp;" CAT ","")&amp;IF(ITEM_MASTER_CLEAN!M113&lt;&gt;"",ITEM_MASTER_CLEAN!M113,"")</f>
        <v/>
      </c>
      <c r="E113" s="5" t="str">
        <f aca="false">IF(D113="","No issues","Excluded from cost/value calculations where data missing")</f>
        <v>No issues</v>
      </c>
    </row>
    <row r="114" customFormat="false" ht="15" hidden="false" customHeight="false" outlineLevel="0" collapsed="false">
      <c r="A114" s="5" t="n">
        <f aca="false">ITEM_MASTER_CLEAN!A114</f>
        <v>113</v>
      </c>
      <c r="B114" s="5" t="n">
        <f aca="false">ITEM_MASTER_CLEAN!B114</f>
        <v>19600</v>
      </c>
      <c r="C114" s="5" t="str">
        <f aca="false">ITEM_MASTER_CLEAN!C114</f>
        <v>MTY DIP CARAMEL ET SEL 6X1K</v>
      </c>
      <c r="D114" s="5" t="str">
        <f aca="false">IF(ITEM_MASTER_CLEAN!J114&lt;&gt;"",ITEM_MASTER_CLEAN!J114&amp;" COST ","")&amp;IF(ITEM_MASTER_CLEAN!K114&lt;&gt;"",ITEM_MASTER_CLEAN!K114&amp;" PACK ","")&amp;IF(ITEM_MASTER_CLEAN!L114&lt;&gt;"",ITEM_MASTER_CLEAN!L114&amp;" CAT ","")&amp;IF(ITEM_MASTER_CLEAN!M114&lt;&gt;"",ITEM_MASTER_CLEAN!M114,"")</f>
        <v/>
      </c>
      <c r="E114" s="5" t="str">
        <f aca="false">IF(D114="","No issues","Excluded from cost/value calculations where data missing")</f>
        <v>No issues</v>
      </c>
    </row>
    <row r="115" customFormat="false" ht="15" hidden="false" customHeight="false" outlineLevel="0" collapsed="false">
      <c r="A115" s="5" t="n">
        <f aca="false">ITEM_MASTER_CLEAN!A115</f>
        <v>114</v>
      </c>
      <c r="B115" s="5" t="n">
        <f aca="false">ITEM_MASTER_CLEAN!B115</f>
        <v>24759</v>
      </c>
      <c r="C115" s="5" t="str">
        <f aca="false">ITEM_MASTER_CLEAN!C115</f>
        <v>MTY DIP CHOC CARAMEL PECAN 6X1K</v>
      </c>
      <c r="D115" s="5" t="str">
        <f aca="false">IF(ITEM_MASTER_CLEAN!J115&lt;&gt;"",ITEM_MASTER_CLEAN!J115&amp;" COST ","")&amp;IF(ITEM_MASTER_CLEAN!K115&lt;&gt;"",ITEM_MASTER_CLEAN!K115&amp;" PACK ","")&amp;IF(ITEM_MASTER_CLEAN!L115&lt;&gt;"",ITEM_MASTER_CLEAN!L115&amp;" CAT ","")&amp;IF(ITEM_MASTER_CLEAN!M115&lt;&gt;"",ITEM_MASTER_CLEAN!M115,"")</f>
        <v/>
      </c>
      <c r="E115" s="5" t="str">
        <f aca="false">IF(D115="","No issues","Excluded from cost/value calculations where data missing")</f>
        <v>No issues</v>
      </c>
    </row>
    <row r="116" customFormat="false" ht="15" hidden="false" customHeight="false" outlineLevel="0" collapsed="false">
      <c r="A116" s="5" t="n">
        <f aca="false">ITEM_MASTER_CLEAN!A116</f>
        <v>115</v>
      </c>
      <c r="B116" s="5" t="n">
        <f aca="false">ITEM_MASTER_CLEAN!B116</f>
        <v>19598</v>
      </c>
      <c r="C116" s="5" t="str">
        <f aca="false">ITEM_MASTER_CLEAN!C116</f>
        <v>MTY DIP DULCE DE LECHE 6X1K</v>
      </c>
      <c r="D116" s="5" t="str">
        <f aca="false">IF(ITEM_MASTER_CLEAN!J116&lt;&gt;"",ITEM_MASTER_CLEAN!J116&amp;" COST ","")&amp;IF(ITEM_MASTER_CLEAN!K116&lt;&gt;"",ITEM_MASTER_CLEAN!K116&amp;" PACK ","")&amp;IF(ITEM_MASTER_CLEAN!L116&lt;&gt;"",ITEM_MASTER_CLEAN!L116&amp;" CAT ","")&amp;IF(ITEM_MASTER_CLEAN!M116&lt;&gt;"",ITEM_MASTER_CLEAN!M116,"")</f>
        <v/>
      </c>
      <c r="E116" s="5" t="str">
        <f aca="false">IF(D116="","No issues","Excluded from cost/value calculations where data missing")</f>
        <v>No issues</v>
      </c>
    </row>
    <row r="117" customFormat="false" ht="15" hidden="false" customHeight="false" outlineLevel="0" collapsed="false">
      <c r="A117" s="5" t="n">
        <f aca="false">ITEM_MASTER_CLEAN!A117</f>
        <v>116</v>
      </c>
      <c r="B117" s="5" t="n">
        <f aca="false">ITEM_MASTER_CLEAN!B117</f>
        <v>12603</v>
      </c>
      <c r="C117" s="5" t="str">
        <f aca="false">ITEM_MASTER_CLEAN!C117</f>
        <v>MTY DIP MILK CHOCOLATE 6X1K</v>
      </c>
      <c r="D117" s="5" t="str">
        <f aca="false">IF(ITEM_MASTER_CLEAN!J117&lt;&gt;"",ITEM_MASTER_CLEAN!J117&amp;" COST ","")&amp;IF(ITEM_MASTER_CLEAN!K117&lt;&gt;"",ITEM_MASTER_CLEAN!K117&amp;" PACK ","")&amp;IF(ITEM_MASTER_CLEAN!L117&lt;&gt;"",ITEM_MASTER_CLEAN!L117&amp;" CAT ","")&amp;IF(ITEM_MASTER_CLEAN!M117&lt;&gt;"",ITEM_MASTER_CLEAN!M117,"")</f>
        <v/>
      </c>
      <c r="E117" s="5" t="str">
        <f aca="false">IF(D117="","No issues","Excluded from cost/value calculations where data missing")</f>
        <v>No issues</v>
      </c>
    </row>
    <row r="118" customFormat="false" ht="15" hidden="false" customHeight="false" outlineLevel="0" collapsed="false">
      <c r="A118" s="5" t="n">
        <f aca="false">ITEM_MASTER_CLEAN!A118</f>
        <v>117</v>
      </c>
      <c r="B118" s="5" t="n">
        <f aca="false">ITEM_MASTER_CLEAN!B118</f>
        <v>24475</v>
      </c>
      <c r="C118" s="5" t="str">
        <f aca="false">ITEM_MASTER_CLEAN!C118</f>
        <v>MTY DIP IRISH CRM BAILEYS WH 6X1K</v>
      </c>
      <c r="D118" s="5" t="str">
        <f aca="false">IF(ITEM_MASTER_CLEAN!J118&lt;&gt;"",ITEM_MASTER_CLEAN!J118&amp;" COST ","")&amp;IF(ITEM_MASTER_CLEAN!K118&lt;&gt;"",ITEM_MASTER_CLEAN!K118&amp;" PACK ","")&amp;IF(ITEM_MASTER_CLEAN!L118&lt;&gt;"",ITEM_MASTER_CLEAN!L118&amp;" CAT ","")&amp;IF(ITEM_MASTER_CLEAN!M118&lt;&gt;"",ITEM_MASTER_CLEAN!M118,"")</f>
        <v/>
      </c>
      <c r="E118" s="5" t="str">
        <f aca="false">IF(D118="","No issues","Excluded from cost/value calculations where data missing")</f>
        <v>No issues</v>
      </c>
    </row>
    <row r="119" customFormat="false" ht="15" hidden="false" customHeight="false" outlineLevel="0" collapsed="false">
      <c r="A119" s="5" t="n">
        <f aca="false">ITEM_MASTER_CLEAN!A119</f>
        <v>118</v>
      </c>
      <c r="B119" s="5" t="n">
        <f aca="false">ITEM_MASTER_CLEAN!B119</f>
        <v>12558</v>
      </c>
      <c r="C119" s="5" t="str">
        <f aca="false">ITEM_MASTER_CLEAN!C119</f>
        <v>MTY DIP ESPRESSO 6X1KG</v>
      </c>
      <c r="D119" s="5" t="str">
        <f aca="false">IF(ITEM_MASTER_CLEAN!J119&lt;&gt;"",ITEM_MASTER_CLEAN!J119&amp;" COST ","")&amp;IF(ITEM_MASTER_CLEAN!K119&lt;&gt;"",ITEM_MASTER_CLEAN!K119&amp;" PACK ","")&amp;IF(ITEM_MASTER_CLEAN!L119&lt;&gt;"",ITEM_MASTER_CLEAN!L119&amp;" CAT ","")&amp;IF(ITEM_MASTER_CLEAN!M119&lt;&gt;"",ITEM_MASTER_CLEAN!M119,"")</f>
        <v/>
      </c>
      <c r="E119" s="5" t="str">
        <f aca="false">IF(D119="","No issues","Excluded from cost/value calculations where data missing")</f>
        <v>No issues</v>
      </c>
    </row>
    <row r="120" customFormat="false" ht="15" hidden="false" customHeight="false" outlineLevel="0" collapsed="false">
      <c r="A120" s="5" t="n">
        <f aca="false">ITEM_MASTER_CLEAN!A120</f>
        <v>119</v>
      </c>
      <c r="B120" s="5" t="n">
        <f aca="false">ITEM_MASTER_CLEAN!B120</f>
        <v>12582</v>
      </c>
      <c r="C120" s="5" t="str">
        <f aca="false">ITEM_MASTER_CLEAN!C120</f>
        <v>MTY DIP FLEUR DE SEL DARK 6X1K</v>
      </c>
      <c r="D120" s="5" t="str">
        <f aca="false">IF(ITEM_MASTER_CLEAN!J120&lt;&gt;"",ITEM_MASTER_CLEAN!J120&amp;" COST ","")&amp;IF(ITEM_MASTER_CLEAN!K120&lt;&gt;"",ITEM_MASTER_CLEAN!K120&amp;" PACK ","")&amp;IF(ITEM_MASTER_CLEAN!L120&lt;&gt;"",ITEM_MASTER_CLEAN!L120&amp;" CAT ","")&amp;IF(ITEM_MASTER_CLEAN!M120&lt;&gt;"",ITEM_MASTER_CLEAN!M120,"")</f>
        <v/>
      </c>
      <c r="E120" s="5" t="str">
        <f aca="false">IF(D120="","No issues","Excluded from cost/value calculations where data missing")</f>
        <v>No issues</v>
      </c>
    </row>
    <row r="121" customFormat="false" ht="15" hidden="false" customHeight="false" outlineLevel="0" collapsed="false">
      <c r="A121" s="5" t="n">
        <f aca="false">ITEM_MASTER_CLEAN!A121</f>
        <v>120</v>
      </c>
      <c r="B121" s="5" t="n">
        <f aca="false">ITEM_MASTER_CLEAN!B121</f>
        <v>24435</v>
      </c>
      <c r="C121" s="5" t="str">
        <f aca="false">ITEM_MASTER_CLEAN!C121</f>
        <v>MTY DIP STRAWBERRY CREAM 6X1K</v>
      </c>
      <c r="D121" s="5" t="str">
        <f aca="false">IF(ITEM_MASTER_CLEAN!J121&lt;&gt;"",ITEM_MASTER_CLEAN!J121&amp;" COST ","")&amp;IF(ITEM_MASTER_CLEAN!K121&lt;&gt;"",ITEM_MASTER_CLEAN!K121&amp;" PACK ","")&amp;IF(ITEM_MASTER_CLEAN!L121&lt;&gt;"",ITEM_MASTER_CLEAN!L121&amp;" CAT ","")&amp;IF(ITEM_MASTER_CLEAN!M121&lt;&gt;"",ITEM_MASTER_CLEAN!M121,"")</f>
        <v/>
      </c>
      <c r="E121" s="5" t="str">
        <f aca="false">IF(D121="","No issues","Excluded from cost/value calculations where data missing")</f>
        <v>No issues</v>
      </c>
    </row>
    <row r="122" customFormat="false" ht="15" hidden="false" customHeight="false" outlineLevel="0" collapsed="false">
      <c r="A122" s="5" t="n">
        <f aca="false">ITEM_MASTER_CLEAN!A122</f>
        <v>121</v>
      </c>
      <c r="B122" s="5" t="n">
        <f aca="false">ITEM_MASTER_CLEAN!B122</f>
        <v>24768</v>
      </c>
      <c r="C122" s="5" t="str">
        <f aca="false">ITEM_MASTER_CLEAN!C122</f>
        <v>MTY DIP CHEESE CAKE 6X1K</v>
      </c>
      <c r="D122" s="5" t="str">
        <f aca="false">IF(ITEM_MASTER_CLEAN!J122&lt;&gt;"",ITEM_MASTER_CLEAN!J122&amp;" COST ","")&amp;IF(ITEM_MASTER_CLEAN!K122&lt;&gt;"",ITEM_MASTER_CLEAN!K122&amp;" PACK ","")&amp;IF(ITEM_MASTER_CLEAN!L122&lt;&gt;"",ITEM_MASTER_CLEAN!L122&amp;" CAT ","")&amp;IF(ITEM_MASTER_CLEAN!M122&lt;&gt;"",ITEM_MASTER_CLEAN!M122,"")</f>
        <v/>
      </c>
      <c r="E122" s="5" t="str">
        <f aca="false">IF(D122="","No issues","Excluded from cost/value calculations where data missing")</f>
        <v>No issues</v>
      </c>
    </row>
    <row r="123" customFormat="false" ht="15" hidden="false" customHeight="false" outlineLevel="0" collapsed="false">
      <c r="A123" s="5" t="n">
        <f aca="false">ITEM_MASTER_CLEAN!A123</f>
        <v>122</v>
      </c>
      <c r="B123" s="5" t="n">
        <f aca="false">ITEM_MASTER_CLEAN!B123</f>
        <v>24777</v>
      </c>
      <c r="C123" s="5" t="str">
        <f aca="false">ITEM_MASTER_CLEAN!C123</f>
        <v>MTY DIP BIRTHDAY CAKE  6X1K</v>
      </c>
      <c r="D123" s="5" t="str">
        <f aca="false">IF(ITEM_MASTER_CLEAN!J123&lt;&gt;"",ITEM_MASTER_CLEAN!J123&amp;" COST ","")&amp;IF(ITEM_MASTER_CLEAN!K123&lt;&gt;"",ITEM_MASTER_CLEAN!K123&amp;" PACK ","")&amp;IF(ITEM_MASTER_CLEAN!L123&lt;&gt;"",ITEM_MASTER_CLEAN!L123&amp;" CAT ","")&amp;IF(ITEM_MASTER_CLEAN!M123&lt;&gt;"",ITEM_MASTER_CLEAN!M123,"")</f>
        <v/>
      </c>
      <c r="E123" s="5" t="str">
        <f aca="false">IF(D123="","No issues","Excluded from cost/value calculations where data missing")</f>
        <v>No issues</v>
      </c>
    </row>
    <row r="124" customFormat="false" ht="15" hidden="false" customHeight="false" outlineLevel="0" collapsed="false">
      <c r="A124" s="5" t="n">
        <f aca="false">ITEM_MASTER_CLEAN!A124</f>
        <v>123</v>
      </c>
      <c r="B124" s="5" t="n">
        <f aca="false">ITEM_MASTER_CLEAN!B124</f>
        <v>24766</v>
      </c>
      <c r="C124" s="5" t="str">
        <f aca="false">ITEM_MASTER_CLEAN!C124</f>
        <v>MTY DIP LEMONADE 6X1K</v>
      </c>
      <c r="D124" s="5" t="str">
        <f aca="false">IF(ITEM_MASTER_CLEAN!J124&lt;&gt;"",ITEM_MASTER_CLEAN!J124&amp;" COST ","")&amp;IF(ITEM_MASTER_CLEAN!K124&lt;&gt;"",ITEM_MASTER_CLEAN!K124&amp;" PACK ","")&amp;IF(ITEM_MASTER_CLEAN!L124&lt;&gt;"",ITEM_MASTER_CLEAN!L124&amp;" CAT ","")&amp;IF(ITEM_MASTER_CLEAN!M124&lt;&gt;"",ITEM_MASTER_CLEAN!M124,"")</f>
        <v/>
      </c>
      <c r="E124" s="5" t="str">
        <f aca="false">IF(D124="","No issues","Excluded from cost/value calculations where data missing")</f>
        <v>No issues</v>
      </c>
    </row>
    <row r="125" customFormat="false" ht="15" hidden="false" customHeight="false" outlineLevel="0" collapsed="false">
      <c r="A125" s="5" t="n">
        <f aca="false">ITEM_MASTER_CLEAN!A125</f>
        <v>124</v>
      </c>
      <c r="B125" s="5" t="n">
        <f aca="false">ITEM_MASTER_CLEAN!B125</f>
        <v>12584</v>
      </c>
      <c r="C125" s="5" t="str">
        <f aca="false">ITEM_MASTER_CLEAN!C125</f>
        <v>MTY DIP MANGO 6X1K</v>
      </c>
      <c r="D125" s="5" t="str">
        <f aca="false">IF(ITEM_MASTER_CLEAN!J125&lt;&gt;"",ITEM_MASTER_CLEAN!J125&amp;" COST ","")&amp;IF(ITEM_MASTER_CLEAN!K125&lt;&gt;"",ITEM_MASTER_CLEAN!K125&amp;" PACK ","")&amp;IF(ITEM_MASTER_CLEAN!L125&lt;&gt;"",ITEM_MASTER_CLEAN!L125&amp;" CAT ","")&amp;IF(ITEM_MASTER_CLEAN!M125&lt;&gt;"",ITEM_MASTER_CLEAN!M125,"")</f>
        <v/>
      </c>
      <c r="E125" s="5" t="str">
        <f aca="false">IF(D125="","No issues","Excluded from cost/value calculations where data missing")</f>
        <v>No issues</v>
      </c>
    </row>
    <row r="126" customFormat="false" ht="15" hidden="false" customHeight="false" outlineLevel="0" collapsed="false">
      <c r="A126" s="5" t="n">
        <f aca="false">ITEM_MASTER_CLEAN!A126</f>
        <v>125</v>
      </c>
      <c r="B126" s="5" t="n">
        <f aca="false">ITEM_MASTER_CLEAN!B126</f>
        <v>24763</v>
      </c>
      <c r="C126" s="5" t="str">
        <f aca="false">ITEM_MASTER_CLEAN!C126</f>
        <v>MTY MINT DARK CHOC  6X1K</v>
      </c>
      <c r="D126" s="5" t="str">
        <f aca="false">IF(ITEM_MASTER_CLEAN!J126&lt;&gt;"",ITEM_MASTER_CLEAN!J126&amp;" COST ","")&amp;IF(ITEM_MASTER_CLEAN!K126&lt;&gt;"",ITEM_MASTER_CLEAN!K126&amp;" PACK ","")&amp;IF(ITEM_MASTER_CLEAN!L126&lt;&gt;"",ITEM_MASTER_CLEAN!L126&amp;" CAT ","")&amp;IF(ITEM_MASTER_CLEAN!M126&lt;&gt;"",ITEM_MASTER_CLEAN!M126,"")</f>
        <v/>
      </c>
      <c r="E126" s="5" t="str">
        <f aca="false">IF(D126="","No issues","Excluded from cost/value calculations where data missing")</f>
        <v>No issues</v>
      </c>
    </row>
    <row r="127" customFormat="false" ht="15" hidden="false" customHeight="false" outlineLevel="0" collapsed="false">
      <c r="A127" s="5" t="n">
        <f aca="false">ITEM_MASTER_CLEAN!A127</f>
        <v>126</v>
      </c>
      <c r="B127" s="5" t="n">
        <f aca="false">ITEM_MASTER_CLEAN!B127</f>
        <v>24761</v>
      </c>
      <c r="C127" s="5" t="str">
        <f aca="false">ITEM_MASTER_CLEAN!C127</f>
        <v>MTY DIP ORANGE SORBET 6X1K</v>
      </c>
      <c r="D127" s="5" t="str">
        <f aca="false">IF(ITEM_MASTER_CLEAN!J127&lt;&gt;"",ITEM_MASTER_CLEAN!J127&amp;" COST ","")&amp;IF(ITEM_MASTER_CLEAN!K127&lt;&gt;"",ITEM_MASTER_CLEAN!K127&amp;" PACK ","")&amp;IF(ITEM_MASTER_CLEAN!L127&lt;&gt;"",ITEM_MASTER_CLEAN!L127&amp;" CAT ","")&amp;IF(ITEM_MASTER_CLEAN!M127&lt;&gt;"",ITEM_MASTER_CLEAN!M127,"")</f>
        <v/>
      </c>
      <c r="E127" s="5" t="str">
        <f aca="false">IF(D127="","No issues","Excluded from cost/value calculations where data missing")</f>
        <v>No issues</v>
      </c>
    </row>
    <row r="128" customFormat="false" ht="15" hidden="false" customHeight="false" outlineLevel="0" collapsed="false">
      <c r="A128" s="5" t="n">
        <f aca="false">ITEM_MASTER_CLEAN!A128</f>
        <v>127</v>
      </c>
      <c r="B128" s="5" t="n">
        <f aca="false">ITEM_MASTER_CLEAN!B128</f>
        <v>24822</v>
      </c>
      <c r="C128" s="5" t="str">
        <f aca="false">ITEM_MASTER_CLEAN!C128</f>
        <v>MTY DIP OREO 6X1K</v>
      </c>
      <c r="D128" s="5" t="str">
        <f aca="false">IF(ITEM_MASTER_CLEAN!J128&lt;&gt;"",ITEM_MASTER_CLEAN!J128&amp;" COST ","")&amp;IF(ITEM_MASTER_CLEAN!K128&lt;&gt;"",ITEM_MASTER_CLEAN!K128&amp;" PACK ","")&amp;IF(ITEM_MASTER_CLEAN!L128&lt;&gt;"",ITEM_MASTER_CLEAN!L128&amp;" CAT ","")&amp;IF(ITEM_MASTER_CLEAN!M128&lt;&gt;"",ITEM_MASTER_CLEAN!M128,"")</f>
        <v/>
      </c>
      <c r="E128" s="5" t="str">
        <f aca="false">IF(D128="","No issues","Excluded from cost/value calculations where data missing")</f>
        <v>No issues</v>
      </c>
    </row>
    <row r="129" customFormat="false" ht="15" hidden="false" customHeight="false" outlineLevel="0" collapsed="false">
      <c r="A129" s="5" t="n">
        <f aca="false">ITEM_MASTER_CLEAN!A129</f>
        <v>128</v>
      </c>
      <c r="B129" s="5" t="n">
        <f aca="false">ITEM_MASTER_CLEAN!B129</f>
        <v>19648</v>
      </c>
      <c r="C129" s="5" t="str">
        <f aca="false">ITEM_MASTER_CLEAN!C129</f>
        <v>MTY DIP COOKIE DOUGH 6X1K</v>
      </c>
      <c r="D129" s="5" t="str">
        <f aca="false">IF(ITEM_MASTER_CLEAN!J129&lt;&gt;"",ITEM_MASTER_CLEAN!J129&amp;" COST ","")&amp;IF(ITEM_MASTER_CLEAN!K129&lt;&gt;"",ITEM_MASTER_CLEAN!K129&amp;" PACK ","")&amp;IF(ITEM_MASTER_CLEAN!L129&lt;&gt;"",ITEM_MASTER_CLEAN!L129&amp;" CAT ","")&amp;IF(ITEM_MASTER_CLEAN!M129&lt;&gt;"",ITEM_MASTER_CLEAN!M129,"")</f>
        <v/>
      </c>
      <c r="E129" s="5" t="str">
        <f aca="false">IF(D129="","No issues","Excluded from cost/value calculations where data missing")</f>
        <v>No issues</v>
      </c>
    </row>
    <row r="130" customFormat="false" ht="15" hidden="false" customHeight="false" outlineLevel="0" collapsed="false">
      <c r="A130" s="5" t="n">
        <f aca="false">ITEM_MASTER_CLEAN!A130</f>
        <v>129</v>
      </c>
      <c r="B130" s="5" t="n">
        <f aca="false">ITEM_MASTER_CLEAN!B130</f>
        <v>24762</v>
      </c>
      <c r="C130" s="5" t="str">
        <f aca="false">ITEM_MASTER_CLEAN!C130</f>
        <v>MTY DIP PISTACHIO 6X1K</v>
      </c>
      <c r="D130" s="5" t="str">
        <f aca="false">IF(ITEM_MASTER_CLEAN!J130&lt;&gt;"",ITEM_MASTER_CLEAN!J130&amp;" COST ","")&amp;IF(ITEM_MASTER_CLEAN!K130&lt;&gt;"",ITEM_MASTER_CLEAN!K130&amp;" PACK ","")&amp;IF(ITEM_MASTER_CLEAN!L130&lt;&gt;"",ITEM_MASTER_CLEAN!L130&amp;" CAT ","")&amp;IF(ITEM_MASTER_CLEAN!M130&lt;&gt;"",ITEM_MASTER_CLEAN!M130,"")</f>
        <v/>
      </c>
      <c r="E130" s="5" t="str">
        <f aca="false">IF(D130="","No issues","Excluded from cost/value calculations where data missing")</f>
        <v>No issues</v>
      </c>
    </row>
    <row r="131" customFormat="false" ht="15" hidden="false" customHeight="false" outlineLevel="0" collapsed="false">
      <c r="A131" s="5" t="n">
        <f aca="false">ITEM_MASTER_CLEAN!A131</f>
        <v>130</v>
      </c>
      <c r="B131" s="5" t="n">
        <f aca="false">ITEM_MASTER_CLEAN!B131</f>
        <v>19649</v>
      </c>
      <c r="C131" s="5" t="str">
        <f aca="false">ITEM_MASTER_CLEAN!C131</f>
        <v>MTY DIP PRALINE/HAZLENUT 6X1K</v>
      </c>
      <c r="D131" s="5" t="str">
        <f aca="false">IF(ITEM_MASTER_CLEAN!J131&lt;&gt;"",ITEM_MASTER_CLEAN!J131&amp;" COST ","")&amp;IF(ITEM_MASTER_CLEAN!K131&lt;&gt;"",ITEM_MASTER_CLEAN!K131&amp;" PACK ","")&amp;IF(ITEM_MASTER_CLEAN!L131&lt;&gt;"",ITEM_MASTER_CLEAN!L131&amp;" CAT ","")&amp;IF(ITEM_MASTER_CLEAN!M131&lt;&gt;"",ITEM_MASTER_CLEAN!M131,"")</f>
        <v/>
      </c>
      <c r="E131" s="5" t="str">
        <f aca="false">IF(D131="","No issues","Excluded from cost/value calculations where data missing")</f>
        <v>No issues</v>
      </c>
    </row>
    <row r="132" customFormat="false" ht="15" hidden="false" customHeight="false" outlineLevel="0" collapsed="false">
      <c r="A132" s="5" t="n">
        <f aca="false">ITEM_MASTER_CLEAN!A132</f>
        <v>131</v>
      </c>
      <c r="B132" s="5" t="n">
        <f aca="false">ITEM_MASTER_CLEAN!B132</f>
        <v>19594</v>
      </c>
      <c r="C132" s="5" t="str">
        <f aca="false">ITEM_MASTER_CLEAN!C132</f>
        <v>MTY DIP RED VELVET 6X1K</v>
      </c>
      <c r="D132" s="5" t="str">
        <f aca="false">IF(ITEM_MASTER_CLEAN!J132&lt;&gt;"",ITEM_MASTER_CLEAN!J132&amp;" COST ","")&amp;IF(ITEM_MASTER_CLEAN!K132&lt;&gt;"",ITEM_MASTER_CLEAN!K132&amp;" PACK ","")&amp;IF(ITEM_MASTER_CLEAN!L132&lt;&gt;"",ITEM_MASTER_CLEAN!L132&amp;" CAT ","")&amp;IF(ITEM_MASTER_CLEAN!M132&lt;&gt;"",ITEM_MASTER_CLEAN!M132,"")</f>
        <v/>
      </c>
      <c r="E132" s="5" t="str">
        <f aca="false">IF(D132="","No issues","Excluded from cost/value calculations where data missing")</f>
        <v>No issues</v>
      </c>
    </row>
    <row r="133" customFormat="false" ht="15" hidden="false" customHeight="false" outlineLevel="0" collapsed="false">
      <c r="A133" s="5" t="n">
        <f aca="false">ITEM_MASTER_CLEAN!A133</f>
        <v>132</v>
      </c>
      <c r="B133" s="5" t="n">
        <f aca="false">ITEM_MASTER_CLEAN!B133</f>
        <v>24434</v>
      </c>
      <c r="C133" s="5" t="str">
        <f aca="false">ITEM_MASTER_CLEAN!C133</f>
        <v>MTY DIP SMORES 6X1K</v>
      </c>
      <c r="D133" s="5" t="str">
        <f aca="false">IF(ITEM_MASTER_CLEAN!J133&lt;&gt;"",ITEM_MASTER_CLEAN!J133&amp;" COST ","")&amp;IF(ITEM_MASTER_CLEAN!K133&lt;&gt;"",ITEM_MASTER_CLEAN!K133&amp;" PACK ","")&amp;IF(ITEM_MASTER_CLEAN!L133&lt;&gt;"",ITEM_MASTER_CLEAN!L133&amp;" CAT ","")&amp;IF(ITEM_MASTER_CLEAN!M133&lt;&gt;"",ITEM_MASTER_CLEAN!M133,"")</f>
        <v/>
      </c>
      <c r="E133" s="5" t="str">
        <f aca="false">IF(D133="","No issues","Excluded from cost/value calculations where data missing")</f>
        <v>No issues</v>
      </c>
    </row>
    <row r="134" customFormat="false" ht="15" hidden="false" customHeight="false" outlineLevel="0" collapsed="false">
      <c r="A134" s="5" t="n">
        <f aca="false">ITEM_MASTER_CLEAN!A134</f>
        <v>133</v>
      </c>
      <c r="B134" s="5" t="n">
        <f aca="false">ITEM_MASTER_CLEAN!B134</f>
        <v>19651</v>
      </c>
      <c r="C134" s="5" t="str">
        <f aca="false">ITEM_MASTER_CLEAN!C134</f>
        <v>MTY DIP BUENO 6X1K</v>
      </c>
      <c r="D134" s="5" t="str">
        <f aca="false">IF(ITEM_MASTER_CLEAN!J134&lt;&gt;"",ITEM_MASTER_CLEAN!J134&amp;" COST ","")&amp;IF(ITEM_MASTER_CLEAN!K134&lt;&gt;"",ITEM_MASTER_CLEAN!K134&amp;" PACK ","")&amp;IF(ITEM_MASTER_CLEAN!L134&lt;&gt;"",ITEM_MASTER_CLEAN!L134&amp;" CAT ","")&amp;IF(ITEM_MASTER_CLEAN!M134&lt;&gt;"",ITEM_MASTER_CLEAN!M134,"")</f>
        <v/>
      </c>
      <c r="E134" s="5" t="str">
        <f aca="false">IF(D134="","No issues","Excluded from cost/value calculations where data missing")</f>
        <v>No issues</v>
      </c>
    </row>
    <row r="135" customFormat="false" ht="15" hidden="false" customHeight="false" outlineLevel="0" collapsed="false">
      <c r="A135" s="5" t="n">
        <f aca="false">ITEM_MASTER_CLEAN!A135</f>
        <v>134</v>
      </c>
      <c r="B135" s="5" t="n">
        <f aca="false">ITEM_MASTER_CLEAN!B135</f>
        <v>19652</v>
      </c>
      <c r="C135" s="5" t="str">
        <f aca="false">ITEM_MASTER_CLEAN!C135</f>
        <v>MTY DIP LOTUS BISCOFF 6X1K</v>
      </c>
      <c r="D135" s="5" t="str">
        <f aca="false">IF(ITEM_MASTER_CLEAN!J135&lt;&gt;"",ITEM_MASTER_CLEAN!J135&amp;" COST ","")&amp;IF(ITEM_MASTER_CLEAN!K135&lt;&gt;"",ITEM_MASTER_CLEAN!K135&amp;" PACK ","")&amp;IF(ITEM_MASTER_CLEAN!L135&lt;&gt;"",ITEM_MASTER_CLEAN!L135&amp;" CAT ","")&amp;IF(ITEM_MASTER_CLEAN!M135&lt;&gt;"",ITEM_MASTER_CLEAN!M135,"")</f>
        <v/>
      </c>
      <c r="E135" s="5" t="str">
        <f aca="false">IF(D135="","No issues","Excluded from cost/value calculations where data missing")</f>
        <v>No issues</v>
      </c>
    </row>
    <row r="136" customFormat="false" ht="15" hidden="false" customHeight="false" outlineLevel="0" collapsed="false">
      <c r="A136" s="5" t="n">
        <f aca="false">ITEM_MASTER_CLEAN!A136</f>
        <v>135</v>
      </c>
      <c r="B136" s="5" t="n">
        <f aca="false">ITEM_MASTER_CLEAN!B136</f>
        <v>24775</v>
      </c>
      <c r="C136" s="5" t="str">
        <f aca="false">ITEM_MASTER_CLEAN!C136</f>
        <v>MTY LIQUIFIANT 6X700G</v>
      </c>
      <c r="D136" s="5" t="str">
        <f aca="false">IF(ITEM_MASTER_CLEAN!J136&lt;&gt;"",ITEM_MASTER_CLEAN!J136&amp;" COST ","")&amp;IF(ITEM_MASTER_CLEAN!K136&lt;&gt;"",ITEM_MASTER_CLEAN!K136&amp;" PACK ","")&amp;IF(ITEM_MASTER_CLEAN!L136&lt;&gt;"",ITEM_MASTER_CLEAN!L136&amp;" CAT ","")&amp;IF(ITEM_MASTER_CLEAN!M136&lt;&gt;"",ITEM_MASTER_CLEAN!M136,"")</f>
        <v/>
      </c>
      <c r="E136" s="5" t="str">
        <f aca="false">IF(D136="","No issues","Excluded from cost/value calculations where data missing")</f>
        <v>No issues</v>
      </c>
    </row>
    <row r="137" customFormat="false" ht="15" hidden="false" customHeight="false" outlineLevel="0" collapsed="false">
      <c r="A137" s="5" t="n">
        <f aca="false">ITEM_MASTER_CLEAN!A137</f>
        <v>136</v>
      </c>
      <c r="B137" s="5" t="n">
        <f aca="false">ITEM_MASTER_CLEAN!B137</f>
        <v>50346</v>
      </c>
      <c r="C137" s="5" t="str">
        <f aca="false">ITEM_MASTER_CLEAN!C137</f>
        <v>MTY CONE SOFT #55 SML 920</v>
      </c>
      <c r="D137" s="5" t="str">
        <f aca="false">IF(ITEM_MASTER_CLEAN!J137&lt;&gt;"",ITEM_MASTER_CLEAN!J137&amp;" COST ","")&amp;IF(ITEM_MASTER_CLEAN!K137&lt;&gt;"",ITEM_MASTER_CLEAN!K137&amp;" PACK ","")&amp;IF(ITEM_MASTER_CLEAN!L137&lt;&gt;"",ITEM_MASTER_CLEAN!L137&amp;" CAT ","")&amp;IF(ITEM_MASTER_CLEAN!M137&lt;&gt;"",ITEM_MASTER_CLEAN!M137,"")</f>
        <v/>
      </c>
      <c r="E137" s="5" t="str">
        <f aca="false">IF(D137="","No issues","Excluded from cost/value calculations where data missing")</f>
        <v>No issues</v>
      </c>
    </row>
    <row r="138" customFormat="false" ht="15" hidden="false" customHeight="false" outlineLevel="0" collapsed="false">
      <c r="A138" s="5" t="n">
        <f aca="false">ITEM_MASTER_CLEAN!A138</f>
        <v>137</v>
      </c>
      <c r="B138" s="5" t="n">
        <f aca="false">ITEM_MASTER_CLEAN!B138</f>
        <v>50335</v>
      </c>
      <c r="C138" s="5" t="str">
        <f aca="false">ITEM_MASTER_CLEAN!C138</f>
        <v>MTY CONE SOFT REG #59 10X100UN</v>
      </c>
      <c r="D138" s="5" t="str">
        <f aca="false">IF(ITEM_MASTER_CLEAN!J138&lt;&gt;"",ITEM_MASTER_CLEAN!J138&amp;" COST ","")&amp;IF(ITEM_MASTER_CLEAN!K138&lt;&gt;"",ITEM_MASTER_CLEAN!K138&amp;" PACK ","")&amp;IF(ITEM_MASTER_CLEAN!L138&lt;&gt;"",ITEM_MASTER_CLEAN!L138&amp;" CAT ","")&amp;IF(ITEM_MASTER_CLEAN!M138&lt;&gt;"",ITEM_MASTER_CLEAN!M138,"")</f>
        <v/>
      </c>
      <c r="E138" s="5" t="str">
        <f aca="false">IF(D138="","No issues","Excluded from cost/value calculations where data missing")</f>
        <v>No issues</v>
      </c>
    </row>
    <row r="139" customFormat="false" ht="15" hidden="false" customHeight="false" outlineLevel="0" collapsed="false">
      <c r="A139" s="5" t="n">
        <f aca="false">ITEM_MASTER_CLEAN!A139</f>
        <v>138</v>
      </c>
      <c r="B139" s="5" t="n">
        <f aca="false">ITEM_MASTER_CLEAN!B139</f>
        <v>34437</v>
      </c>
      <c r="C139" s="5" t="str">
        <f aca="false">ITEM_MASTER_CLEAN!C139</f>
        <v>CONE SUGAR #52 200UN</v>
      </c>
      <c r="D139" s="5" t="str">
        <f aca="false">IF(ITEM_MASTER_CLEAN!J139&lt;&gt;"",ITEM_MASTER_CLEAN!J139&amp;" COST ","")&amp;IF(ITEM_MASTER_CLEAN!K139&lt;&gt;"",ITEM_MASTER_CLEAN!K139&amp;" PACK ","")&amp;IF(ITEM_MASTER_CLEAN!L139&lt;&gt;"",ITEM_MASTER_CLEAN!L139&amp;" CAT ","")&amp;IF(ITEM_MASTER_CLEAN!M139&lt;&gt;"",ITEM_MASTER_CLEAN!M139,"")</f>
        <v/>
      </c>
      <c r="E139" s="5" t="str">
        <f aca="false">IF(D139="","No issues","Excluded from cost/value calculations where data missing")</f>
        <v>No issues</v>
      </c>
    </row>
    <row r="140" customFormat="false" ht="15" hidden="false" customHeight="false" outlineLevel="0" collapsed="false">
      <c r="A140" s="5" t="n">
        <f aca="false">ITEM_MASTER_CLEAN!A140</f>
        <v>139</v>
      </c>
      <c r="B140" s="5" t="n">
        <f aca="false">ITEM_MASTER_CLEAN!B140</f>
        <v>50332</v>
      </c>
      <c r="C140" s="5" t="str">
        <f aca="false">ITEM_MASTER_CLEAN!C140</f>
        <v>WAFFLE CONE #60 312UN</v>
      </c>
      <c r="D140" s="5" t="str">
        <f aca="false">IF(ITEM_MASTER_CLEAN!J140&lt;&gt;"",ITEM_MASTER_CLEAN!J140&amp;" COST ","")&amp;IF(ITEM_MASTER_CLEAN!K140&lt;&gt;"",ITEM_MASTER_CLEAN!K140&amp;" PACK ","")&amp;IF(ITEM_MASTER_CLEAN!L140&lt;&gt;"",ITEM_MASTER_CLEAN!L140&amp;" CAT ","")&amp;IF(ITEM_MASTER_CLEAN!M140&lt;&gt;"",ITEM_MASTER_CLEAN!M140,"")</f>
        <v/>
      </c>
      <c r="E140" s="5" t="str">
        <f aca="false">IF(D140="","No issues","Excluded from cost/value calculations where data missing")</f>
        <v>No issues</v>
      </c>
    </row>
    <row r="141" customFormat="false" ht="15" hidden="false" customHeight="false" outlineLevel="0" collapsed="false">
      <c r="A141" s="5" t="n">
        <f aca="false">ITEM_MASTER_CLEAN!A141</f>
        <v>140</v>
      </c>
      <c r="B141" s="5" t="n">
        <f aca="false">ITEM_MASTER_CLEAN!B141</f>
        <v>14929</v>
      </c>
      <c r="C141" s="5" t="str">
        <f aca="false">ITEM_MASTER_CLEAN!C141</f>
        <v>BISC OREO GRINDED 24X450G</v>
      </c>
      <c r="D141" s="5" t="str">
        <f aca="false">IF(ITEM_MASTER_CLEAN!J141&lt;&gt;"",ITEM_MASTER_CLEAN!J141&amp;" COST ","")&amp;IF(ITEM_MASTER_CLEAN!K141&lt;&gt;"",ITEM_MASTER_CLEAN!K141&amp;" PACK ","")&amp;IF(ITEM_MASTER_CLEAN!L141&lt;&gt;"",ITEM_MASTER_CLEAN!L141&amp;" CAT ","")&amp;IF(ITEM_MASTER_CLEAN!M141&lt;&gt;"",ITEM_MASTER_CLEAN!M141,"")</f>
        <v/>
      </c>
      <c r="E141" s="5" t="str">
        <f aca="false">IF(D141="","No issues","Excluded from cost/value calculations where data missing")</f>
        <v>No issues</v>
      </c>
    </row>
    <row r="142" customFormat="false" ht="15" hidden="false" customHeight="false" outlineLevel="0" collapsed="false">
      <c r="A142" s="5" t="n">
        <f aca="false">ITEM_MASTER_CLEAN!A142</f>
        <v>141</v>
      </c>
      <c r="B142" s="5" t="n">
        <f aca="false">ITEM_MASTER_CLEAN!B142</f>
        <v>61647</v>
      </c>
      <c r="C142" s="5" t="str">
        <f aca="false">ITEM_MASTER_CLEAN!C142</f>
        <v>CANDY COTTON CANDY PCS 80252 10LB</v>
      </c>
      <c r="D142" s="5" t="str">
        <f aca="false">IF(ITEM_MASTER_CLEAN!J142&lt;&gt;"",ITEM_MASTER_CLEAN!J142&amp;" COST ","")&amp;IF(ITEM_MASTER_CLEAN!K142&lt;&gt;"",ITEM_MASTER_CLEAN!K142&amp;" PACK ","")&amp;IF(ITEM_MASTER_CLEAN!L142&lt;&gt;"",ITEM_MASTER_CLEAN!L142&amp;" CAT ","")&amp;IF(ITEM_MASTER_CLEAN!M142&lt;&gt;"",ITEM_MASTER_CLEAN!M142,"")</f>
        <v/>
      </c>
      <c r="E142" s="5" t="str">
        <f aca="false">IF(D142="","No issues","Excluded from cost/value calculations where data missing")</f>
        <v>No issues</v>
      </c>
    </row>
    <row r="143" customFormat="false" ht="15" hidden="false" customHeight="false" outlineLevel="0" collapsed="false">
      <c r="A143" s="5" t="n">
        <f aca="false">ITEM_MASTER_CLEAN!A143</f>
        <v>142</v>
      </c>
      <c r="B143" s="5" t="n">
        <f aca="false">ITEM_MASTER_CLEAN!B143</f>
        <v>23656</v>
      </c>
      <c r="C143" s="5" t="str">
        <f aca="false">ITEM_MASTER_CLEAN!C143</f>
        <v>CANDY GUMMIE BEAR ASS'T 1X1.5K</v>
      </c>
      <c r="D143" s="5" t="str">
        <f aca="false">IF(ITEM_MASTER_CLEAN!J143&lt;&gt;"",ITEM_MASTER_CLEAN!J143&amp;" COST ","")&amp;IF(ITEM_MASTER_CLEAN!K143&lt;&gt;"",ITEM_MASTER_CLEAN!K143&amp;" PACK ","")&amp;IF(ITEM_MASTER_CLEAN!L143&lt;&gt;"",ITEM_MASTER_CLEAN!L143&amp;" CAT ","")&amp;IF(ITEM_MASTER_CLEAN!M143&lt;&gt;"",ITEM_MASTER_CLEAN!M143,"")</f>
        <v/>
      </c>
      <c r="E143" s="5" t="str">
        <f aca="false">IF(D143="","No issues","Excluded from cost/value calculations where data missing")</f>
        <v>No issues</v>
      </c>
    </row>
    <row r="144" customFormat="false" ht="15" hidden="false" customHeight="false" outlineLevel="0" collapsed="false">
      <c r="A144" s="5" t="n">
        <f aca="false">ITEM_MASTER_CLEAN!A144</f>
        <v>143</v>
      </c>
      <c r="B144" s="5" t="n">
        <f aca="false">ITEM_MASTER_CLEAN!B144</f>
        <v>61654</v>
      </c>
      <c r="C144" s="5" t="str">
        <f aca="false">ITEM_MASTER_CLEAN!C144</f>
        <v>CANDY NERDS RAINBOW N390-100 2X5LB</v>
      </c>
      <c r="D144" s="5" t="str">
        <f aca="false">IF(ITEM_MASTER_CLEAN!J144&lt;&gt;"",ITEM_MASTER_CLEAN!J144&amp;" COST ","")&amp;IF(ITEM_MASTER_CLEAN!K144&lt;&gt;"",ITEM_MASTER_CLEAN!K144&amp;" PACK ","")&amp;IF(ITEM_MASTER_CLEAN!L144&lt;&gt;"",ITEM_MASTER_CLEAN!L144&amp;" CAT ","")&amp;IF(ITEM_MASTER_CLEAN!M144&lt;&gt;"",ITEM_MASTER_CLEAN!M144,"")</f>
        <v/>
      </c>
      <c r="E144" s="5" t="str">
        <f aca="false">IF(D144="","No issues","Excluded from cost/value calculations where data missing")</f>
        <v>No issues</v>
      </c>
    </row>
    <row r="145" customFormat="false" ht="15" hidden="false" customHeight="false" outlineLevel="0" collapsed="false">
      <c r="A145" s="5" t="n">
        <f aca="false">ITEM_MASTER_CLEAN!A145</f>
        <v>144</v>
      </c>
      <c r="B145" s="5" t="n">
        <f aca="false">ITEM_MASTER_CLEAN!B145</f>
        <v>14624</v>
      </c>
      <c r="C145" s="5" t="str">
        <f aca="false">ITEM_MASTER_CLEAN!C145</f>
        <v>CRUMB GRAHAM DARE 5K</v>
      </c>
      <c r="D145" s="5" t="str">
        <f aca="false">IF(ITEM_MASTER_CLEAN!J145&lt;&gt;"",ITEM_MASTER_CLEAN!J145&amp;" COST ","")&amp;IF(ITEM_MASTER_CLEAN!K145&lt;&gt;"",ITEM_MASTER_CLEAN!K145&amp;" PACK ","")&amp;IF(ITEM_MASTER_CLEAN!L145&lt;&gt;"",ITEM_MASTER_CLEAN!L145&amp;" CAT ","")&amp;IF(ITEM_MASTER_CLEAN!M145&lt;&gt;"",ITEM_MASTER_CLEAN!M145,"")</f>
        <v/>
      </c>
      <c r="E145" s="5" t="str">
        <f aca="false">IF(D145="","No issues","Excluded from cost/value calculations where data missing")</f>
        <v>No issues</v>
      </c>
    </row>
    <row r="146" customFormat="false" ht="15" hidden="false" customHeight="false" outlineLevel="0" collapsed="false">
      <c r="A146" s="5" t="n">
        <f aca="false">ITEM_MASTER_CLEAN!A146</f>
        <v>145</v>
      </c>
      <c r="B146" s="5" t="n">
        <f aca="false">ITEM_MASTER_CLEAN!B146</f>
        <v>11692</v>
      </c>
      <c r="C146" s="5" t="str">
        <f aca="false">ITEM_MASTER_CLEAN!C146</f>
        <v>CHOC KIT KAT CRUSHED 4X907G</v>
      </c>
      <c r="D146" s="5" t="str">
        <f aca="false">IF(ITEM_MASTER_CLEAN!J146&lt;&gt;"",ITEM_MASTER_CLEAN!J146&amp;" COST ","")&amp;IF(ITEM_MASTER_CLEAN!K146&lt;&gt;"",ITEM_MASTER_CLEAN!K146&amp;" PACK ","")&amp;IF(ITEM_MASTER_CLEAN!L146&lt;&gt;"",ITEM_MASTER_CLEAN!L146&amp;" CAT ","")&amp;IF(ITEM_MASTER_CLEAN!M146&lt;&gt;"",ITEM_MASTER_CLEAN!M146,"")</f>
        <v/>
      </c>
      <c r="E146" s="5" t="str">
        <f aca="false">IF(D146="","No issues","Excluded from cost/value calculations where data missing")</f>
        <v>No issues</v>
      </c>
    </row>
    <row r="147" customFormat="false" ht="15" hidden="false" customHeight="false" outlineLevel="0" collapsed="false">
      <c r="A147" s="5" t="n">
        <f aca="false">ITEM_MASTER_CLEAN!A147</f>
        <v>146</v>
      </c>
      <c r="B147" s="5" t="n">
        <f aca="false">ITEM_MASTER_CLEAN!B147</f>
        <v>62812</v>
      </c>
      <c r="C147" s="5" t="str">
        <f aca="false">ITEM_MASTER_CLEAN!C147</f>
        <v>CHOC SKOR BITE BULK 413 4X1.36K</v>
      </c>
      <c r="D147" s="5" t="str">
        <f aca="false">IF(ITEM_MASTER_CLEAN!J147&lt;&gt;"",ITEM_MASTER_CLEAN!J147&amp;" COST ","")&amp;IF(ITEM_MASTER_CLEAN!K147&lt;&gt;"",ITEM_MASTER_CLEAN!K147&amp;" PACK ","")&amp;IF(ITEM_MASTER_CLEAN!L147&lt;&gt;"",ITEM_MASTER_CLEAN!L147&amp;" CAT ","")&amp;IF(ITEM_MASTER_CLEAN!M147&lt;&gt;"",ITEM_MASTER_CLEAN!M147,"")</f>
        <v/>
      </c>
      <c r="E147" s="5" t="str">
        <f aca="false">IF(D147="","No issues","Excluded from cost/value calculations where data missing")</f>
        <v>No issues</v>
      </c>
    </row>
    <row r="148" customFormat="false" ht="15" hidden="false" customHeight="false" outlineLevel="0" collapsed="false">
      <c r="A148" s="5" t="n">
        <f aca="false">ITEM_MASTER_CLEAN!A148</f>
        <v>147</v>
      </c>
      <c r="B148" s="5" t="n">
        <f aca="false">ITEM_MASTER_CLEAN!B148</f>
        <v>44503</v>
      </c>
      <c r="C148" s="5" t="str">
        <f aca="false">ITEM_MASTER_CLEAN!C148</f>
        <v>CHOC SMARTIES CRUSHED BULK 10X1.1K</v>
      </c>
      <c r="D148" s="5" t="str">
        <f aca="false">IF(ITEM_MASTER_CLEAN!J148&lt;&gt;"",ITEM_MASTER_CLEAN!J148&amp;" COST ","")&amp;IF(ITEM_MASTER_CLEAN!K148&lt;&gt;"",ITEM_MASTER_CLEAN!K148&amp;" PACK ","")&amp;IF(ITEM_MASTER_CLEAN!L148&lt;&gt;"",ITEM_MASTER_CLEAN!L148&amp;" CAT ","")&amp;IF(ITEM_MASTER_CLEAN!M148&lt;&gt;"",ITEM_MASTER_CLEAN!M148,"")</f>
        <v/>
      </c>
      <c r="E148" s="5" t="str">
        <f aca="false">IF(D148="","No issues","Excluded from cost/value calculations where data missing")</f>
        <v>No issues</v>
      </c>
    </row>
    <row r="149" customFormat="false" ht="15" hidden="false" customHeight="false" outlineLevel="0" collapsed="false">
      <c r="A149" s="5" t="n">
        <f aca="false">ITEM_MASTER_CLEAN!A149</f>
        <v>148</v>
      </c>
      <c r="B149" s="5" t="n">
        <f aca="false">ITEM_MASTER_CLEAN!B149</f>
        <v>37163</v>
      </c>
      <c r="C149" s="5" t="str">
        <f aca="false">ITEM_MASTER_CLEAN!C149</f>
        <v>MAPLE NUGGET SUGAR 4065 1X1K</v>
      </c>
      <c r="D149" s="5" t="str">
        <f aca="false">IF(ITEM_MASTER_CLEAN!J149&lt;&gt;"",ITEM_MASTER_CLEAN!J149&amp;" COST ","")&amp;IF(ITEM_MASTER_CLEAN!K149&lt;&gt;"",ITEM_MASTER_CLEAN!K149&amp;" PACK ","")&amp;IF(ITEM_MASTER_CLEAN!L149&lt;&gt;"",ITEM_MASTER_CLEAN!L149&amp;" CAT ","")&amp;IF(ITEM_MASTER_CLEAN!M149&lt;&gt;"",ITEM_MASTER_CLEAN!M149,"")</f>
        <v/>
      </c>
      <c r="E149" s="5" t="str">
        <f aca="false">IF(D149="","No issues","Excluded from cost/value calculations where data missing")</f>
        <v>No issues</v>
      </c>
    </row>
    <row r="150" customFormat="false" ht="15" hidden="false" customHeight="false" outlineLevel="0" collapsed="false">
      <c r="A150" s="5" t="n">
        <f aca="false">ITEM_MASTER_CLEAN!A150</f>
        <v>149</v>
      </c>
      <c r="B150" s="5" t="n">
        <f aca="false">ITEM_MASTER_CLEAN!B150</f>
        <v>32978</v>
      </c>
      <c r="C150" s="5" t="str">
        <f aca="false">ITEM_MASTER_CLEAN!C150</f>
        <v>NUTS ALMOND DICED 10658 25LB</v>
      </c>
      <c r="D150" s="5" t="str">
        <f aca="false">IF(ITEM_MASTER_CLEAN!J150&lt;&gt;"",ITEM_MASTER_CLEAN!J150&amp;" COST ","")&amp;IF(ITEM_MASTER_CLEAN!K150&lt;&gt;"",ITEM_MASTER_CLEAN!K150&amp;" PACK ","")&amp;IF(ITEM_MASTER_CLEAN!L150&lt;&gt;"",ITEM_MASTER_CLEAN!L150&amp;" CAT ","")&amp;IF(ITEM_MASTER_CLEAN!M150&lt;&gt;"",ITEM_MASTER_CLEAN!M150,"")</f>
        <v/>
      </c>
      <c r="E150" s="5" t="str">
        <f aca="false">IF(D150="","No issues","Excluded from cost/value calculations where data missing")</f>
        <v>No issues</v>
      </c>
    </row>
    <row r="151" customFormat="false" ht="15" hidden="false" customHeight="false" outlineLevel="0" collapsed="false">
      <c r="A151" s="5" t="n">
        <f aca="false">ITEM_MASTER_CLEAN!A151</f>
        <v>150</v>
      </c>
      <c r="B151" s="5" t="n">
        <f aca="false">ITEM_MASTER_CLEAN!B151</f>
        <v>61496</v>
      </c>
      <c r="C151" s="5" t="str">
        <f aca="false">ITEM_MASTER_CLEAN!C151</f>
        <v>NUTS PEANUT CRSHD RSTED 3X1K</v>
      </c>
      <c r="D151" s="5" t="str">
        <f aca="false">IF(ITEM_MASTER_CLEAN!J151&lt;&gt;"",ITEM_MASTER_CLEAN!J151&amp;" COST ","")&amp;IF(ITEM_MASTER_CLEAN!K151&lt;&gt;"",ITEM_MASTER_CLEAN!K151&amp;" PACK ","")&amp;IF(ITEM_MASTER_CLEAN!L151&lt;&gt;"",ITEM_MASTER_CLEAN!L151&amp;" CAT ","")&amp;IF(ITEM_MASTER_CLEAN!M151&lt;&gt;"",ITEM_MASTER_CLEAN!M151,"")</f>
        <v/>
      </c>
      <c r="E151" s="5" t="str">
        <f aca="false">IF(D151="","No issues","Excluded from cost/value calculations where data missing")</f>
        <v>No issues</v>
      </c>
    </row>
    <row r="152" customFormat="false" ht="15" hidden="false" customHeight="false" outlineLevel="0" collapsed="false">
      <c r="A152" s="5" t="n">
        <f aca="false">ITEM_MASTER_CLEAN!A152</f>
        <v>151</v>
      </c>
      <c r="B152" s="5" t="n">
        <f aca="false">ITEM_MASTER_CLEAN!B152</f>
        <v>32981</v>
      </c>
      <c r="C152" s="5" t="str">
        <f aca="false">ITEM_MASTER_CLEAN!C152</f>
        <v>COCONUT SHREDDED SWEET 10780 25LB</v>
      </c>
      <c r="D152" s="5" t="str">
        <f aca="false">IF(ITEM_MASTER_CLEAN!J152&lt;&gt;"",ITEM_MASTER_CLEAN!J152&amp;" COST ","")&amp;IF(ITEM_MASTER_CLEAN!K152&lt;&gt;"",ITEM_MASTER_CLEAN!K152&amp;" PACK ","")&amp;IF(ITEM_MASTER_CLEAN!L152&lt;&gt;"",ITEM_MASTER_CLEAN!L152&amp;" CAT ","")&amp;IF(ITEM_MASTER_CLEAN!M152&lt;&gt;"",ITEM_MASTER_CLEAN!M152,"")</f>
        <v/>
      </c>
      <c r="E152" s="5" t="str">
        <f aca="false">IF(D152="","No issues","Excluded from cost/value calculations where data missing")</f>
        <v>No issues</v>
      </c>
    </row>
    <row r="153" customFormat="false" ht="15" hidden="false" customHeight="false" outlineLevel="0" collapsed="false">
      <c r="A153" s="5" t="n">
        <f aca="false">ITEM_MASTER_CLEAN!A153</f>
        <v>152</v>
      </c>
      <c r="B153" s="5" t="n">
        <f aca="false">ITEM_MASTER_CLEAN!B153</f>
        <v>15058</v>
      </c>
      <c r="C153" s="5" t="str">
        <f aca="false">ITEM_MASTER_CLEAN!C153</f>
        <v>NUT HAZELNUT RSTD 3X1K</v>
      </c>
      <c r="D153" s="5" t="str">
        <f aca="false">IF(ITEM_MASTER_CLEAN!J153&lt;&gt;"",ITEM_MASTER_CLEAN!J153&amp;" COST ","")&amp;IF(ITEM_MASTER_CLEAN!K153&lt;&gt;"",ITEM_MASTER_CLEAN!K153&amp;" PACK ","")&amp;IF(ITEM_MASTER_CLEAN!L153&lt;&gt;"",ITEM_MASTER_CLEAN!L153&amp;" CAT ","")&amp;IF(ITEM_MASTER_CLEAN!M153&lt;&gt;"",ITEM_MASTER_CLEAN!M153,"")</f>
        <v/>
      </c>
      <c r="E153" s="5" t="str">
        <f aca="false">IF(D153="","No issues","Excluded from cost/value calculations where data missing")</f>
        <v>No issues</v>
      </c>
    </row>
    <row r="154" customFormat="false" ht="15" hidden="false" customHeight="false" outlineLevel="0" collapsed="false">
      <c r="A154" s="5" t="n">
        <f aca="false">ITEM_MASTER_CLEAN!A154</f>
        <v>153</v>
      </c>
      <c r="B154" s="5" t="n">
        <f aca="false">ITEM_MASTER_CLEAN!B154</f>
        <v>40251</v>
      </c>
      <c r="C154" s="5" t="str">
        <f aca="false">ITEM_MASTER_CLEAN!C154</f>
        <v>NUT PISTACHIO N/SHELL 1KG</v>
      </c>
      <c r="D154" s="5" t="str">
        <f aca="false">IF(ITEM_MASTER_CLEAN!J154&lt;&gt;"",ITEM_MASTER_CLEAN!J154&amp;" COST ","")&amp;IF(ITEM_MASTER_CLEAN!K154&lt;&gt;"",ITEM_MASTER_CLEAN!K154&amp;" PACK ","")&amp;IF(ITEM_MASTER_CLEAN!L154&lt;&gt;"",ITEM_MASTER_CLEAN!L154&amp;" CAT ","")&amp;IF(ITEM_MASTER_CLEAN!M154&lt;&gt;"",ITEM_MASTER_CLEAN!M154,"")</f>
        <v/>
      </c>
      <c r="E154" s="5" t="str">
        <f aca="false">IF(D154="","No issues","Excluded from cost/value calculations where data missing")</f>
        <v>No issues</v>
      </c>
    </row>
    <row r="155" customFormat="false" ht="15" hidden="false" customHeight="false" outlineLevel="0" collapsed="false">
      <c r="A155" s="5" t="n">
        <f aca="false">ITEM_MASTER_CLEAN!A155</f>
        <v>154</v>
      </c>
      <c r="B155" s="5" t="n">
        <f aca="false">ITEM_MASTER_CLEAN!B155</f>
        <v>34732</v>
      </c>
      <c r="C155" s="5" t="str">
        <f aca="false">ITEM_MASTER_CLEAN!C155</f>
        <v>PRETZEL MINI PRT5204 20LB</v>
      </c>
      <c r="D155" s="5" t="str">
        <f aca="false">IF(ITEM_MASTER_CLEAN!J155&lt;&gt;"",ITEM_MASTER_CLEAN!J155&amp;" COST ","")&amp;IF(ITEM_MASTER_CLEAN!K155&lt;&gt;"",ITEM_MASTER_CLEAN!K155&amp;" PACK ","")&amp;IF(ITEM_MASTER_CLEAN!L155&lt;&gt;"",ITEM_MASTER_CLEAN!L155&amp;" CAT ","")&amp;IF(ITEM_MASTER_CLEAN!M155&lt;&gt;"",ITEM_MASTER_CLEAN!M155,"")</f>
        <v/>
      </c>
      <c r="E155" s="5" t="str">
        <f aca="false">IF(D155="","No issues","Excluded from cost/value calculations where data missing")</f>
        <v>No issues</v>
      </c>
    </row>
    <row r="156" customFormat="false" ht="15" hidden="false" customHeight="false" outlineLevel="0" collapsed="false">
      <c r="A156" s="5" t="n">
        <f aca="false">ITEM_MASTER_CLEAN!A156</f>
        <v>155</v>
      </c>
      <c r="B156" s="5" t="n">
        <f aca="false">ITEM_MASTER_CLEAN!B156</f>
        <v>61580</v>
      </c>
      <c r="C156" s="5" t="str">
        <f aca="false">ITEM_MASTER_CLEAN!C156</f>
        <v>SPRINKLES CHOCOLATE K 3K</v>
      </c>
      <c r="D156" s="5" t="str">
        <f aca="false">IF(ITEM_MASTER_CLEAN!J156&lt;&gt;"",ITEM_MASTER_CLEAN!J156&amp;" COST ","")&amp;IF(ITEM_MASTER_CLEAN!K156&lt;&gt;"",ITEM_MASTER_CLEAN!K156&amp;" PACK ","")&amp;IF(ITEM_MASTER_CLEAN!L156&lt;&gt;"",ITEM_MASTER_CLEAN!L156&amp;" CAT ","")&amp;IF(ITEM_MASTER_CLEAN!M156&lt;&gt;"",ITEM_MASTER_CLEAN!M156,"")</f>
        <v/>
      </c>
      <c r="E156" s="5" t="str">
        <f aca="false">IF(D156="","No issues","Excluded from cost/value calculations where data missing")</f>
        <v>No issues</v>
      </c>
    </row>
    <row r="157" customFormat="false" ht="15" hidden="false" customHeight="false" outlineLevel="0" collapsed="false">
      <c r="A157" s="5" t="n">
        <f aca="false">ITEM_MASTER_CLEAN!A157</f>
        <v>156</v>
      </c>
      <c r="B157" s="5" t="n">
        <f aca="false">ITEM_MASTER_CLEAN!B157</f>
        <v>61581</v>
      </c>
      <c r="C157" s="5" t="str">
        <f aca="false">ITEM_MASTER_CLEAN!C157</f>
        <v>SPRINKLES RAINBOW 3K</v>
      </c>
      <c r="D157" s="5" t="str">
        <f aca="false">IF(ITEM_MASTER_CLEAN!J157&lt;&gt;"",ITEM_MASTER_CLEAN!J157&amp;" COST ","")&amp;IF(ITEM_MASTER_CLEAN!K157&lt;&gt;"",ITEM_MASTER_CLEAN!K157&amp;" PACK ","")&amp;IF(ITEM_MASTER_CLEAN!L157&lt;&gt;"",ITEM_MASTER_CLEAN!L157&amp;" CAT ","")&amp;IF(ITEM_MASTER_CLEAN!M157&lt;&gt;"",ITEM_MASTER_CLEAN!M157,"")</f>
        <v/>
      </c>
      <c r="E157" s="5" t="str">
        <f aca="false">IF(D157="","No issues","Excluded from cost/value calculations where data missing")</f>
        <v>No issues</v>
      </c>
    </row>
    <row r="158" customFormat="false" ht="15" hidden="false" customHeight="false" outlineLevel="0" collapsed="false">
      <c r="A158" s="5" t="n">
        <f aca="false">ITEM_MASTER_CLEAN!A158</f>
        <v>157</v>
      </c>
      <c r="B158" s="5" t="n">
        <f aca="false">ITEM_MASTER_CLEAN!B158</f>
        <v>67089</v>
      </c>
      <c r="C158" s="5" t="str">
        <f aca="false">ITEM_MASTER_CLEAN!C158</f>
        <v>SYRUP VANILLA MONIN K 750ML</v>
      </c>
      <c r="D158" s="5" t="str">
        <f aca="false">IF(ITEM_MASTER_CLEAN!J158&lt;&gt;"",ITEM_MASTER_CLEAN!J158&amp;" COST ","")&amp;IF(ITEM_MASTER_CLEAN!K158&lt;&gt;"",ITEM_MASTER_CLEAN!K158&amp;" PACK ","")&amp;IF(ITEM_MASTER_CLEAN!L158&lt;&gt;"",ITEM_MASTER_CLEAN!L158&amp;" CAT ","")&amp;IF(ITEM_MASTER_CLEAN!M158&lt;&gt;"",ITEM_MASTER_CLEAN!M158,"")</f>
        <v/>
      </c>
      <c r="E158" s="5" t="str">
        <f aca="false">IF(D158="","No issues","Excluded from cost/value calculations where data missing")</f>
        <v>No issues</v>
      </c>
    </row>
    <row r="159" customFormat="false" ht="15" hidden="false" customHeight="false" outlineLevel="0" collapsed="false">
      <c r="A159" s="5" t="n">
        <f aca="false">ITEM_MASTER_CLEAN!A159</f>
        <v>158</v>
      </c>
      <c r="B159" s="5" t="n">
        <f aca="false">ITEM_MASTER_CLEAN!B159</f>
        <v>67123</v>
      </c>
      <c r="C159" s="5" t="str">
        <f aca="false">ITEM_MASTER_CLEAN!C159</f>
        <v>SYRUP PUR CANE SUG MONIN 750ML</v>
      </c>
      <c r="D159" s="5" t="str">
        <f aca="false">IF(ITEM_MASTER_CLEAN!J159&lt;&gt;"",ITEM_MASTER_CLEAN!J159&amp;" COST ","")&amp;IF(ITEM_MASTER_CLEAN!K159&lt;&gt;"",ITEM_MASTER_CLEAN!K159&amp;" PACK ","")&amp;IF(ITEM_MASTER_CLEAN!L159&lt;&gt;"",ITEM_MASTER_CLEAN!L159&amp;" CAT ","")&amp;IF(ITEM_MASTER_CLEAN!M159&lt;&gt;"",ITEM_MASTER_CLEAN!M159,"")</f>
        <v/>
      </c>
      <c r="E159" s="5" t="str">
        <f aca="false">IF(D159="","No issues","Excluded from cost/value calculations where data missing")</f>
        <v>No issues</v>
      </c>
    </row>
    <row r="160" customFormat="false" ht="15" hidden="false" customHeight="false" outlineLevel="0" collapsed="false">
      <c r="A160" s="5" t="n">
        <f aca="false">ITEM_MASTER_CLEAN!A160</f>
        <v>159</v>
      </c>
      <c r="B160" s="5" t="n">
        <f aca="false">ITEM_MASTER_CLEAN!B160</f>
        <v>67121</v>
      </c>
      <c r="C160" s="5" t="str">
        <f aca="false">ITEM_MASTER_CLEAN!C160</f>
        <v>SYRUP MOJITO MONIN 750ML</v>
      </c>
      <c r="D160" s="5" t="str">
        <f aca="false">IF(ITEM_MASTER_CLEAN!J160&lt;&gt;"",ITEM_MASTER_CLEAN!J160&amp;" COST ","")&amp;IF(ITEM_MASTER_CLEAN!K160&lt;&gt;"",ITEM_MASTER_CLEAN!K160&amp;" PACK ","")&amp;IF(ITEM_MASTER_CLEAN!L160&lt;&gt;"",ITEM_MASTER_CLEAN!L160&amp;" CAT ","")&amp;IF(ITEM_MASTER_CLEAN!M160&lt;&gt;"",ITEM_MASTER_CLEAN!M160,"")</f>
        <v/>
      </c>
      <c r="E160" s="5" t="str">
        <f aca="false">IF(D160="","No issues","Excluded from cost/value calculations where data missing")</f>
        <v>No issues</v>
      </c>
    </row>
    <row r="161" customFormat="false" ht="15" hidden="false" customHeight="false" outlineLevel="0" collapsed="false">
      <c r="A161" s="5" t="n">
        <f aca="false">ITEM_MASTER_CLEAN!A161</f>
        <v>160</v>
      </c>
      <c r="B161" s="5" t="n">
        <f aca="false">ITEM_MASTER_CLEAN!B161</f>
        <v>67094</v>
      </c>
      <c r="C161" s="5" t="str">
        <f aca="false">ITEM_MASTER_CLEAN!C161</f>
        <v>PUMP SYRUP MONIN 750ML(WHITE) 1</v>
      </c>
      <c r="D161" s="5" t="str">
        <f aca="false">IF(ITEM_MASTER_CLEAN!J161&lt;&gt;"",ITEM_MASTER_CLEAN!J161&amp;" COST ","")&amp;IF(ITEM_MASTER_CLEAN!K161&lt;&gt;"",ITEM_MASTER_CLEAN!K161&amp;" PACK ","")&amp;IF(ITEM_MASTER_CLEAN!L161&lt;&gt;"",ITEM_MASTER_CLEAN!L161&amp;" CAT ","")&amp;IF(ITEM_MASTER_CLEAN!M161&lt;&gt;"",ITEM_MASTER_CLEAN!M161,"")</f>
        <v>DUPLICATE</v>
      </c>
      <c r="E161" s="5" t="str">
        <f aca="false">IF(D161="","No issues","Excluded from cost/value calculations where data missing")</f>
        <v>Excluded from cost/value calculations where data missing</v>
      </c>
    </row>
    <row r="162" customFormat="false" ht="23.85" hidden="false" customHeight="false" outlineLevel="0" collapsed="false">
      <c r="A162" s="5" t="n">
        <f aca="false">ITEM_MASTER_CLEAN!A162</f>
        <v>161</v>
      </c>
      <c r="B162" s="5" t="n">
        <f aca="false">ITEM_MASTER_CLEAN!B162</f>
        <v>67106</v>
      </c>
      <c r="C162" s="5" t="str">
        <f aca="false">ITEM_MASTER_CLEAN!C162</f>
        <v>COFF ICED CONCENTRATE M-FT216F 4X1L</v>
      </c>
      <c r="D162" s="5" t="str">
        <f aca="false">IF(ITEM_MASTER_CLEAN!J162&lt;&gt;"",ITEM_MASTER_CLEAN!J162&amp;" COST ","")&amp;IF(ITEM_MASTER_CLEAN!K162&lt;&gt;"",ITEM_MASTER_CLEAN!K162&amp;" PACK ","")&amp;IF(ITEM_MASTER_CLEAN!L162&lt;&gt;"",ITEM_MASTER_CLEAN!L162&amp;" CAT ","")&amp;IF(ITEM_MASTER_CLEAN!M162&lt;&gt;"",ITEM_MASTER_CLEAN!M162,"")</f>
        <v/>
      </c>
      <c r="E162" s="5" t="str">
        <f aca="false">IF(D162="","No issues","Excluded from cost/value calculations where data missing")</f>
        <v>No issues</v>
      </c>
    </row>
    <row r="163" customFormat="false" ht="15" hidden="false" customHeight="false" outlineLevel="0" collapsed="false">
      <c r="A163" s="5" t="n">
        <f aca="false">ITEM_MASTER_CLEAN!A163</f>
        <v>162</v>
      </c>
      <c r="B163" s="5" t="n">
        <f aca="false">ITEM_MASTER_CLEAN!B163</f>
        <v>25645</v>
      </c>
      <c r="C163" s="5" t="str">
        <f aca="false">ITEM_MASTER_CLEAN!C163</f>
        <v>WATER ESKA NATURAL SPRING 24X500ML</v>
      </c>
      <c r="D163" s="5" t="str">
        <f aca="false">IF(ITEM_MASTER_CLEAN!J163&lt;&gt;"",ITEM_MASTER_CLEAN!J163&amp;" COST ","")&amp;IF(ITEM_MASTER_CLEAN!K163&lt;&gt;"",ITEM_MASTER_CLEAN!K163&amp;" PACK ","")&amp;IF(ITEM_MASTER_CLEAN!L163&lt;&gt;"",ITEM_MASTER_CLEAN!L163&amp;" CAT ","")&amp;IF(ITEM_MASTER_CLEAN!M163&lt;&gt;"",ITEM_MASTER_CLEAN!M163,"")</f>
        <v/>
      </c>
      <c r="E163" s="5" t="str">
        <f aca="false">IF(D163="","No issues","Excluded from cost/value calculations where data missing")</f>
        <v>No issues</v>
      </c>
    </row>
    <row r="164" customFormat="false" ht="15" hidden="false" customHeight="false" outlineLevel="0" collapsed="false">
      <c r="A164" s="5" t="n">
        <f aca="false">ITEM_MASTER_CLEAN!A164</f>
        <v>163</v>
      </c>
      <c r="B164" s="5" t="n">
        <f aca="false">ITEM_MASTER_CLEAN!B164</f>
        <v>724574</v>
      </c>
      <c r="C164" s="5" t="str">
        <f aca="false">ITEM_MASTER_CLEAN!C164</f>
        <v>BEV RED BULL SUGAR FREE 24X250ML</v>
      </c>
      <c r="D164" s="5" t="str">
        <f aca="false">IF(ITEM_MASTER_CLEAN!J164&lt;&gt;"",ITEM_MASTER_CLEAN!J164&amp;" COST ","")&amp;IF(ITEM_MASTER_CLEAN!K164&lt;&gt;"",ITEM_MASTER_CLEAN!K164&amp;" PACK ","")&amp;IF(ITEM_MASTER_CLEAN!L164&lt;&gt;"",ITEM_MASTER_CLEAN!L164&amp;" CAT ","")&amp;IF(ITEM_MASTER_CLEAN!M164&lt;&gt;"",ITEM_MASTER_CLEAN!M164,"")</f>
        <v/>
      </c>
      <c r="E164" s="5" t="str">
        <f aca="false">IF(D164="","No issues","Excluded from cost/value calculations where data missing")</f>
        <v>No issues</v>
      </c>
    </row>
    <row r="165" customFormat="false" ht="15" hidden="false" customHeight="false" outlineLevel="0" collapsed="false">
      <c r="A165" s="5" t="n">
        <f aca="false">ITEM_MASTER_CLEAN!A165</f>
        <v>164</v>
      </c>
      <c r="B165" s="5" t="n">
        <f aca="false">ITEM_MASTER_CLEAN!B165</f>
        <v>724573</v>
      </c>
      <c r="C165" s="5" t="str">
        <f aca="false">ITEM_MASTER_CLEAN!C165</f>
        <v>BEV RED BULL 24X250ML</v>
      </c>
      <c r="D165" s="5" t="str">
        <f aca="false">IF(ITEM_MASTER_CLEAN!J165&lt;&gt;"",ITEM_MASTER_CLEAN!J165&amp;" COST ","")&amp;IF(ITEM_MASTER_CLEAN!K165&lt;&gt;"",ITEM_MASTER_CLEAN!K165&amp;" PACK ","")&amp;IF(ITEM_MASTER_CLEAN!L165&lt;&gt;"",ITEM_MASTER_CLEAN!L165&amp;" CAT ","")&amp;IF(ITEM_MASTER_CLEAN!M165&lt;&gt;"",ITEM_MASTER_CLEAN!M165,"")</f>
        <v/>
      </c>
      <c r="E165" s="5" t="str">
        <f aca="false">IF(D165="","No issues","Excluded from cost/value calculations where data missing")</f>
        <v>No issues</v>
      </c>
    </row>
    <row r="166" customFormat="false" ht="15" hidden="false" customHeight="false" outlineLevel="0" collapsed="false">
      <c r="A166" s="5" t="n">
        <f aca="false">ITEM_MASTER_CLEAN!A166</f>
        <v>165</v>
      </c>
      <c r="B166" s="5" t="n">
        <f aca="false">ITEM_MASTER_CLEAN!B166</f>
        <v>724571</v>
      </c>
      <c r="C166" s="5" t="str">
        <f aca="false">ITEM_MASTER_CLEAN!C166</f>
        <v>BEV RED BULL WATERMELON 24X250ML</v>
      </c>
      <c r="D166" s="5" t="str">
        <f aca="false">IF(ITEM_MASTER_CLEAN!J166&lt;&gt;"",ITEM_MASTER_CLEAN!J166&amp;" COST ","")&amp;IF(ITEM_MASTER_CLEAN!K166&lt;&gt;"",ITEM_MASTER_CLEAN!K166&amp;" PACK ","")&amp;IF(ITEM_MASTER_CLEAN!L166&lt;&gt;"",ITEM_MASTER_CLEAN!L166&amp;" CAT ","")&amp;IF(ITEM_MASTER_CLEAN!M166&lt;&gt;"",ITEM_MASTER_CLEAN!M166,"")</f>
        <v/>
      </c>
      <c r="E166" s="5" t="str">
        <f aca="false">IF(D166="","No issues","Excluded from cost/value calculations where data missing")</f>
        <v>No issues</v>
      </c>
    </row>
    <row r="167" customFormat="false" ht="15" hidden="false" customHeight="false" outlineLevel="0" collapsed="false">
      <c r="A167" s="5" t="n">
        <f aca="false">ITEM_MASTER_CLEAN!A167</f>
        <v>166</v>
      </c>
      <c r="B167" s="5" t="n">
        <f aca="false">ITEM_MASTER_CLEAN!B167</f>
        <v>45164</v>
      </c>
      <c r="C167" s="5" t="str">
        <f aca="false">ITEM_MASTER_CLEAN!C167</f>
        <v>POPPING BOBBA MANGO 2X3.1K</v>
      </c>
      <c r="D167" s="5" t="str">
        <f aca="false">IF(ITEM_MASTER_CLEAN!J167&lt;&gt;"",ITEM_MASTER_CLEAN!J167&amp;" COST ","")&amp;IF(ITEM_MASTER_CLEAN!K167&lt;&gt;"",ITEM_MASTER_CLEAN!K167&amp;" PACK ","")&amp;IF(ITEM_MASTER_CLEAN!L167&lt;&gt;"",ITEM_MASTER_CLEAN!L167&amp;" CAT ","")&amp;IF(ITEM_MASTER_CLEAN!M167&lt;&gt;"",ITEM_MASTER_CLEAN!M167,"")</f>
        <v/>
      </c>
      <c r="E167" s="5" t="str">
        <f aca="false">IF(D167="","No issues","Excluded from cost/value calculations where data missing")</f>
        <v>No issues</v>
      </c>
    </row>
    <row r="168" customFormat="false" ht="15" hidden="false" customHeight="false" outlineLevel="0" collapsed="false">
      <c r="A168" s="5" t="n">
        <f aca="false">ITEM_MASTER_CLEAN!A168</f>
        <v>167</v>
      </c>
      <c r="B168" s="5" t="n">
        <f aca="false">ITEM_MASTER_CLEAN!B168</f>
        <v>52266</v>
      </c>
      <c r="C168" s="5" t="str">
        <f aca="false">ITEM_MASTER_CLEAN!C168</f>
        <v>POPPING BOBBA STRAWBERRY 2X3.1K</v>
      </c>
      <c r="D168" s="5" t="str">
        <f aca="false">IF(ITEM_MASTER_CLEAN!J168&lt;&gt;"",ITEM_MASTER_CLEAN!J168&amp;" COST ","")&amp;IF(ITEM_MASTER_CLEAN!K168&lt;&gt;"",ITEM_MASTER_CLEAN!K168&amp;" PACK ","")&amp;IF(ITEM_MASTER_CLEAN!L168&lt;&gt;"",ITEM_MASTER_CLEAN!L168&amp;" CAT ","")&amp;IF(ITEM_MASTER_CLEAN!M168&lt;&gt;"",ITEM_MASTER_CLEAN!M168,"")</f>
        <v/>
      </c>
      <c r="E168" s="5" t="str">
        <f aca="false">IF(D168="","No issues","Excluded from cost/value calculations where data missing")</f>
        <v>No issues</v>
      </c>
    </row>
    <row r="169" customFormat="false" ht="23.85" hidden="false" customHeight="false" outlineLevel="0" collapsed="false">
      <c r="A169" s="5" t="n">
        <f aca="false">ITEM_MASTER_CLEAN!A169</f>
        <v>168</v>
      </c>
      <c r="B169" s="5" t="n">
        <f aca="false">ITEM_MASTER_CLEAN!B169</f>
        <v>39813</v>
      </c>
      <c r="C169" s="5" t="str">
        <f aca="false">ITEM_MASTER_CLEAN!C169</f>
        <v>LADIP SMOOTH MAN/PCH(SUNRIZE)40X135</v>
      </c>
      <c r="D169" s="5" t="str">
        <f aca="false">IF(ITEM_MASTER_CLEAN!J169&lt;&gt;"",ITEM_MASTER_CLEAN!J169&amp;" COST ","")&amp;IF(ITEM_MASTER_CLEAN!K169&lt;&gt;"",ITEM_MASTER_CLEAN!K169&amp;" PACK ","")&amp;IF(ITEM_MASTER_CLEAN!L169&lt;&gt;"",ITEM_MASTER_CLEAN!L169&amp;" CAT ","")&amp;IF(ITEM_MASTER_CLEAN!M169&lt;&gt;"",ITEM_MASTER_CLEAN!M169,"")</f>
        <v/>
      </c>
      <c r="E169" s="5" t="str">
        <f aca="false">IF(D169="","No issues","Excluded from cost/value calculations where data missing")</f>
        <v>No issues</v>
      </c>
    </row>
    <row r="170" customFormat="false" ht="15" hidden="false" customHeight="false" outlineLevel="0" collapsed="false">
      <c r="A170" s="5" t="n">
        <f aca="false">ITEM_MASTER_CLEAN!A170</f>
        <v>169</v>
      </c>
      <c r="B170" s="5" t="n">
        <f aca="false">ITEM_MASTER_CLEAN!B170</f>
        <v>39814</v>
      </c>
      <c r="C170" s="5" t="str">
        <f aca="false">ITEM_MASTER_CLEAN!C170</f>
        <v>LADIP SMOOTHIE MAN/KIWI(AZUR)40X135</v>
      </c>
      <c r="D170" s="5" t="str">
        <f aca="false">IF(ITEM_MASTER_CLEAN!J170&lt;&gt;"",ITEM_MASTER_CLEAN!J170&amp;" COST ","")&amp;IF(ITEM_MASTER_CLEAN!K170&lt;&gt;"",ITEM_MASTER_CLEAN!K170&amp;" PACK ","")&amp;IF(ITEM_MASTER_CLEAN!L170&lt;&gt;"",ITEM_MASTER_CLEAN!L170&amp;" CAT ","")&amp;IF(ITEM_MASTER_CLEAN!M170&lt;&gt;"",ITEM_MASTER_CLEAN!M170,"")</f>
        <v/>
      </c>
      <c r="E170" s="5" t="str">
        <f aca="false">IF(D170="","No issues","Excluded from cost/value calculations where data missing")</f>
        <v>No issues</v>
      </c>
    </row>
    <row r="171" customFormat="false" ht="15" hidden="false" customHeight="false" outlineLevel="0" collapsed="false">
      <c r="A171" s="5" t="n">
        <f aca="false">ITEM_MASTER_CLEAN!A171</f>
        <v>170</v>
      </c>
      <c r="B171" s="5" t="n">
        <f aca="false">ITEM_MASTER_CLEAN!B171</f>
        <v>32548</v>
      </c>
      <c r="C171" s="5" t="str">
        <f aca="false">ITEM_MASTER_CLEAN!C171</f>
        <v>JCE LEMON REALEMON K 2X3.8L</v>
      </c>
      <c r="D171" s="5" t="str">
        <f aca="false">IF(ITEM_MASTER_CLEAN!J171&lt;&gt;"",ITEM_MASTER_CLEAN!J171&amp;" COST ","")&amp;IF(ITEM_MASTER_CLEAN!K171&lt;&gt;"",ITEM_MASTER_CLEAN!K171&amp;" PACK ","")&amp;IF(ITEM_MASTER_CLEAN!L171&lt;&gt;"",ITEM_MASTER_CLEAN!L171&amp;" CAT ","")&amp;IF(ITEM_MASTER_CLEAN!M171&lt;&gt;"",ITEM_MASTER_CLEAN!M171,"")</f>
        <v/>
      </c>
      <c r="E171" s="5" t="str">
        <f aca="false">IF(D171="","No issues","Excluded from cost/value calculations where data missing")</f>
        <v>No issues</v>
      </c>
    </row>
    <row r="172" customFormat="false" ht="15" hidden="false" customHeight="false" outlineLevel="0" collapsed="false">
      <c r="A172" s="5" t="n">
        <f aca="false">ITEM_MASTER_CLEAN!A172</f>
        <v>171</v>
      </c>
      <c r="B172" s="5" t="n">
        <f aca="false">ITEM_MASTER_CLEAN!B172</f>
        <v>67168</v>
      </c>
      <c r="C172" s="5" t="str">
        <f aca="false">ITEM_MASTER_CLEAN!C172</f>
        <v>SYRUP MANGO M-FR032F 1L</v>
      </c>
      <c r="D172" s="5" t="str">
        <f aca="false">IF(ITEM_MASTER_CLEAN!J172&lt;&gt;"",ITEM_MASTER_CLEAN!J172&amp;" COST ","")&amp;IF(ITEM_MASTER_CLEAN!K172&lt;&gt;"",ITEM_MASTER_CLEAN!K172&amp;" PACK ","")&amp;IF(ITEM_MASTER_CLEAN!L172&lt;&gt;"",ITEM_MASTER_CLEAN!L172&amp;" CAT ","")&amp;IF(ITEM_MASTER_CLEAN!M172&lt;&gt;"",ITEM_MASTER_CLEAN!M172,"")</f>
        <v/>
      </c>
      <c r="E172" s="5" t="str">
        <f aca="false">IF(D172="","No issues","Excluded from cost/value calculations where data missing")</f>
        <v>No issues</v>
      </c>
    </row>
    <row r="173" customFormat="false" ht="15" hidden="false" customHeight="false" outlineLevel="0" collapsed="false">
      <c r="A173" s="5" t="n">
        <f aca="false">ITEM_MASTER_CLEAN!A173</f>
        <v>172</v>
      </c>
      <c r="B173" s="5" t="n">
        <f aca="false">ITEM_MASTER_CLEAN!B173</f>
        <v>67154</v>
      </c>
      <c r="C173" s="5" t="str">
        <f aca="false">ITEM_MASTER_CLEAN!C173</f>
        <v>SYRUP PASSION FRUIT 1L</v>
      </c>
      <c r="D173" s="5" t="str">
        <f aca="false">IF(ITEM_MASTER_CLEAN!J173&lt;&gt;"",ITEM_MASTER_CLEAN!J173&amp;" COST ","")&amp;IF(ITEM_MASTER_CLEAN!K173&lt;&gt;"",ITEM_MASTER_CLEAN!K173&amp;" PACK ","")&amp;IF(ITEM_MASTER_CLEAN!L173&lt;&gt;"",ITEM_MASTER_CLEAN!L173&amp;" CAT ","")&amp;IF(ITEM_MASTER_CLEAN!M173&lt;&gt;"",ITEM_MASTER_CLEAN!M173,"")</f>
        <v/>
      </c>
      <c r="E173" s="5" t="str">
        <f aca="false">IF(D173="","No issues","Excluded from cost/value calculations where data missing")</f>
        <v>No issues</v>
      </c>
    </row>
    <row r="174" customFormat="false" ht="15" hidden="false" customHeight="false" outlineLevel="0" collapsed="false">
      <c r="A174" s="5" t="n">
        <f aca="false">ITEM_MASTER_CLEAN!A174</f>
        <v>173</v>
      </c>
      <c r="B174" s="5" t="n">
        <f aca="false">ITEM_MASTER_CLEAN!B174</f>
        <v>67132</v>
      </c>
      <c r="C174" s="5" t="str">
        <f aca="false">ITEM_MASTER_CLEAN!C174</f>
        <v>SYRUP BLUE CURACAO M-AR007A  750ML</v>
      </c>
      <c r="D174" s="5" t="str">
        <f aca="false">IF(ITEM_MASTER_CLEAN!J174&lt;&gt;"",ITEM_MASTER_CLEAN!J174&amp;" COST ","")&amp;IF(ITEM_MASTER_CLEAN!K174&lt;&gt;"",ITEM_MASTER_CLEAN!K174&amp;" PACK ","")&amp;IF(ITEM_MASTER_CLEAN!L174&lt;&gt;"",ITEM_MASTER_CLEAN!L174&amp;" CAT ","")&amp;IF(ITEM_MASTER_CLEAN!M174&lt;&gt;"",ITEM_MASTER_CLEAN!M174,"")</f>
        <v/>
      </c>
      <c r="E174" s="5" t="str">
        <f aca="false">IF(D174="","No issues","Excluded from cost/value calculations where data missing")</f>
        <v>No issues</v>
      </c>
    </row>
    <row r="175" customFormat="false" ht="15" hidden="false" customHeight="false" outlineLevel="0" collapsed="false">
      <c r="A175" s="5" t="n">
        <f aca="false">ITEM_MASTER_CLEAN!A175</f>
        <v>174</v>
      </c>
      <c r="B175" s="5" t="n">
        <f aca="false">ITEM_MASTER_CLEAN!B175</f>
        <v>61661</v>
      </c>
      <c r="C175" s="5" t="str">
        <f aca="false">ITEM_MASTER_CLEAN!C175</f>
        <v>SYRUP RUBY RD GRFRUIT MONIN 1L</v>
      </c>
      <c r="D175" s="5" t="str">
        <f aca="false">IF(ITEM_MASTER_CLEAN!J175&lt;&gt;"",ITEM_MASTER_CLEAN!J175&amp;" COST ","")&amp;IF(ITEM_MASTER_CLEAN!K175&lt;&gt;"",ITEM_MASTER_CLEAN!K175&amp;" PACK ","")&amp;IF(ITEM_MASTER_CLEAN!L175&lt;&gt;"",ITEM_MASTER_CLEAN!L175&amp;" CAT ","")&amp;IF(ITEM_MASTER_CLEAN!M175&lt;&gt;"",ITEM_MASTER_CLEAN!M175,"")</f>
        <v/>
      </c>
      <c r="E175" s="5" t="str">
        <f aca="false">IF(D175="","No issues","Excluded from cost/value calculations where data missing")</f>
        <v>No issues</v>
      </c>
    </row>
    <row r="176" customFormat="false" ht="15" hidden="false" customHeight="false" outlineLevel="0" collapsed="false">
      <c r="A176" s="5" t="n">
        <f aca="false">ITEM_MASTER_CLEAN!A176</f>
        <v>175</v>
      </c>
      <c r="B176" s="5" t="n">
        <f aca="false">ITEM_MASTER_CLEAN!B176</f>
        <v>67085</v>
      </c>
      <c r="C176" s="5" t="str">
        <f aca="false">ITEM_MASTER_CLEAN!C176</f>
        <v>SYRUP STRAWBERRY MONIN K 750ML</v>
      </c>
      <c r="D176" s="5" t="str">
        <f aca="false">IF(ITEM_MASTER_CLEAN!J176&lt;&gt;"",ITEM_MASTER_CLEAN!J176&amp;" COST ","")&amp;IF(ITEM_MASTER_CLEAN!K176&lt;&gt;"",ITEM_MASTER_CLEAN!K176&amp;" PACK ","")&amp;IF(ITEM_MASTER_CLEAN!L176&lt;&gt;"",ITEM_MASTER_CLEAN!L176&amp;" CAT ","")&amp;IF(ITEM_MASTER_CLEAN!M176&lt;&gt;"",ITEM_MASTER_CLEAN!M176,"")</f>
        <v/>
      </c>
      <c r="E176" s="5" t="str">
        <f aca="false">IF(D176="","No issues","Excluded from cost/value calculations where data missing")</f>
        <v>No issues</v>
      </c>
    </row>
    <row r="177" customFormat="false" ht="15" hidden="false" customHeight="false" outlineLevel="0" collapsed="false">
      <c r="A177" s="5" t="n">
        <f aca="false">ITEM_MASTER_CLEAN!A177</f>
        <v>176</v>
      </c>
      <c r="B177" s="5" t="n">
        <f aca="false">ITEM_MASTER_CLEAN!B177</f>
        <v>67063</v>
      </c>
      <c r="C177" s="5" t="str">
        <f aca="false">ITEM_MASTER_CLEAN!C177</f>
        <v>SYRUP DRAGON FRUIT M-FR298F   1L</v>
      </c>
      <c r="D177" s="5" t="str">
        <f aca="false">IF(ITEM_MASTER_CLEAN!J177&lt;&gt;"",ITEM_MASTER_CLEAN!J177&amp;" COST ","")&amp;IF(ITEM_MASTER_CLEAN!K177&lt;&gt;"",ITEM_MASTER_CLEAN!K177&amp;" PACK ","")&amp;IF(ITEM_MASTER_CLEAN!L177&lt;&gt;"",ITEM_MASTER_CLEAN!L177&amp;" CAT ","")&amp;IF(ITEM_MASTER_CLEAN!M177&lt;&gt;"",ITEM_MASTER_CLEAN!M177,"")</f>
        <v/>
      </c>
      <c r="E177" s="5" t="str">
        <f aca="false">IF(D177="","No issues","Excluded from cost/value calculations where data missing")</f>
        <v>No issues</v>
      </c>
    </row>
    <row r="178" customFormat="false" ht="15" hidden="false" customHeight="false" outlineLevel="0" collapsed="false">
      <c r="A178" s="5" t="n">
        <f aca="false">ITEM_MASTER_CLEAN!A178</f>
        <v>177</v>
      </c>
      <c r="B178" s="5" t="n">
        <f aca="false">ITEM_MASTER_CLEAN!B178</f>
        <v>61739</v>
      </c>
      <c r="C178" s="5" t="str">
        <f aca="false">ITEM_MASTER_CLEAN!C178</f>
        <v>SYRUP HIBISCUS MONIN 1L</v>
      </c>
      <c r="D178" s="5" t="str">
        <f aca="false">IF(ITEM_MASTER_CLEAN!J178&lt;&gt;"",ITEM_MASTER_CLEAN!J178&amp;" COST ","")&amp;IF(ITEM_MASTER_CLEAN!K178&lt;&gt;"",ITEM_MASTER_CLEAN!K178&amp;" PACK ","")&amp;IF(ITEM_MASTER_CLEAN!L178&lt;&gt;"",ITEM_MASTER_CLEAN!L178&amp;" CAT ","")&amp;IF(ITEM_MASTER_CLEAN!M178&lt;&gt;"",ITEM_MASTER_CLEAN!M178,"")</f>
        <v/>
      </c>
      <c r="E178" s="5" t="str">
        <f aca="false">IF(D178="","No issues","Excluded from cost/value calculations where data missing")</f>
        <v>No issues</v>
      </c>
    </row>
    <row r="179" customFormat="false" ht="15" hidden="false" customHeight="false" outlineLevel="0" collapsed="false">
      <c r="A179" s="5" t="n">
        <f aca="false">ITEM_MASTER_CLEAN!A179</f>
        <v>178</v>
      </c>
      <c r="B179" s="5" t="n">
        <f aca="false">ITEM_MASTER_CLEAN!B179</f>
        <v>39817</v>
      </c>
      <c r="C179" s="5" t="str">
        <f aca="false">ITEM_MASTER_CLEAN!C179</f>
        <v>LADIP SMOOTH VANILLA/MAPLE 40X150G</v>
      </c>
      <c r="D179" s="5" t="str">
        <f aca="false">IF(ITEM_MASTER_CLEAN!J179&lt;&gt;"",ITEM_MASTER_CLEAN!J179&amp;" COST ","")&amp;IF(ITEM_MASTER_CLEAN!K179&lt;&gt;"",ITEM_MASTER_CLEAN!K179&amp;" PACK ","")&amp;IF(ITEM_MASTER_CLEAN!L179&lt;&gt;"",ITEM_MASTER_CLEAN!L179&amp;" CAT ","")&amp;IF(ITEM_MASTER_CLEAN!M179&lt;&gt;"",ITEM_MASTER_CLEAN!M179,"")</f>
        <v/>
      </c>
      <c r="E179" s="5" t="str">
        <f aca="false">IF(D179="","No issues","Excluded from cost/value calculations where data missing")</f>
        <v>No issues</v>
      </c>
    </row>
    <row r="180" customFormat="false" ht="15" hidden="false" customHeight="false" outlineLevel="0" collapsed="false">
      <c r="A180" s="5" t="n">
        <f aca="false">ITEM_MASTER_CLEAN!A180</f>
        <v>179</v>
      </c>
      <c r="B180" s="5" t="n">
        <f aca="false">ITEM_MASTER_CLEAN!B180</f>
        <v>67088</v>
      </c>
      <c r="C180" s="5" t="str">
        <f aca="false">ITEM_MASTER_CLEAN!C180</f>
        <v>SYRUP PEACH MONIN K 750ML</v>
      </c>
      <c r="D180" s="5" t="str">
        <f aca="false">IF(ITEM_MASTER_CLEAN!J180&lt;&gt;"",ITEM_MASTER_CLEAN!J180&amp;" COST ","")&amp;IF(ITEM_MASTER_CLEAN!K180&lt;&gt;"",ITEM_MASTER_CLEAN!K180&amp;" PACK ","")&amp;IF(ITEM_MASTER_CLEAN!L180&lt;&gt;"",ITEM_MASTER_CLEAN!L180&amp;" CAT ","")&amp;IF(ITEM_MASTER_CLEAN!M180&lt;&gt;"",ITEM_MASTER_CLEAN!M180,"")</f>
        <v/>
      </c>
      <c r="E180" s="5" t="str">
        <f aca="false">IF(D180="","No issues","Excluded from cost/value calculations where data missing")</f>
        <v>No issues</v>
      </c>
    </row>
    <row r="181" customFormat="false" ht="15" hidden="false" customHeight="false" outlineLevel="0" collapsed="false">
      <c r="A181" s="5" t="n">
        <f aca="false">ITEM_MASTER_CLEAN!A181</f>
        <v>180</v>
      </c>
      <c r="B181" s="5" t="n">
        <f aca="false">ITEM_MASTER_CLEAN!B181</f>
        <v>67094</v>
      </c>
      <c r="C181" s="5" t="str">
        <f aca="false">ITEM_MASTER_CLEAN!C181</f>
        <v>PUMP SYRUP MONIN 750ML(WHITE) 1</v>
      </c>
      <c r="D181" s="5" t="str">
        <f aca="false">IF(ITEM_MASTER_CLEAN!J181&lt;&gt;"",ITEM_MASTER_CLEAN!J181&amp;" COST ","")&amp;IF(ITEM_MASTER_CLEAN!K181&lt;&gt;"",ITEM_MASTER_CLEAN!K181&amp;" PACK ","")&amp;IF(ITEM_MASTER_CLEAN!L181&lt;&gt;"",ITEM_MASTER_CLEAN!L181&amp;" CAT ","")&amp;IF(ITEM_MASTER_CLEAN!M181&lt;&gt;"",ITEM_MASTER_CLEAN!M181,"")</f>
        <v>DUPLICATE</v>
      </c>
      <c r="E181" s="5" t="str">
        <f aca="false">IF(D181="","No issues","Excluded from cost/value calculations where data missing")</f>
        <v>Excluded from cost/value calculations where data missing</v>
      </c>
    </row>
    <row r="182" customFormat="false" ht="15" hidden="false" customHeight="false" outlineLevel="0" collapsed="false">
      <c r="A182" s="5" t="n">
        <f aca="false">ITEM_MASTER_CLEAN!A182</f>
        <v>181</v>
      </c>
      <c r="B182" s="5" t="n">
        <f aca="false">ITEM_MASTER_CLEAN!B182</f>
        <v>38527</v>
      </c>
      <c r="C182" s="5" t="str">
        <f aca="false">ITEM_MASTER_CLEAN!C182</f>
        <v>PUMP FOR SYRUP 1L X1</v>
      </c>
      <c r="D182" s="5" t="str">
        <f aca="false">IF(ITEM_MASTER_CLEAN!J182&lt;&gt;"",ITEM_MASTER_CLEAN!J182&amp;" COST ","")&amp;IF(ITEM_MASTER_CLEAN!K182&lt;&gt;"",ITEM_MASTER_CLEAN!K182&amp;" PACK ","")&amp;IF(ITEM_MASTER_CLEAN!L182&lt;&gt;"",ITEM_MASTER_CLEAN!L182&amp;" CAT ","")&amp;IF(ITEM_MASTER_CLEAN!M182&lt;&gt;"",ITEM_MASTER_CLEAN!M182,"")</f>
        <v/>
      </c>
      <c r="E182" s="5" t="str">
        <f aca="false">IF(D182="","No issues","Excluded from cost/value calculations where data missing")</f>
        <v>No issues</v>
      </c>
    </row>
    <row r="183" customFormat="false" ht="15" hidden="false" customHeight="false" outlineLevel="0" collapsed="false">
      <c r="A183" s="5" t="n">
        <f aca="false">ITEM_MASTER_CLEAN!A183</f>
        <v>182</v>
      </c>
      <c r="B183" s="5" t="n">
        <f aca="false">ITEM_MASTER_CLEAN!B183</f>
        <v>67112</v>
      </c>
      <c r="C183" s="5" t="str">
        <f aca="false">ITEM_MASTER_CLEAN!C183</f>
        <v>SYRUP STRAWBERRY WILD MONIN 1L</v>
      </c>
      <c r="D183" s="5" t="str">
        <f aca="false">IF(ITEM_MASTER_CLEAN!J183&lt;&gt;"",ITEM_MASTER_CLEAN!J183&amp;" COST ","")&amp;IF(ITEM_MASTER_CLEAN!K183&lt;&gt;"",ITEM_MASTER_CLEAN!K183&amp;" PACK ","")&amp;IF(ITEM_MASTER_CLEAN!L183&lt;&gt;"",ITEM_MASTER_CLEAN!L183&amp;" CAT ","")&amp;IF(ITEM_MASTER_CLEAN!M183&lt;&gt;"",ITEM_MASTER_CLEAN!M183,"")</f>
        <v/>
      </c>
      <c r="E183" s="5" t="str">
        <f aca="false">IF(D183="","No issues","Excluded from cost/value calculations where data missing")</f>
        <v>No issues</v>
      </c>
    </row>
    <row r="184" customFormat="false" ht="15" hidden="false" customHeight="false" outlineLevel="0" collapsed="false">
      <c r="A184" s="5" t="n">
        <f aca="false">ITEM_MASTER_CLEAN!A184</f>
        <v>183</v>
      </c>
      <c r="B184" s="5" t="n">
        <f aca="false">ITEM_MASTER_CLEAN!B184</f>
        <v>61558</v>
      </c>
      <c r="C184" s="5" t="str">
        <f aca="false">ITEM_MASTER_CLEAN!C184</f>
        <v>STRAW 8.5" BBL/TEA 12MM WH/PAP 2M</v>
      </c>
      <c r="D184" s="5" t="str">
        <f aca="false">IF(ITEM_MASTER_CLEAN!J184&lt;&gt;"",ITEM_MASTER_CLEAN!J184&amp;" COST ","")&amp;IF(ITEM_MASTER_CLEAN!K184&lt;&gt;"",ITEM_MASTER_CLEAN!K184&amp;" PACK ","")&amp;IF(ITEM_MASTER_CLEAN!L184&lt;&gt;"",ITEM_MASTER_CLEAN!L184&amp;" CAT ","")&amp;IF(ITEM_MASTER_CLEAN!M184&lt;&gt;"",ITEM_MASTER_CLEAN!M184,"")</f>
        <v>DUPLICATE</v>
      </c>
      <c r="E184" s="5" t="str">
        <f aca="false">IF(D184="","No issues","Excluded from cost/value calculations where data missing")</f>
        <v>Excluded from cost/value calculations where data missing</v>
      </c>
    </row>
    <row r="185" customFormat="false" ht="15" hidden="false" customHeight="false" outlineLevel="0" collapsed="false">
      <c r="A185" s="5" t="n">
        <f aca="false">ITEM_MASTER_CLEAN!A185</f>
        <v>184</v>
      </c>
      <c r="B185" s="5" t="n">
        <f aca="false">ITEM_MASTER_CLEAN!B185</f>
        <v>50046</v>
      </c>
      <c r="C185" s="5" t="str">
        <f aca="false">ITEM_MASTER_CLEAN!C185</f>
        <v>SLUSH BASE RTU 5+1 2X4L</v>
      </c>
      <c r="D185" s="5" t="str">
        <f aca="false">IF(ITEM_MASTER_CLEAN!J185&lt;&gt;"",ITEM_MASTER_CLEAN!J185&amp;" COST ","")&amp;IF(ITEM_MASTER_CLEAN!K185&lt;&gt;"",ITEM_MASTER_CLEAN!K185&amp;" PACK ","")&amp;IF(ITEM_MASTER_CLEAN!L185&lt;&gt;"",ITEM_MASTER_CLEAN!L185&amp;" CAT ","")&amp;IF(ITEM_MASTER_CLEAN!M185&lt;&gt;"",ITEM_MASTER_CLEAN!M185,"")</f>
        <v/>
      </c>
      <c r="E185" s="5" t="str">
        <f aca="false">IF(D185="","No issues","Excluded from cost/value calculations where data missing")</f>
        <v>No issues</v>
      </c>
    </row>
    <row r="186" customFormat="false" ht="15" hidden="false" customHeight="false" outlineLevel="0" collapsed="false">
      <c r="A186" s="5" t="n">
        <f aca="false">ITEM_MASTER_CLEAN!A186</f>
        <v>185</v>
      </c>
      <c r="B186" s="5" t="n">
        <f aca="false">ITEM_MASTER_CLEAN!B186</f>
        <v>97477</v>
      </c>
      <c r="C186" s="5" t="str">
        <f aca="false">ITEM_MASTER_CLEAN!C186</f>
        <v>9 SLUSH CONC.BUBBLE GUM  2X4L</v>
      </c>
      <c r="D186" s="5" t="str">
        <f aca="false">IF(ITEM_MASTER_CLEAN!J186&lt;&gt;"",ITEM_MASTER_CLEAN!J186&amp;" COST ","")&amp;IF(ITEM_MASTER_CLEAN!K186&lt;&gt;"",ITEM_MASTER_CLEAN!K186&amp;" PACK ","")&amp;IF(ITEM_MASTER_CLEAN!L186&lt;&gt;"",ITEM_MASTER_CLEAN!L186&amp;" CAT ","")&amp;IF(ITEM_MASTER_CLEAN!M186&lt;&gt;"",ITEM_MASTER_CLEAN!M186,"")</f>
        <v/>
      </c>
      <c r="E186" s="5" t="str">
        <f aca="false">IF(D186="","No issues","Excluded from cost/value calculations where data missing")</f>
        <v>No issues</v>
      </c>
    </row>
    <row r="187" customFormat="false" ht="15" hidden="false" customHeight="false" outlineLevel="0" collapsed="false">
      <c r="A187" s="5" t="n">
        <f aca="false">ITEM_MASTER_CLEAN!A187</f>
        <v>186</v>
      </c>
      <c r="B187" s="5" t="n">
        <f aca="false">ITEM_MASTER_CLEAN!B187</f>
        <v>50142</v>
      </c>
      <c r="C187" s="5" t="str">
        <f aca="false">ITEM_MASTER_CLEAN!C187</f>
        <v>9 SLUSH CONC.PEACH 3133024 2X4L</v>
      </c>
      <c r="D187" s="5" t="str">
        <f aca="false">IF(ITEM_MASTER_CLEAN!J187&lt;&gt;"",ITEM_MASTER_CLEAN!J187&amp;" COST ","")&amp;IF(ITEM_MASTER_CLEAN!K187&lt;&gt;"",ITEM_MASTER_CLEAN!K187&amp;" PACK ","")&amp;IF(ITEM_MASTER_CLEAN!L187&lt;&gt;"",ITEM_MASTER_CLEAN!L187&amp;" CAT ","")&amp;IF(ITEM_MASTER_CLEAN!M187&lt;&gt;"",ITEM_MASTER_CLEAN!M187,"")</f>
        <v/>
      </c>
      <c r="E187" s="5" t="str">
        <f aca="false">IF(D187="","No issues","Excluded from cost/value calculations where data missing")</f>
        <v>No issues</v>
      </c>
    </row>
    <row r="188" customFormat="false" ht="15" hidden="false" customHeight="false" outlineLevel="0" collapsed="false">
      <c r="A188" s="5" t="n">
        <f aca="false">ITEM_MASTER_CLEAN!A188</f>
        <v>187</v>
      </c>
      <c r="B188" s="5" t="n">
        <f aca="false">ITEM_MASTER_CLEAN!B188</f>
        <v>43369</v>
      </c>
      <c r="C188" s="5" t="str">
        <f aca="false">ITEM_MASTER_CLEAN!C188</f>
        <v>DIPP BAG COOKIE GREASPRF  PTD 1M</v>
      </c>
      <c r="D188" s="5" t="str">
        <f aca="false">IF(ITEM_MASTER_CLEAN!J188&lt;&gt;"",ITEM_MASTER_CLEAN!J188&amp;" COST ","")&amp;IF(ITEM_MASTER_CLEAN!K188&lt;&gt;"",ITEM_MASTER_CLEAN!K188&amp;" PACK ","")&amp;IF(ITEM_MASTER_CLEAN!L188&lt;&gt;"",ITEM_MASTER_CLEAN!L188&amp;" CAT ","")&amp;IF(ITEM_MASTER_CLEAN!M188&lt;&gt;"",ITEM_MASTER_CLEAN!M188,"")</f>
        <v/>
      </c>
      <c r="E188" s="5" t="str">
        <f aca="false">IF(D188="","No issues","Excluded from cost/value calculations where data missing")</f>
        <v>No issues</v>
      </c>
    </row>
    <row r="189" customFormat="false" ht="15" hidden="false" customHeight="false" outlineLevel="0" collapsed="false">
      <c r="A189" s="5" t="n">
        <f aca="false">ITEM_MASTER_CLEAN!A189</f>
        <v>188</v>
      </c>
      <c r="B189" s="5" t="n">
        <f aca="false">ITEM_MASTER_CLEAN!B189</f>
        <v>61763</v>
      </c>
      <c r="C189" s="5" t="str">
        <f aca="false">ITEM_MASTER_CLEAN!C189</f>
        <v>DIP BOX BLUE/DONUT 25X15X10  125</v>
      </c>
      <c r="D189" s="5" t="str">
        <f aca="false">IF(ITEM_MASTER_CLEAN!J189&lt;&gt;"",ITEM_MASTER_CLEAN!J189&amp;" COST ","")&amp;IF(ITEM_MASTER_CLEAN!K189&lt;&gt;"",ITEM_MASTER_CLEAN!K189&amp;" PACK ","")&amp;IF(ITEM_MASTER_CLEAN!L189&lt;&gt;"",ITEM_MASTER_CLEAN!L189&amp;" CAT ","")&amp;IF(ITEM_MASTER_CLEAN!M189&lt;&gt;"",ITEM_MASTER_CLEAN!M189,"")</f>
        <v/>
      </c>
      <c r="E189" s="5" t="str">
        <f aca="false">IF(D189="","No issues","Excluded from cost/value calculations where data missing")</f>
        <v>No issues</v>
      </c>
    </row>
    <row r="190" customFormat="false" ht="15" hidden="false" customHeight="false" outlineLevel="0" collapsed="false">
      <c r="A190" s="5" t="n">
        <f aca="false">ITEM_MASTER_CLEAN!A190</f>
        <v>189</v>
      </c>
      <c r="B190" s="5" t="n">
        <f aca="false">ITEM_MASTER_CLEAN!B190</f>
        <v>35182</v>
      </c>
      <c r="C190" s="5" t="str">
        <f aca="false">ITEM_MASTER_CLEAN!C190</f>
        <v>DIPP BOWL 6 OZ S605T-168259 1M</v>
      </c>
      <c r="D190" s="5" t="str">
        <f aca="false">IF(ITEM_MASTER_CLEAN!J190&lt;&gt;"",ITEM_MASTER_CLEAN!J190&amp;" COST ","")&amp;IF(ITEM_MASTER_CLEAN!K190&lt;&gt;"",ITEM_MASTER_CLEAN!K190&amp;" PACK ","")&amp;IF(ITEM_MASTER_CLEAN!L190&lt;&gt;"",ITEM_MASTER_CLEAN!L190&amp;" CAT ","")&amp;IF(ITEM_MASTER_CLEAN!M190&lt;&gt;"",ITEM_MASTER_CLEAN!M190,"")</f>
        <v/>
      </c>
      <c r="E190" s="5" t="str">
        <f aca="false">IF(D190="","No issues","Excluded from cost/value calculations where data missing")</f>
        <v>No issues</v>
      </c>
    </row>
    <row r="191" customFormat="false" ht="15" hidden="false" customHeight="false" outlineLevel="0" collapsed="false">
      <c r="A191" s="5" t="n">
        <f aca="false">ITEM_MASTER_CLEAN!A191</f>
        <v>190</v>
      </c>
      <c r="B191" s="5" t="n">
        <f aca="false">ITEM_MASTER_CLEAN!B191</f>
        <v>68687</v>
      </c>
      <c r="C191" s="5" t="str">
        <f aca="false">ITEM_MASTER_CLEAN!C191</f>
        <v>Couv 6oz</v>
      </c>
      <c r="D191" s="5" t="str">
        <f aca="false">IF(ITEM_MASTER_CLEAN!J191&lt;&gt;"",ITEM_MASTER_CLEAN!J191&amp;" COST ","")&amp;IF(ITEM_MASTER_CLEAN!K191&lt;&gt;"",ITEM_MASTER_CLEAN!K191&amp;" PACK ","")&amp;IF(ITEM_MASTER_CLEAN!L191&lt;&gt;"",ITEM_MASTER_CLEAN!L191&amp;" CAT ","")&amp;IF(ITEM_MASTER_CLEAN!M191&lt;&gt;"",ITEM_MASTER_CLEAN!M191,"")</f>
        <v/>
      </c>
      <c r="E191" s="5" t="str">
        <f aca="false">IF(D191="","No issues","Excluded from cost/value calculations where data missing")</f>
        <v>No issues</v>
      </c>
    </row>
    <row r="192" customFormat="false" ht="15" hidden="false" customHeight="false" outlineLevel="0" collapsed="false">
      <c r="A192" s="5" t="n">
        <f aca="false">ITEM_MASTER_CLEAN!A192</f>
        <v>191</v>
      </c>
      <c r="B192" s="5" t="n">
        <f aca="false">ITEM_MASTER_CLEAN!B192</f>
        <v>35171</v>
      </c>
      <c r="C192" s="5" t="str">
        <f aca="false">ITEM_MASTER_CLEAN!C192</f>
        <v>DIPP BOWL 8OZ VS608-168260 1M</v>
      </c>
      <c r="D192" s="5" t="str">
        <f aca="false">IF(ITEM_MASTER_CLEAN!J192&lt;&gt;"",ITEM_MASTER_CLEAN!J192&amp;" COST ","")&amp;IF(ITEM_MASTER_CLEAN!K192&lt;&gt;"",ITEM_MASTER_CLEAN!K192&amp;" PACK ","")&amp;IF(ITEM_MASTER_CLEAN!L192&lt;&gt;"",ITEM_MASTER_CLEAN!L192&amp;" CAT ","")&amp;IF(ITEM_MASTER_CLEAN!M192&lt;&gt;"",ITEM_MASTER_CLEAN!M192,"")</f>
        <v/>
      </c>
      <c r="E192" s="5" t="str">
        <f aca="false">IF(D192="","No issues","Excluded from cost/value calculations where data missing")</f>
        <v>No issues</v>
      </c>
    </row>
    <row r="193" customFormat="false" ht="15" hidden="false" customHeight="false" outlineLevel="0" collapsed="false">
      <c r="A193" s="5" t="n">
        <f aca="false">ITEM_MASTER_CLEAN!A193</f>
        <v>192</v>
      </c>
      <c r="B193" s="5" t="n">
        <f aca="false">ITEM_MASTER_CLEAN!B193</f>
        <v>35176</v>
      </c>
      <c r="C193" s="5" t="str">
        <f aca="false">ITEM_MASTER_CLEAN!C193</f>
        <v>couv / Lid  8oz</v>
      </c>
      <c r="D193" s="5" t="str">
        <f aca="false">IF(ITEM_MASTER_CLEAN!J193&lt;&gt;"",ITEM_MASTER_CLEAN!J193&amp;" COST ","")&amp;IF(ITEM_MASTER_CLEAN!K193&lt;&gt;"",ITEM_MASTER_CLEAN!K193&amp;" PACK ","")&amp;IF(ITEM_MASTER_CLEAN!L193&lt;&gt;"",ITEM_MASTER_CLEAN!L193&amp;" CAT ","")&amp;IF(ITEM_MASTER_CLEAN!M193&lt;&gt;"",ITEM_MASTER_CLEAN!M193,"")</f>
        <v/>
      </c>
      <c r="E193" s="5" t="str">
        <f aca="false">IF(D193="","No issues","Excluded from cost/value calculations where data missing")</f>
        <v>No issues</v>
      </c>
    </row>
    <row r="194" customFormat="false" ht="15" hidden="false" customHeight="false" outlineLevel="0" collapsed="false">
      <c r="A194" s="5" t="n">
        <f aca="false">ITEM_MASTER_CLEAN!A194</f>
        <v>193</v>
      </c>
      <c r="B194" s="5" t="n">
        <f aca="false">ITEM_MASTER_CLEAN!B194</f>
        <v>35026</v>
      </c>
      <c r="C194" s="5" t="str">
        <f aca="false">ITEM_MASTER_CLEAN!C194</f>
        <v>Dipp Bowl 12oz 1M</v>
      </c>
      <c r="D194" s="5" t="str">
        <f aca="false">IF(ITEM_MASTER_CLEAN!J194&lt;&gt;"",ITEM_MASTER_CLEAN!J194&amp;" COST ","")&amp;IF(ITEM_MASTER_CLEAN!K194&lt;&gt;"",ITEM_MASTER_CLEAN!K194&amp;" PACK ","")&amp;IF(ITEM_MASTER_CLEAN!L194&lt;&gt;"",ITEM_MASTER_CLEAN!L194&amp;" CAT ","")&amp;IF(ITEM_MASTER_CLEAN!M194&lt;&gt;"",ITEM_MASTER_CLEAN!M194,"")</f>
        <v/>
      </c>
      <c r="E194" s="5" t="str">
        <f aca="false">IF(D194="","No issues","Excluded from cost/value calculations where data missing")</f>
        <v>No issues</v>
      </c>
    </row>
    <row r="195" customFormat="false" ht="15" hidden="false" customHeight="false" outlineLevel="0" collapsed="false">
      <c r="A195" s="5" t="n">
        <f aca="false">ITEM_MASTER_CLEAN!A195</f>
        <v>194</v>
      </c>
      <c r="B195" s="5" t="n">
        <f aca="false">ITEM_MASTER_CLEAN!B195</f>
        <v>35226</v>
      </c>
      <c r="C195" s="5" t="str">
        <f aca="false">ITEM_MASTER_CLEAN!C195</f>
        <v>Lid for 12oz Bowl</v>
      </c>
      <c r="D195" s="5" t="str">
        <f aca="false">IF(ITEM_MASTER_CLEAN!J195&lt;&gt;"",ITEM_MASTER_CLEAN!J195&amp;" COST ","")&amp;IF(ITEM_MASTER_CLEAN!K195&lt;&gt;"",ITEM_MASTER_CLEAN!K195&amp;" PACK ","")&amp;IF(ITEM_MASTER_CLEAN!L195&lt;&gt;"",ITEM_MASTER_CLEAN!L195&amp;" CAT ","")&amp;IF(ITEM_MASTER_CLEAN!M195&lt;&gt;"",ITEM_MASTER_CLEAN!M195,"")</f>
        <v/>
      </c>
      <c r="E195" s="5" t="str">
        <f aca="false">IF(D195="","No issues","Excluded from cost/value calculations where data missing")</f>
        <v>No issues</v>
      </c>
    </row>
    <row r="196" customFormat="false" ht="15" hidden="false" customHeight="false" outlineLevel="0" collapsed="false">
      <c r="A196" s="5" t="n">
        <f aca="false">ITEM_MASTER_CLEAN!A196</f>
        <v>195</v>
      </c>
      <c r="B196" s="5" t="n">
        <f aca="false">ITEM_MASTER_CLEAN!B196</f>
        <v>33728</v>
      </c>
      <c r="C196" s="5" t="str">
        <f aca="false">ITEM_MASTER_CLEAN!C196</f>
        <v>DIPP CUP 10 OZ PAP RAZZLE PRT  1M</v>
      </c>
      <c r="D196" s="5" t="str">
        <f aca="false">IF(ITEM_MASTER_CLEAN!J196&lt;&gt;"",ITEM_MASTER_CLEAN!J196&amp;" COST ","")&amp;IF(ITEM_MASTER_CLEAN!K196&lt;&gt;"",ITEM_MASTER_CLEAN!K196&amp;" PACK ","")&amp;IF(ITEM_MASTER_CLEAN!L196&lt;&gt;"",ITEM_MASTER_CLEAN!L196&amp;" CAT ","")&amp;IF(ITEM_MASTER_CLEAN!M196&lt;&gt;"",ITEM_MASTER_CLEAN!M196,"")</f>
        <v/>
      </c>
      <c r="E196" s="5" t="str">
        <f aca="false">IF(D196="","No issues","Excluded from cost/value calculations where data missing")</f>
        <v>No issues</v>
      </c>
    </row>
    <row r="197" customFormat="false" ht="15" hidden="false" customHeight="false" outlineLevel="0" collapsed="false">
      <c r="A197" s="5" t="n">
        <f aca="false">ITEM_MASTER_CLEAN!A197</f>
        <v>196</v>
      </c>
      <c r="B197" s="5" t="n">
        <f aca="false">ITEM_MASTER_CLEAN!B197</f>
        <v>33729</v>
      </c>
      <c r="C197" s="5" t="str">
        <f aca="false">ITEM_MASTER_CLEAN!C197</f>
        <v>Lid Razzle/Coffee  white 1000</v>
      </c>
      <c r="D197" s="5" t="str">
        <f aca="false">IF(ITEM_MASTER_CLEAN!J197&lt;&gt;"",ITEM_MASTER_CLEAN!J197&amp;" COST ","")&amp;IF(ITEM_MASTER_CLEAN!K197&lt;&gt;"",ITEM_MASTER_CLEAN!K197&amp;" PACK ","")&amp;IF(ITEM_MASTER_CLEAN!L197&lt;&gt;"",ITEM_MASTER_CLEAN!L197&amp;" CAT ","")&amp;IF(ITEM_MASTER_CLEAN!M197&lt;&gt;"",ITEM_MASTER_CLEAN!M197,"")</f>
        <v/>
      </c>
      <c r="E197" s="5" t="str">
        <f aca="false">IF(D197="","No issues","Excluded from cost/value calculations where data missing")</f>
        <v>No issues</v>
      </c>
    </row>
    <row r="198" customFormat="false" ht="15" hidden="false" customHeight="false" outlineLevel="0" collapsed="false">
      <c r="A198" s="5" t="n">
        <f aca="false">ITEM_MASTER_CLEAN!A198</f>
        <v>197</v>
      </c>
      <c r="B198" s="5" t="n">
        <f aca="false">ITEM_MASTER_CLEAN!B198</f>
        <v>66985</v>
      </c>
      <c r="C198" s="5" t="str">
        <f aca="false">ITEM_MASTER_CLEAN!C198</f>
        <v>Lid Razzle Dome Clr 1000</v>
      </c>
      <c r="D198" s="5" t="str">
        <f aca="false">IF(ITEM_MASTER_CLEAN!J198&lt;&gt;"",ITEM_MASTER_CLEAN!J198&amp;" COST ","")&amp;IF(ITEM_MASTER_CLEAN!K198&lt;&gt;"",ITEM_MASTER_CLEAN!K198&amp;" PACK ","")&amp;IF(ITEM_MASTER_CLEAN!L198&lt;&gt;"",ITEM_MASTER_CLEAN!L198&amp;" CAT ","")&amp;IF(ITEM_MASTER_CLEAN!M198&lt;&gt;"",ITEM_MASTER_CLEAN!M198,"")</f>
        <v/>
      </c>
      <c r="E198" s="5" t="str">
        <f aca="false">IF(D198="","No issues","Excluded from cost/value calculations where data missing")</f>
        <v>No issues</v>
      </c>
    </row>
    <row r="199" customFormat="false" ht="15" hidden="false" customHeight="false" outlineLevel="0" collapsed="false">
      <c r="A199" s="5" t="n">
        <f aca="false">ITEM_MASTER_CLEAN!A199</f>
        <v>198</v>
      </c>
      <c r="B199" s="5" t="n">
        <f aca="false">ITEM_MASTER_CLEAN!B199</f>
        <v>63343</v>
      </c>
      <c r="C199" s="5" t="str">
        <f aca="false">ITEM_MASTER_CLEAN!C199</f>
        <v>CAKE DOME COMBO CLR 10"X5" 100</v>
      </c>
      <c r="D199" s="5" t="str">
        <f aca="false">IF(ITEM_MASTER_CLEAN!J199&lt;&gt;"",ITEM_MASTER_CLEAN!J199&amp;" COST ","")&amp;IF(ITEM_MASTER_CLEAN!K199&lt;&gt;"",ITEM_MASTER_CLEAN!K199&amp;" PACK ","")&amp;IF(ITEM_MASTER_CLEAN!L199&lt;&gt;"",ITEM_MASTER_CLEAN!L199&amp;" CAT ","")&amp;IF(ITEM_MASTER_CLEAN!M199&lt;&gt;"",ITEM_MASTER_CLEAN!M199,"")</f>
        <v/>
      </c>
      <c r="E199" s="5" t="str">
        <f aca="false">IF(D199="","No issues","Excluded from cost/value calculations where data missing")</f>
        <v>No issues</v>
      </c>
    </row>
    <row r="200" customFormat="false" ht="15" hidden="false" customHeight="false" outlineLevel="0" collapsed="false">
      <c r="A200" s="5" t="n">
        <f aca="false">ITEM_MASTER_CLEAN!A200</f>
        <v>199</v>
      </c>
      <c r="B200" s="5" t="n">
        <f aca="false">ITEM_MASTER_CLEAN!B200</f>
        <v>35113</v>
      </c>
      <c r="C200" s="5" t="str">
        <f aca="false">ITEM_MASTER_CLEAN!C200</f>
        <v>STICKS POPSICLE WOOD  1X1M</v>
      </c>
      <c r="D200" s="5" t="str">
        <f aca="false">IF(ITEM_MASTER_CLEAN!J200&lt;&gt;"",ITEM_MASTER_CLEAN!J200&amp;" COST ","")&amp;IF(ITEM_MASTER_CLEAN!K200&lt;&gt;"",ITEM_MASTER_CLEAN!K200&amp;" PACK ","")&amp;IF(ITEM_MASTER_CLEAN!L200&lt;&gt;"",ITEM_MASTER_CLEAN!L200&amp;" CAT ","")&amp;IF(ITEM_MASTER_CLEAN!M200&lt;&gt;"",ITEM_MASTER_CLEAN!M200,"")</f>
        <v/>
      </c>
      <c r="E200" s="5" t="str">
        <f aca="false">IF(D200="","No issues","Excluded from cost/value calculations where data missing")</f>
        <v>No issues</v>
      </c>
    </row>
    <row r="201" customFormat="false" ht="15" hidden="false" customHeight="false" outlineLevel="0" collapsed="false">
      <c r="A201" s="5" t="n">
        <f aca="false">ITEM_MASTER_CLEAN!A201</f>
        <v>200</v>
      </c>
      <c r="B201" s="5" t="n">
        <f aca="false">ITEM_MASTER_CLEAN!B201</f>
        <v>26324</v>
      </c>
      <c r="C201" s="5" t="str">
        <f aca="false">ITEM_MASTER_CLEAN!C201</f>
        <v>Cont Gauffre 6x6 500 units</v>
      </c>
      <c r="D201" s="5" t="str">
        <f aca="false">IF(ITEM_MASTER_CLEAN!J201&lt;&gt;"",ITEM_MASTER_CLEAN!J201&amp;" COST ","")&amp;IF(ITEM_MASTER_CLEAN!K201&lt;&gt;"",ITEM_MASTER_CLEAN!K201&amp;" PACK ","")&amp;IF(ITEM_MASTER_CLEAN!L201&lt;&gt;"",ITEM_MASTER_CLEAN!L201&amp;" CAT ","")&amp;IF(ITEM_MASTER_CLEAN!M201&lt;&gt;"",ITEM_MASTER_CLEAN!M201,"")</f>
        <v/>
      </c>
      <c r="E201" s="5" t="str">
        <f aca="false">IF(D201="","No issues","Excluded from cost/value calculations where data missing")</f>
        <v>No issues</v>
      </c>
    </row>
    <row r="202" customFormat="false" ht="15" hidden="false" customHeight="false" outlineLevel="0" collapsed="false">
      <c r="A202" s="5" t="n">
        <f aca="false">ITEM_MASTER_CLEAN!A202</f>
        <v>201</v>
      </c>
      <c r="B202" s="5" t="n">
        <f aca="false">ITEM_MASTER_CLEAN!B202</f>
        <v>26325</v>
      </c>
      <c r="C202" s="5" t="str">
        <f aca="false">ITEM_MASTER_CLEAN!C202</f>
        <v>Cont crepe 9"x6"x3"  250 units</v>
      </c>
      <c r="D202" s="5" t="str">
        <f aca="false">IF(ITEM_MASTER_CLEAN!J202&lt;&gt;"",ITEM_MASTER_CLEAN!J202&amp;" COST ","")&amp;IF(ITEM_MASTER_CLEAN!K202&lt;&gt;"",ITEM_MASTER_CLEAN!K202&amp;" PACK ","")&amp;IF(ITEM_MASTER_CLEAN!L202&lt;&gt;"",ITEM_MASTER_CLEAN!L202&amp;" CAT ","")&amp;IF(ITEM_MASTER_CLEAN!M202&lt;&gt;"",ITEM_MASTER_CLEAN!M202,"")</f>
        <v/>
      </c>
      <c r="E202" s="5" t="str">
        <f aca="false">IF(D202="","No issues","Excluded from cost/value calculations where data missing")</f>
        <v>No issues</v>
      </c>
    </row>
    <row r="203" customFormat="false" ht="15" hidden="false" customHeight="false" outlineLevel="0" collapsed="false">
      <c r="A203" s="5" t="n">
        <f aca="false">ITEM_MASTER_CLEAN!A203</f>
        <v>202</v>
      </c>
      <c r="B203" s="5" t="n">
        <f aca="false">ITEM_MASTER_CLEAN!B203</f>
        <v>17159</v>
      </c>
      <c r="C203" s="5" t="str">
        <f aca="false">ITEM_MASTER_CLEAN!C203</f>
        <v>Cont ChsCake slc tray 800un</v>
      </c>
      <c r="D203" s="5" t="str">
        <f aca="false">IF(ITEM_MASTER_CLEAN!J203&lt;&gt;"",ITEM_MASTER_CLEAN!J203&amp;" COST ","")&amp;IF(ITEM_MASTER_CLEAN!K203&lt;&gt;"",ITEM_MASTER_CLEAN!K203&amp;" PACK ","")&amp;IF(ITEM_MASTER_CLEAN!L203&lt;&gt;"",ITEM_MASTER_CLEAN!L203&amp;" CAT ","")&amp;IF(ITEM_MASTER_CLEAN!M203&lt;&gt;"",ITEM_MASTER_CLEAN!M203,"")</f>
        <v/>
      </c>
      <c r="E203" s="5" t="str">
        <f aca="false">IF(D203="","No issues","Excluded from cost/value calculations where data missing")</f>
        <v>No issues</v>
      </c>
    </row>
    <row r="204" customFormat="false" ht="15" hidden="false" customHeight="false" outlineLevel="0" collapsed="false">
      <c r="A204" s="5" t="n">
        <f aca="false">ITEM_MASTER_CLEAN!A204</f>
        <v>203</v>
      </c>
      <c r="B204" s="5" t="n">
        <f aca="false">ITEM_MASTER_CLEAN!B204</f>
        <v>17160</v>
      </c>
      <c r="C204" s="5" t="str">
        <f aca="false">ITEM_MASTER_CLEAN!C204</f>
        <v>Lid  ChsCake slc 800un</v>
      </c>
      <c r="D204" s="5" t="str">
        <f aca="false">IF(ITEM_MASTER_CLEAN!J204&lt;&gt;"",ITEM_MASTER_CLEAN!J204&amp;" COST ","")&amp;IF(ITEM_MASTER_CLEAN!K204&lt;&gt;"",ITEM_MASTER_CLEAN!K204&amp;" PACK ","")&amp;IF(ITEM_MASTER_CLEAN!L204&lt;&gt;"",ITEM_MASTER_CLEAN!L204&amp;" CAT ","")&amp;IF(ITEM_MASTER_CLEAN!M204&lt;&gt;"",ITEM_MASTER_CLEAN!M204,"")</f>
        <v/>
      </c>
      <c r="E204" s="5" t="str">
        <f aca="false">IF(D204="","No issues","Excluded from cost/value calculations where data missing")</f>
        <v>No issues</v>
      </c>
    </row>
    <row r="205" customFormat="false" ht="15" hidden="false" customHeight="false" outlineLevel="0" collapsed="false">
      <c r="A205" s="5" t="n">
        <f aca="false">ITEM_MASTER_CLEAN!A205</f>
        <v>204</v>
      </c>
      <c r="B205" s="5" t="n">
        <f aca="false">ITEM_MASTER_CLEAN!B205</f>
        <v>59752</v>
      </c>
      <c r="C205" s="5" t="str">
        <f aca="false">ITEM_MASTER_CLEAN!C205</f>
        <v>CONT CAKE SLICE PETE 6X6.3 X2.9 240</v>
      </c>
      <c r="D205" s="5" t="str">
        <f aca="false">IF(ITEM_MASTER_CLEAN!J205&lt;&gt;"",ITEM_MASTER_CLEAN!J205&amp;" COST ","")&amp;IF(ITEM_MASTER_CLEAN!K205&lt;&gt;"",ITEM_MASTER_CLEAN!K205&amp;" PACK ","")&amp;IF(ITEM_MASTER_CLEAN!L205&lt;&gt;"",ITEM_MASTER_CLEAN!L205&amp;" CAT ","")&amp;IF(ITEM_MASTER_CLEAN!M205&lt;&gt;"",ITEM_MASTER_CLEAN!M205,"")</f>
        <v/>
      </c>
      <c r="E205" s="5" t="str">
        <f aca="false">IF(D205="","No issues","Excluded from cost/value calculations where data missing")</f>
        <v>No issues</v>
      </c>
    </row>
    <row r="206" customFormat="false" ht="15" hidden="false" customHeight="false" outlineLevel="0" collapsed="false">
      <c r="A206" s="5" t="n">
        <f aca="false">ITEM_MASTER_CLEAN!A206</f>
        <v>205</v>
      </c>
      <c r="B206" s="5" t="n">
        <f aca="false">ITEM_MASTER_CLEAN!B206</f>
        <v>41216</v>
      </c>
      <c r="C206" s="5" t="str">
        <f aca="false">ITEM_MASTER_CLEAN!C206</f>
        <v>CONT PORT 2 OZ PLASTIC PP* 125UN</v>
      </c>
      <c r="D206" s="5" t="str">
        <f aca="false">IF(ITEM_MASTER_CLEAN!J206&lt;&gt;"",ITEM_MASTER_CLEAN!J206&amp;" COST ","")&amp;IF(ITEM_MASTER_CLEAN!K206&lt;&gt;"",ITEM_MASTER_CLEAN!K206&amp;" PACK ","")&amp;IF(ITEM_MASTER_CLEAN!L206&lt;&gt;"",ITEM_MASTER_CLEAN!L206&amp;" CAT ","")&amp;IF(ITEM_MASTER_CLEAN!M206&lt;&gt;"",ITEM_MASTER_CLEAN!M206,"")</f>
        <v/>
      </c>
      <c r="E206" s="5" t="str">
        <f aca="false">IF(D206="","No issues","Excluded from cost/value calculations where data missing")</f>
        <v>No issues</v>
      </c>
    </row>
    <row r="207" customFormat="false" ht="15" hidden="false" customHeight="false" outlineLevel="0" collapsed="false">
      <c r="A207" s="5" t="n">
        <f aca="false">ITEM_MASTER_CLEAN!A207</f>
        <v>206</v>
      </c>
      <c r="B207" s="5" t="n">
        <f aca="false">ITEM_MASTER_CLEAN!B207</f>
        <v>41217</v>
      </c>
      <c r="C207" s="5" t="str">
        <f aca="false">ITEM_MASTER_CLEAN!C207</f>
        <v>LID PORTION 2 OZ PL 125UN</v>
      </c>
      <c r="D207" s="5" t="str">
        <f aca="false">IF(ITEM_MASTER_CLEAN!J207&lt;&gt;"",ITEM_MASTER_CLEAN!J207&amp;" COST ","")&amp;IF(ITEM_MASTER_CLEAN!K207&lt;&gt;"",ITEM_MASTER_CLEAN!K207&amp;" PACK ","")&amp;IF(ITEM_MASTER_CLEAN!L207&lt;&gt;"",ITEM_MASTER_CLEAN!L207&amp;" CAT ","")&amp;IF(ITEM_MASTER_CLEAN!M207&lt;&gt;"",ITEM_MASTER_CLEAN!M207,"")</f>
        <v/>
      </c>
      <c r="E207" s="5" t="str">
        <f aca="false">IF(D207="","No issues","Excluded from cost/value calculations where data missing")</f>
        <v>No issues</v>
      </c>
    </row>
    <row r="208" customFormat="false" ht="15" hidden="false" customHeight="false" outlineLevel="0" collapsed="false">
      <c r="A208" s="5" t="n">
        <f aca="false">ITEM_MASTER_CLEAN!A208</f>
        <v>207</v>
      </c>
      <c r="B208" s="5" t="n">
        <f aca="false">ITEM_MASTER_CLEAN!B208</f>
        <v>66908</v>
      </c>
      <c r="C208" s="5" t="str">
        <f aca="false">ITEM_MASTER_CLEAN!C208</f>
        <v>CUTL KNIFE WOOD TI80691 1M</v>
      </c>
      <c r="D208" s="5" t="str">
        <f aca="false">IF(ITEM_MASTER_CLEAN!J208&lt;&gt;"",ITEM_MASTER_CLEAN!J208&amp;" COST ","")&amp;IF(ITEM_MASTER_CLEAN!K208&lt;&gt;"",ITEM_MASTER_CLEAN!K208&amp;" PACK ","")&amp;IF(ITEM_MASTER_CLEAN!L208&lt;&gt;"",ITEM_MASTER_CLEAN!L208&amp;" CAT ","")&amp;IF(ITEM_MASTER_CLEAN!M208&lt;&gt;"",ITEM_MASTER_CLEAN!M208,"")</f>
        <v/>
      </c>
      <c r="E208" s="5" t="str">
        <f aca="false">IF(D208="","No issues","Excluded from cost/value calculations where data missing")</f>
        <v>No issues</v>
      </c>
    </row>
    <row r="209" customFormat="false" ht="15" hidden="false" customHeight="false" outlineLevel="0" collapsed="false">
      <c r="A209" s="5" t="n">
        <f aca="false">ITEM_MASTER_CLEAN!A209</f>
        <v>208</v>
      </c>
      <c r="B209" s="5" t="n">
        <f aca="false">ITEM_MASTER_CLEAN!B209</f>
        <v>44099</v>
      </c>
      <c r="C209" s="5" t="str">
        <f aca="false">ITEM_MASTER_CLEAN!C209</f>
        <v>CUTLERY KNIVE POL WH MED PYL PP* 1M</v>
      </c>
      <c r="D209" s="5" t="str">
        <f aca="false">IF(ITEM_MASTER_CLEAN!J209&lt;&gt;"",ITEM_MASTER_CLEAN!J209&amp;" COST ","")&amp;IF(ITEM_MASTER_CLEAN!K209&lt;&gt;"",ITEM_MASTER_CLEAN!K209&amp;" PACK ","")&amp;IF(ITEM_MASTER_CLEAN!L209&lt;&gt;"",ITEM_MASTER_CLEAN!L209&amp;" CAT ","")&amp;IF(ITEM_MASTER_CLEAN!M209&lt;&gt;"",ITEM_MASTER_CLEAN!M209,"")</f>
        <v/>
      </c>
      <c r="E209" s="5" t="str">
        <f aca="false">IF(D209="","No issues","Excluded from cost/value calculations where data missing")</f>
        <v>No issues</v>
      </c>
    </row>
    <row r="210" customFormat="false" ht="23.85" hidden="false" customHeight="false" outlineLevel="0" collapsed="false">
      <c r="A210" s="5" t="n">
        <f aca="false">ITEM_MASTER_CLEAN!A210</f>
        <v>209</v>
      </c>
      <c r="B210" s="5" t="n">
        <f aca="false">ITEM_MASTER_CLEAN!B210</f>
        <v>41623</v>
      </c>
      <c r="C210" s="5" t="str">
        <f aca="false">ITEM_MASTER_CLEAN!C210</f>
        <v>CUTLERY SPOON POL TEA WH PYL PP* 1M</v>
      </c>
      <c r="D210" s="5" t="str">
        <f aca="false">IF(ITEM_MASTER_CLEAN!J210&lt;&gt;"",ITEM_MASTER_CLEAN!J210&amp;" COST ","")&amp;IF(ITEM_MASTER_CLEAN!K210&lt;&gt;"",ITEM_MASTER_CLEAN!K210&amp;" PACK ","")&amp;IF(ITEM_MASTER_CLEAN!L210&lt;&gt;"",ITEM_MASTER_CLEAN!L210&amp;" CAT ","")&amp;IF(ITEM_MASTER_CLEAN!M210&lt;&gt;"",ITEM_MASTER_CLEAN!M210,"")</f>
        <v/>
      </c>
      <c r="E210" s="5" t="str">
        <f aca="false">IF(D210="","No issues","Excluded from cost/value calculations where data missing")</f>
        <v>No issues</v>
      </c>
    </row>
    <row r="211" customFormat="false" ht="15" hidden="false" customHeight="false" outlineLevel="0" collapsed="false">
      <c r="A211" s="5" t="n">
        <f aca="false">ITEM_MASTER_CLEAN!A211</f>
        <v>210</v>
      </c>
      <c r="B211" s="5" t="n">
        <f aca="false">ITEM_MASTER_CLEAN!B211</f>
        <v>66910</v>
      </c>
      <c r="C211" s="5" t="str">
        <f aca="false">ITEM_MASTER_CLEAN!C211</f>
        <v>CUTL SPOON WOOD TI80692 1M</v>
      </c>
      <c r="D211" s="5" t="str">
        <f aca="false">IF(ITEM_MASTER_CLEAN!J211&lt;&gt;"",ITEM_MASTER_CLEAN!J211&amp;" COST ","")&amp;IF(ITEM_MASTER_CLEAN!K211&lt;&gt;"",ITEM_MASTER_CLEAN!K211&amp;" PACK ","")&amp;IF(ITEM_MASTER_CLEAN!L211&lt;&gt;"",ITEM_MASTER_CLEAN!L211&amp;" CAT ","")&amp;IF(ITEM_MASTER_CLEAN!M211&lt;&gt;"",ITEM_MASTER_CLEAN!M211,"")</f>
        <v/>
      </c>
      <c r="E211" s="5" t="str">
        <f aca="false">IF(D211="","No issues","Excluded from cost/value calculations where data missing")</f>
        <v>No issues</v>
      </c>
    </row>
    <row r="212" customFormat="false" ht="15" hidden="false" customHeight="false" outlineLevel="0" collapsed="false">
      <c r="A212" s="5" t="n">
        <f aca="false">ITEM_MASTER_CLEAN!A212</f>
        <v>211</v>
      </c>
      <c r="B212" s="5" t="n">
        <f aca="false">ITEM_MASTER_CLEAN!B212</f>
        <v>43703</v>
      </c>
      <c r="C212" s="5" t="str">
        <f aca="false">ITEM_MASTER_CLEAN!C212</f>
        <v>CUTLERY FORK POL WH MED PYL PP* 1M</v>
      </c>
      <c r="D212" s="5" t="str">
        <f aca="false">IF(ITEM_MASTER_CLEAN!J212&lt;&gt;"",ITEM_MASTER_CLEAN!J212&amp;" COST ","")&amp;IF(ITEM_MASTER_CLEAN!K212&lt;&gt;"",ITEM_MASTER_CLEAN!K212&amp;" PACK ","")&amp;IF(ITEM_MASTER_CLEAN!L212&lt;&gt;"",ITEM_MASTER_CLEAN!L212&amp;" CAT ","")&amp;IF(ITEM_MASTER_CLEAN!M212&lt;&gt;"",ITEM_MASTER_CLEAN!M212,"")</f>
        <v/>
      </c>
      <c r="E212" s="5" t="str">
        <f aca="false">IF(D212="","No issues","Excluded from cost/value calculations where data missing")</f>
        <v>No issues</v>
      </c>
    </row>
    <row r="213" customFormat="false" ht="15" hidden="false" customHeight="false" outlineLevel="0" collapsed="false">
      <c r="A213" s="5" t="n">
        <f aca="false">ITEM_MASTER_CLEAN!A213</f>
        <v>212</v>
      </c>
      <c r="B213" s="5" t="n">
        <f aca="false">ITEM_MASTER_CLEAN!B213</f>
        <v>66909</v>
      </c>
      <c r="C213" s="5" t="str">
        <f aca="false">ITEM_MASTER_CLEAN!C213</f>
        <v>CUTL FORK WOOD TI80690 1M</v>
      </c>
      <c r="D213" s="5" t="str">
        <f aca="false">IF(ITEM_MASTER_CLEAN!J213&lt;&gt;"",ITEM_MASTER_CLEAN!J213&amp;" COST ","")&amp;IF(ITEM_MASTER_CLEAN!K213&lt;&gt;"",ITEM_MASTER_CLEAN!K213&amp;" PACK ","")&amp;IF(ITEM_MASTER_CLEAN!L213&lt;&gt;"",ITEM_MASTER_CLEAN!L213&amp;" CAT ","")&amp;IF(ITEM_MASTER_CLEAN!M213&lt;&gt;"",ITEM_MASTER_CLEAN!M213,"")</f>
        <v/>
      </c>
      <c r="E213" s="5" t="str">
        <f aca="false">IF(D213="","No issues","Excluded from cost/value calculations where data missing")</f>
        <v>No issues</v>
      </c>
    </row>
    <row r="214" customFormat="false" ht="15" hidden="false" customHeight="false" outlineLevel="0" collapsed="false">
      <c r="A214" s="5" t="n">
        <f aca="false">ITEM_MASTER_CLEAN!A214</f>
        <v>213</v>
      </c>
      <c r="B214" s="5" t="n">
        <f aca="false">ITEM_MASTER_CLEAN!B214</f>
        <v>12562</v>
      </c>
      <c r="C214" s="5" t="str">
        <f aca="false">ITEM_MASTER_CLEAN!C214</f>
        <v>SPOON WOOD TASTER WRP 1M</v>
      </c>
      <c r="D214" s="5" t="str">
        <f aca="false">IF(ITEM_MASTER_CLEAN!J214&lt;&gt;"",ITEM_MASTER_CLEAN!J214&amp;" COST ","")&amp;IF(ITEM_MASTER_CLEAN!K214&lt;&gt;"",ITEM_MASTER_CLEAN!K214&amp;" PACK ","")&amp;IF(ITEM_MASTER_CLEAN!L214&lt;&gt;"",ITEM_MASTER_CLEAN!L214&amp;" CAT ","")&amp;IF(ITEM_MASTER_CLEAN!M214&lt;&gt;"",ITEM_MASTER_CLEAN!M214,"")</f>
        <v/>
      </c>
      <c r="E214" s="5" t="str">
        <f aca="false">IF(D214="","No issues","Excluded from cost/value calculations where data missing")</f>
        <v>No issues</v>
      </c>
    </row>
    <row r="215" customFormat="false" ht="23.85" hidden="false" customHeight="false" outlineLevel="0" collapsed="false">
      <c r="A215" s="5" t="n">
        <f aca="false">ITEM_MASTER_CLEAN!A215</f>
        <v>214</v>
      </c>
      <c r="B215" s="5" t="n">
        <f aca="false">ITEM_MASTER_CLEAN!B215</f>
        <v>66915</v>
      </c>
      <c r="C215" s="5" t="str">
        <f aca="false">ITEM_MASTER_CLEAN!C215</f>
        <v>MTY CUTLERY SPOON SODA 7.2" WOOD 1M</v>
      </c>
      <c r="D215" s="5" t="str">
        <f aca="false">IF(ITEM_MASTER_CLEAN!J215&lt;&gt;"",ITEM_MASTER_CLEAN!J215&amp;" COST ","")&amp;IF(ITEM_MASTER_CLEAN!K215&lt;&gt;"",ITEM_MASTER_CLEAN!K215&amp;" PACK ","")&amp;IF(ITEM_MASTER_CLEAN!L215&lt;&gt;"",ITEM_MASTER_CLEAN!L215&amp;" CAT ","")&amp;IF(ITEM_MASTER_CLEAN!M215&lt;&gt;"",ITEM_MASTER_CLEAN!M215,"")</f>
        <v/>
      </c>
      <c r="E215" s="5" t="str">
        <f aca="false">IF(D215="","No issues","Excluded from cost/value calculations where data missing")</f>
        <v>No issues</v>
      </c>
    </row>
    <row r="216" customFormat="false" ht="15" hidden="false" customHeight="false" outlineLevel="0" collapsed="false">
      <c r="A216" s="5" t="n">
        <f aca="false">ITEM_MASTER_CLEAN!A216</f>
        <v>215</v>
      </c>
      <c r="B216" s="5" t="n">
        <f aca="false">ITEM_MASTER_CLEAN!B216</f>
        <v>33725</v>
      </c>
      <c r="C216" s="5" t="str">
        <f aca="false">ITEM_MASTER_CLEAN!C216</f>
        <v>TRAY 4CUP CARRIER 8-32OZ  300</v>
      </c>
      <c r="D216" s="5" t="str">
        <f aca="false">IF(ITEM_MASTER_CLEAN!J216&lt;&gt;"",ITEM_MASTER_CLEAN!J216&amp;" COST ","")&amp;IF(ITEM_MASTER_CLEAN!K216&lt;&gt;"",ITEM_MASTER_CLEAN!K216&amp;" PACK ","")&amp;IF(ITEM_MASTER_CLEAN!L216&lt;&gt;"",ITEM_MASTER_CLEAN!L216&amp;" CAT ","")&amp;IF(ITEM_MASTER_CLEAN!M216&lt;&gt;"",ITEM_MASTER_CLEAN!M216,"")</f>
        <v/>
      </c>
      <c r="E216" s="5" t="str">
        <f aca="false">IF(D216="","No issues","Excluded from cost/value calculations where data missing")</f>
        <v>No issues</v>
      </c>
    </row>
    <row r="217" customFormat="false" ht="15" hidden="false" customHeight="false" outlineLevel="0" collapsed="false">
      <c r="A217" s="5" t="n">
        <f aca="false">ITEM_MASTER_CLEAN!A217</f>
        <v>216</v>
      </c>
      <c r="B217" s="5" t="n">
        <f aca="false">ITEM_MASTER_CLEAN!B217</f>
        <v>47498</v>
      </c>
      <c r="C217" s="5" t="str">
        <f aca="false">ITEM_MASTER_CLEAN!C217</f>
        <v>ROLL CASH THERMAL 3 1/8 X 210'   50</v>
      </c>
      <c r="D217" s="5" t="str">
        <f aca="false">IF(ITEM_MASTER_CLEAN!J217&lt;&gt;"",ITEM_MASTER_CLEAN!J217&amp;" COST ","")&amp;IF(ITEM_MASTER_CLEAN!K217&lt;&gt;"",ITEM_MASTER_CLEAN!K217&amp;" PACK ","")&amp;IF(ITEM_MASTER_CLEAN!L217&lt;&gt;"",ITEM_MASTER_CLEAN!L217&amp;" CAT ","")&amp;IF(ITEM_MASTER_CLEAN!M217&lt;&gt;"",ITEM_MASTER_CLEAN!M217,"")</f>
        <v/>
      </c>
      <c r="E217" s="5" t="str">
        <f aca="false">IF(D217="","No issues","Excluded from cost/value calculations where data missing")</f>
        <v>No issues</v>
      </c>
    </row>
    <row r="218" customFormat="false" ht="15" hidden="false" customHeight="false" outlineLevel="0" collapsed="false">
      <c r="A218" s="5" t="n">
        <f aca="false">ITEM_MASTER_CLEAN!A218</f>
        <v>217</v>
      </c>
      <c r="B218" s="5" t="n">
        <f aca="false">ITEM_MASTER_CLEAN!B218</f>
        <v>12609</v>
      </c>
      <c r="C218" s="5" t="str">
        <f aca="false">ITEM_MASTER_CLEAN!C218</f>
        <v>BAGS GROCERY BROWN  8LB 500</v>
      </c>
      <c r="D218" s="5" t="str">
        <f aca="false">IF(ITEM_MASTER_CLEAN!J218&lt;&gt;"",ITEM_MASTER_CLEAN!J218&amp;" COST ","")&amp;IF(ITEM_MASTER_CLEAN!K218&lt;&gt;"",ITEM_MASTER_CLEAN!K218&amp;" PACK ","")&amp;IF(ITEM_MASTER_CLEAN!L218&lt;&gt;"",ITEM_MASTER_CLEAN!L218&amp;" CAT ","")&amp;IF(ITEM_MASTER_CLEAN!M218&lt;&gt;"",ITEM_MASTER_CLEAN!M218,"")</f>
        <v/>
      </c>
      <c r="E218" s="5" t="str">
        <f aca="false">IF(D218="","No issues","Excluded from cost/value calculations where data missing")</f>
        <v>No issues</v>
      </c>
    </row>
    <row r="219" customFormat="false" ht="15" hidden="false" customHeight="false" outlineLevel="0" collapsed="false">
      <c r="A219" s="5" t="n">
        <f aca="false">ITEM_MASTER_CLEAN!A219</f>
        <v>218</v>
      </c>
      <c r="B219" s="5" t="n">
        <f aca="false">ITEM_MASTER_CLEAN!B219</f>
        <v>12617</v>
      </c>
      <c r="C219" s="5" t="str">
        <f aca="false">ITEM_MASTER_CLEAN!C219</f>
        <v>BAGS GROCERY BROWN 10LB 500</v>
      </c>
      <c r="D219" s="5" t="str">
        <f aca="false">IF(ITEM_MASTER_CLEAN!J219&lt;&gt;"",ITEM_MASTER_CLEAN!J219&amp;" COST ","")&amp;IF(ITEM_MASTER_CLEAN!K219&lt;&gt;"",ITEM_MASTER_CLEAN!K219&amp;" PACK ","")&amp;IF(ITEM_MASTER_CLEAN!L219&lt;&gt;"",ITEM_MASTER_CLEAN!L219&amp;" CAT ","")&amp;IF(ITEM_MASTER_CLEAN!M219&lt;&gt;"",ITEM_MASTER_CLEAN!M219,"")</f>
        <v/>
      </c>
      <c r="E219" s="5" t="str">
        <f aca="false">IF(D219="","No issues","Excluded from cost/value calculations where data missing")</f>
        <v>No issues</v>
      </c>
    </row>
    <row r="220" customFormat="false" ht="15" hidden="false" customHeight="false" outlineLevel="0" collapsed="false">
      <c r="A220" s="5" t="n">
        <f aca="false">ITEM_MASTER_CLEAN!A220</f>
        <v>219</v>
      </c>
      <c r="B220" s="5" t="n">
        <f aca="false">ITEM_MASTER_CLEAN!B220</f>
        <v>12633</v>
      </c>
      <c r="C220" s="5" t="str">
        <f aca="false">ITEM_MASTER_CLEAN!C220</f>
        <v>BAGS GROCERY BROWN 14LB 500</v>
      </c>
      <c r="D220" s="5" t="str">
        <f aca="false">IF(ITEM_MASTER_CLEAN!J220&lt;&gt;"",ITEM_MASTER_CLEAN!J220&amp;" COST ","")&amp;IF(ITEM_MASTER_CLEAN!K220&lt;&gt;"",ITEM_MASTER_CLEAN!K220&amp;" PACK ","")&amp;IF(ITEM_MASTER_CLEAN!L220&lt;&gt;"",ITEM_MASTER_CLEAN!L220&amp;" CAT ","")&amp;IF(ITEM_MASTER_CLEAN!M220&lt;&gt;"",ITEM_MASTER_CLEAN!M220,"")</f>
        <v/>
      </c>
      <c r="E220" s="5" t="str">
        <f aca="false">IF(D220="","No issues","Excluded from cost/value calculations where data missing")</f>
        <v>No issues</v>
      </c>
    </row>
    <row r="221" customFormat="false" ht="15" hidden="false" customHeight="false" outlineLevel="0" collapsed="false">
      <c r="A221" s="5" t="n">
        <f aca="false">ITEM_MASTER_CLEAN!A221</f>
        <v>220</v>
      </c>
      <c r="B221" s="5" t="n">
        <f aca="false">ITEM_MASTER_CLEAN!B221</f>
        <v>12585</v>
      </c>
      <c r="C221" s="5" t="str">
        <f aca="false">ITEM_MASTER_CLEAN!C221</f>
        <v>BAGS GROCERY  30LB  DD50  500UN</v>
      </c>
      <c r="D221" s="5" t="str">
        <f aca="false">IF(ITEM_MASTER_CLEAN!J221&lt;&gt;"",ITEM_MASTER_CLEAN!J221&amp;" COST ","")&amp;IF(ITEM_MASTER_CLEAN!K221&lt;&gt;"",ITEM_MASTER_CLEAN!K221&amp;" PACK ","")&amp;IF(ITEM_MASTER_CLEAN!L221&lt;&gt;"",ITEM_MASTER_CLEAN!L221&amp;" CAT ","")&amp;IF(ITEM_MASTER_CLEAN!M221&lt;&gt;"",ITEM_MASTER_CLEAN!M221,"")</f>
        <v/>
      </c>
      <c r="E221" s="5" t="str">
        <f aca="false">IF(D221="","No issues","Excluded from cost/value calculations where data missing")</f>
        <v>No issues</v>
      </c>
    </row>
    <row r="222" customFormat="false" ht="15" hidden="false" customHeight="false" outlineLevel="0" collapsed="false">
      <c r="A222" s="5" t="n">
        <f aca="false">ITEM_MASTER_CLEAN!A222</f>
        <v>221</v>
      </c>
      <c r="B222" s="5" t="n">
        <f aca="false">ITEM_MASTER_CLEAN!B222</f>
        <v>22573</v>
      </c>
      <c r="C222" s="5" t="str">
        <f aca="false">ITEM_MASTER_CLEAN!C222</f>
        <v>BAG KFT W/HANDLE 14X10X16  200</v>
      </c>
      <c r="D222" s="5" t="str">
        <f aca="false">IF(ITEM_MASTER_CLEAN!J222&lt;&gt;"",ITEM_MASTER_CLEAN!J222&amp;" COST ","")&amp;IF(ITEM_MASTER_CLEAN!K222&lt;&gt;"",ITEM_MASTER_CLEAN!K222&amp;" PACK ","")&amp;IF(ITEM_MASTER_CLEAN!L222&lt;&gt;"",ITEM_MASTER_CLEAN!L222&amp;" CAT ","")&amp;IF(ITEM_MASTER_CLEAN!M222&lt;&gt;"",ITEM_MASTER_CLEAN!M222,"")</f>
        <v/>
      </c>
      <c r="E222" s="5" t="str">
        <f aca="false">IF(D222="","No issues","Excluded from cost/value calculations where data missing")</f>
        <v>No issues</v>
      </c>
    </row>
    <row r="223" customFormat="false" ht="15" hidden="false" customHeight="false" outlineLevel="0" collapsed="false">
      <c r="A223" s="5" t="n">
        <f aca="false">ITEM_MASTER_CLEAN!A223</f>
        <v>222</v>
      </c>
      <c r="B223" s="5" t="n">
        <f aca="false">ITEM_MASTER_CLEAN!B223</f>
        <v>28466</v>
      </c>
      <c r="C223" s="5" t="str">
        <f aca="false">ITEM_MASTER_CLEAN!C223</f>
        <v>NAPKIN COCTAIL 4M</v>
      </c>
      <c r="D223" s="5" t="str">
        <f aca="false">IF(ITEM_MASTER_CLEAN!J223&lt;&gt;"",ITEM_MASTER_CLEAN!J223&amp;" COST ","")&amp;IF(ITEM_MASTER_CLEAN!K223&lt;&gt;"",ITEM_MASTER_CLEAN!K223&amp;" PACK ","")&amp;IF(ITEM_MASTER_CLEAN!L223&lt;&gt;"",ITEM_MASTER_CLEAN!L223&amp;" CAT ","")&amp;IF(ITEM_MASTER_CLEAN!M223&lt;&gt;"",ITEM_MASTER_CLEAN!M223,"")</f>
        <v/>
      </c>
      <c r="E223" s="5" t="str">
        <f aca="false">IF(D223="","No issues","Excluded from cost/value calculations where data missing")</f>
        <v>No issues</v>
      </c>
    </row>
    <row r="224" customFormat="false" ht="15" hidden="false" customHeight="false" outlineLevel="0" collapsed="false">
      <c r="A224" s="5" t="n">
        <f aca="false">ITEM_MASTER_CLEAN!A224</f>
        <v>223</v>
      </c>
      <c r="B224" s="5" t="n">
        <f aca="false">ITEM_MASTER_CLEAN!B224</f>
        <v>31649</v>
      </c>
      <c r="C224" s="5" t="str">
        <f aca="false">ITEM_MASTER_CLEAN!C224</f>
        <v>NAPKIN MEALMATES 1PL KRAFT 12X300</v>
      </c>
      <c r="D224" s="5" t="str">
        <f aca="false">IF(ITEM_MASTER_CLEAN!J224&lt;&gt;"",ITEM_MASTER_CLEAN!J224&amp;" COST ","")&amp;IF(ITEM_MASTER_CLEAN!K224&lt;&gt;"",ITEM_MASTER_CLEAN!K224&amp;" PACK ","")&amp;IF(ITEM_MASTER_CLEAN!L224&lt;&gt;"",ITEM_MASTER_CLEAN!L224&amp;" CAT ","")&amp;IF(ITEM_MASTER_CLEAN!M224&lt;&gt;"",ITEM_MASTER_CLEAN!M224,"")</f>
        <v/>
      </c>
      <c r="E224" s="5" t="str">
        <f aca="false">IF(D224="","No issues","Excluded from cost/value calculations where data missing")</f>
        <v>No issues</v>
      </c>
    </row>
    <row r="225" customFormat="false" ht="15" hidden="false" customHeight="false" outlineLevel="0" collapsed="false">
      <c r="A225" s="5" t="n">
        <f aca="false">ITEM_MASTER_CLEAN!A225</f>
        <v>224</v>
      </c>
      <c r="B225" s="5" t="n">
        <f aca="false">ITEM_MASTER_CLEAN!B225</f>
        <v>66712</v>
      </c>
      <c r="C225" s="5" t="str">
        <f aca="false">ITEM_MASTER_CLEAN!C225</f>
        <v>SANITIZER STERA SHEEN 010425 1UN</v>
      </c>
      <c r="D225" s="5" t="str">
        <f aca="false">IF(ITEM_MASTER_CLEAN!J225&lt;&gt;"",ITEM_MASTER_CLEAN!J225&amp;" COST ","")&amp;IF(ITEM_MASTER_CLEAN!K225&lt;&gt;"",ITEM_MASTER_CLEAN!K225&amp;" PACK ","")&amp;IF(ITEM_MASTER_CLEAN!L225&lt;&gt;"",ITEM_MASTER_CLEAN!L225&amp;" CAT ","")&amp;IF(ITEM_MASTER_CLEAN!M225&lt;&gt;"",ITEM_MASTER_CLEAN!M225,"")</f>
        <v/>
      </c>
      <c r="E225" s="5" t="str">
        <f aca="false">IF(D225="","No issues","Excluded from cost/value calculations where data missing")</f>
        <v>No issues</v>
      </c>
    </row>
    <row r="226" customFormat="false" ht="15" hidden="false" customHeight="false" outlineLevel="0" collapsed="false">
      <c r="A226" s="5" t="n">
        <f aca="false">ITEM_MASTER_CLEAN!A226</f>
        <v>225</v>
      </c>
      <c r="B226" s="5" t="n">
        <f aca="false">ITEM_MASTER_CLEAN!B226</f>
        <v>66713</v>
      </c>
      <c r="C226" s="5" t="str">
        <f aca="false">ITEM_MASTER_CLEAN!C226</f>
        <v>LUBRICANT 047518 X1UN</v>
      </c>
      <c r="D226" s="5" t="str">
        <f aca="false">IF(ITEM_MASTER_CLEAN!J226&lt;&gt;"",ITEM_MASTER_CLEAN!J226&amp;" COST ","")&amp;IF(ITEM_MASTER_CLEAN!K226&lt;&gt;"",ITEM_MASTER_CLEAN!K226&amp;" PACK ","")&amp;IF(ITEM_MASTER_CLEAN!L226&lt;&gt;"",ITEM_MASTER_CLEAN!L226&amp;" CAT ","")&amp;IF(ITEM_MASTER_CLEAN!M226&lt;&gt;"",ITEM_MASTER_CLEAN!M226,"")</f>
        <v/>
      </c>
      <c r="E226" s="5" t="str">
        <f aca="false">IF(D226="","No issues","Excluded from cost/value calculations where data missing")</f>
        <v>No issues</v>
      </c>
    </row>
    <row r="227" customFormat="false" ht="15" hidden="false" customHeight="false" outlineLevel="0" collapsed="false">
      <c r="A227" s="5" t="n">
        <f aca="false">ITEM_MASTER_CLEAN!A227</f>
        <v>226</v>
      </c>
      <c r="B227" s="5" t="n">
        <f aca="false">ITEM_MASTER_CLEAN!B227</f>
        <v>49215</v>
      </c>
      <c r="C227" s="5" t="str">
        <f aca="false">ITEM_MASTER_CLEAN!C227</f>
        <v>TOWEL ROLL 8"X205' WHITE  24RL</v>
      </c>
      <c r="D227" s="5" t="str">
        <f aca="false">IF(ITEM_MASTER_CLEAN!J227&lt;&gt;"",ITEM_MASTER_CLEAN!J227&amp;" COST ","")&amp;IF(ITEM_MASTER_CLEAN!K227&lt;&gt;"",ITEM_MASTER_CLEAN!K227&amp;" PACK ","")&amp;IF(ITEM_MASTER_CLEAN!L227&lt;&gt;"",ITEM_MASTER_CLEAN!L227&amp;" CAT ","")&amp;IF(ITEM_MASTER_CLEAN!M227&lt;&gt;"",ITEM_MASTER_CLEAN!M227,"")</f>
        <v/>
      </c>
      <c r="E227" s="5" t="str">
        <f aca="false">IF(D227="","No issues","Excluded from cost/value calculations where data missing")</f>
        <v>No issues</v>
      </c>
    </row>
    <row r="228" customFormat="false" ht="15" hidden="false" customHeight="false" outlineLevel="0" collapsed="false">
      <c r="A228" s="5" t="n">
        <f aca="false">ITEM_MASTER_CLEAN!A228</f>
        <v>227</v>
      </c>
      <c r="B228" s="5" t="n">
        <f aca="false">ITEM_MASTER_CLEAN!B228</f>
        <v>62330</v>
      </c>
      <c r="C228" s="5" t="str">
        <f aca="false">ITEM_MASTER_CLEAN!C228</f>
        <v>TOWEL ROLL WHITE 2 PLY 24X1RL</v>
      </c>
      <c r="D228" s="5" t="str">
        <f aca="false">IF(ITEM_MASTER_CLEAN!J228&lt;&gt;"",ITEM_MASTER_CLEAN!J228&amp;" COST ","")&amp;IF(ITEM_MASTER_CLEAN!K228&lt;&gt;"",ITEM_MASTER_CLEAN!K228&amp;" PACK ","")&amp;IF(ITEM_MASTER_CLEAN!L228&lt;&gt;"",ITEM_MASTER_CLEAN!L228&amp;" CAT ","")&amp;IF(ITEM_MASTER_CLEAN!M228&lt;&gt;"",ITEM_MASTER_CLEAN!M228,"")</f>
        <v/>
      </c>
      <c r="E228" s="5" t="str">
        <f aca="false">IF(D228="","No issues","Excluded from cost/value calculations where data missing")</f>
        <v>No issues</v>
      </c>
    </row>
    <row r="229" customFormat="false" ht="15" hidden="false" customHeight="false" outlineLevel="0" collapsed="false">
      <c r="A229" s="5" t="n">
        <f aca="false">ITEM_MASTER_CLEAN!A229</f>
        <v>228</v>
      </c>
      <c r="B229" s="5" t="n">
        <f aca="false">ITEM_MASTER_CLEAN!B229</f>
        <v>63324</v>
      </c>
      <c r="C229" s="5" t="str">
        <f aca="false">ITEM_MASTER_CLEAN!C229</f>
        <v>NET FOR BEARD BROWN POLYESTER 100</v>
      </c>
      <c r="D229" s="5" t="str">
        <f aca="false">IF(ITEM_MASTER_CLEAN!J229&lt;&gt;"",ITEM_MASTER_CLEAN!J229&amp;" COST ","")&amp;IF(ITEM_MASTER_CLEAN!K229&lt;&gt;"",ITEM_MASTER_CLEAN!K229&amp;" PACK ","")&amp;IF(ITEM_MASTER_CLEAN!L229&lt;&gt;"",ITEM_MASTER_CLEAN!L229&amp;" CAT ","")&amp;IF(ITEM_MASTER_CLEAN!M229&lt;&gt;"",ITEM_MASTER_CLEAN!M229,"")</f>
        <v/>
      </c>
      <c r="E229" s="5" t="str">
        <f aca="false">IF(D229="","No issues","Excluded from cost/value calculations where data missing")</f>
        <v>No issues</v>
      </c>
    </row>
    <row r="230" customFormat="false" ht="15" hidden="false" customHeight="false" outlineLevel="0" collapsed="false">
      <c r="A230" s="5" t="n">
        <f aca="false">ITEM_MASTER_CLEAN!A230</f>
        <v>229</v>
      </c>
      <c r="B230" s="5" t="n">
        <f aca="false">ITEM_MASTER_CLEAN!B230</f>
        <v>63341</v>
      </c>
      <c r="C230" s="5" t="str">
        <f aca="false">ITEM_MASTER_CLEAN!C230</f>
        <v>HAIRNET INVISIBLE 89-420 1X144UN</v>
      </c>
      <c r="D230" s="5" t="str">
        <f aca="false">IF(ITEM_MASTER_CLEAN!J230&lt;&gt;"",ITEM_MASTER_CLEAN!J230&amp;" COST ","")&amp;IF(ITEM_MASTER_CLEAN!K230&lt;&gt;"",ITEM_MASTER_CLEAN!K230&amp;" PACK ","")&amp;IF(ITEM_MASTER_CLEAN!L230&lt;&gt;"",ITEM_MASTER_CLEAN!L230&amp;" CAT ","")&amp;IF(ITEM_MASTER_CLEAN!M230&lt;&gt;"",ITEM_MASTER_CLEAN!M230,"")</f>
        <v/>
      </c>
      <c r="E230" s="5" t="str">
        <f aca="false">IF(D230="","No issues","Excluded from cost/value calculations where data missing")</f>
        <v>No issues</v>
      </c>
    </row>
    <row r="231" customFormat="false" ht="15" hidden="false" customHeight="false" outlineLevel="0" collapsed="false">
      <c r="A231" s="5" t="n">
        <f aca="false">ITEM_MASTER_CLEAN!A231</f>
        <v>230</v>
      </c>
      <c r="B231" s="5" t="n">
        <f aca="false">ITEM_MASTER_CLEAN!B231</f>
        <v>62749</v>
      </c>
      <c r="C231" s="5" t="str">
        <f aca="false">ITEM_MASTER_CLEAN!C231</f>
        <v>MASK DISP BLUE MEDICAL DISTECH 50UN</v>
      </c>
      <c r="D231" s="5" t="str">
        <f aca="false">IF(ITEM_MASTER_CLEAN!J231&lt;&gt;"",ITEM_MASTER_CLEAN!J231&amp;" COST ","")&amp;IF(ITEM_MASTER_CLEAN!K231&lt;&gt;"",ITEM_MASTER_CLEAN!K231&amp;" PACK ","")&amp;IF(ITEM_MASTER_CLEAN!L231&lt;&gt;"",ITEM_MASTER_CLEAN!L231&amp;" CAT ","")&amp;IF(ITEM_MASTER_CLEAN!M231&lt;&gt;"",ITEM_MASTER_CLEAN!M231,"")</f>
        <v/>
      </c>
      <c r="E231" s="5" t="str">
        <f aca="false">IF(D231="","No issues","Excluded from cost/value calculations where data missing")</f>
        <v>No issues</v>
      </c>
    </row>
    <row r="232" customFormat="false" ht="15" hidden="false" customHeight="false" outlineLevel="0" collapsed="false">
      <c r="A232" s="5" t="n">
        <f aca="false">ITEM_MASTER_CLEAN!A232</f>
        <v>231</v>
      </c>
      <c r="B232" s="5" t="n">
        <f aca="false">ITEM_MASTER_CLEAN!B232</f>
        <v>62819</v>
      </c>
      <c r="C232" s="5" t="str">
        <f aca="false">ITEM_MASTER_CLEAN!C232</f>
        <v>GLOVES TPE CLR PDR FREE SM 100UN</v>
      </c>
      <c r="D232" s="5" t="str">
        <f aca="false">IF(ITEM_MASTER_CLEAN!J232&lt;&gt;"",ITEM_MASTER_CLEAN!J232&amp;" COST ","")&amp;IF(ITEM_MASTER_CLEAN!K232&lt;&gt;"",ITEM_MASTER_CLEAN!K232&amp;" PACK ","")&amp;IF(ITEM_MASTER_CLEAN!L232&lt;&gt;"",ITEM_MASTER_CLEAN!L232&amp;" CAT ","")&amp;IF(ITEM_MASTER_CLEAN!M232&lt;&gt;"",ITEM_MASTER_CLEAN!M232,"")</f>
        <v/>
      </c>
      <c r="E232" s="5" t="str">
        <f aca="false">IF(D232="","No issues","Excluded from cost/value calculations where data missing")</f>
        <v>No issues</v>
      </c>
    </row>
    <row r="233" customFormat="false" ht="15" hidden="false" customHeight="false" outlineLevel="0" collapsed="false">
      <c r="A233" s="5" t="n">
        <f aca="false">ITEM_MASTER_CLEAN!A233</f>
        <v>232</v>
      </c>
      <c r="B233" s="5" t="n">
        <f aca="false">ITEM_MASTER_CLEAN!B233</f>
        <v>62844</v>
      </c>
      <c r="C233" s="5" t="str">
        <f aca="false">ITEM_MASTER_CLEAN!C233</f>
        <v>GLOVE TPE CLR PDF FREE MED 100UN</v>
      </c>
      <c r="D233" s="5" t="str">
        <f aca="false">IF(ITEM_MASTER_CLEAN!J233&lt;&gt;"",ITEM_MASTER_CLEAN!J233&amp;" COST ","")&amp;IF(ITEM_MASTER_CLEAN!K233&lt;&gt;"",ITEM_MASTER_CLEAN!K233&amp;" PACK ","")&amp;IF(ITEM_MASTER_CLEAN!L233&lt;&gt;"",ITEM_MASTER_CLEAN!L233&amp;" CAT ","")&amp;IF(ITEM_MASTER_CLEAN!M233&lt;&gt;"",ITEM_MASTER_CLEAN!M233,"")</f>
        <v/>
      </c>
      <c r="E233" s="5" t="str">
        <f aca="false">IF(D233="","No issues","Excluded from cost/value calculations where data missing")</f>
        <v>No issues</v>
      </c>
    </row>
    <row r="234" customFormat="false" ht="15" hidden="false" customHeight="false" outlineLevel="0" collapsed="false">
      <c r="A234" s="5" t="n">
        <f aca="false">ITEM_MASTER_CLEAN!A234</f>
        <v>233</v>
      </c>
      <c r="B234" s="5" t="n">
        <f aca="false">ITEM_MASTER_CLEAN!B234</f>
        <v>62816</v>
      </c>
      <c r="C234" s="5" t="str">
        <f aca="false">ITEM_MASTER_CLEAN!C234</f>
        <v>GLOVES TPE CLR PDR FREE LG 100</v>
      </c>
      <c r="D234" s="5" t="str">
        <f aca="false">IF(ITEM_MASTER_CLEAN!J234&lt;&gt;"",ITEM_MASTER_CLEAN!J234&amp;" COST ","")&amp;IF(ITEM_MASTER_CLEAN!K234&lt;&gt;"",ITEM_MASTER_CLEAN!K234&amp;" PACK ","")&amp;IF(ITEM_MASTER_CLEAN!L234&lt;&gt;"",ITEM_MASTER_CLEAN!L234&amp;" CAT ","")&amp;IF(ITEM_MASTER_CLEAN!M234&lt;&gt;"",ITEM_MASTER_CLEAN!M234,"")</f>
        <v/>
      </c>
      <c r="E234" s="5" t="str">
        <f aca="false">IF(D234="","No issues","Excluded from cost/value calculations where data missing")</f>
        <v>No issues</v>
      </c>
    </row>
    <row r="235" customFormat="false" ht="15" hidden="false" customHeight="false" outlineLevel="0" collapsed="false">
      <c r="A235" s="5" t="n">
        <f aca="false">ITEM_MASTER_CLEAN!A235</f>
        <v>234</v>
      </c>
      <c r="B235" s="5" t="n">
        <f aca="false">ITEM_MASTER_CLEAN!B235</f>
        <v>62815</v>
      </c>
      <c r="C235" s="5" t="str">
        <f aca="false">ITEM_MASTER_CLEAN!C235</f>
        <v>GLOVES TPE CLR PDR FREE XL 100</v>
      </c>
      <c r="D235" s="5" t="str">
        <f aca="false">IF(ITEM_MASTER_CLEAN!J235&lt;&gt;"",ITEM_MASTER_CLEAN!J235&amp;" COST ","")&amp;IF(ITEM_MASTER_CLEAN!K235&lt;&gt;"",ITEM_MASTER_CLEAN!K235&amp;" PACK ","")&amp;IF(ITEM_MASTER_CLEAN!L235&lt;&gt;"",ITEM_MASTER_CLEAN!L235&amp;" CAT ","")&amp;IF(ITEM_MASTER_CLEAN!M235&lt;&gt;"",ITEM_MASTER_CLEAN!M235,"")</f>
        <v/>
      </c>
      <c r="E235" s="5" t="str">
        <f aca="false">IF(D235="","No issues","Excluded from cost/value calculations where data missing")</f>
        <v>No issues</v>
      </c>
    </row>
    <row r="236" customFormat="false" ht="15" hidden="false" customHeight="false" outlineLevel="0" collapsed="false">
      <c r="A236" s="5" t="n">
        <f aca="false">ITEM_MASTER_CLEAN!A236</f>
        <v>235</v>
      </c>
      <c r="B236" s="5" t="n">
        <f aca="false">ITEM_MASTER_CLEAN!B236</f>
        <v>38234</v>
      </c>
      <c r="C236" s="5" t="str">
        <f aca="false">ITEM_MASTER_CLEAN!C236</f>
        <v>GLOVES POLY DISP SM 9945B 500</v>
      </c>
      <c r="D236" s="5" t="str">
        <f aca="false">IF(ITEM_MASTER_CLEAN!J236&lt;&gt;"",ITEM_MASTER_CLEAN!J236&amp;" COST ","")&amp;IF(ITEM_MASTER_CLEAN!K236&lt;&gt;"",ITEM_MASTER_CLEAN!K236&amp;" PACK ","")&amp;IF(ITEM_MASTER_CLEAN!L236&lt;&gt;"",ITEM_MASTER_CLEAN!L236&amp;" CAT ","")&amp;IF(ITEM_MASTER_CLEAN!M236&lt;&gt;"",ITEM_MASTER_CLEAN!M236,"")</f>
        <v/>
      </c>
      <c r="E236" s="5" t="str">
        <f aca="false">IF(D236="","No issues","Excluded from cost/value calculations where data missing")</f>
        <v>No issues</v>
      </c>
    </row>
    <row r="237" customFormat="false" ht="15" hidden="false" customHeight="false" outlineLevel="0" collapsed="false">
      <c r="A237" s="5" t="n">
        <f aca="false">ITEM_MASTER_CLEAN!A237</f>
        <v>236</v>
      </c>
      <c r="B237" s="5" t="n">
        <f aca="false">ITEM_MASTER_CLEAN!B237</f>
        <v>34246</v>
      </c>
      <c r="C237" s="5" t="str">
        <f aca="false">ITEM_MASTER_CLEAN!C237</f>
        <v>GLOVES POLY DISP MED 9945C 1X500</v>
      </c>
      <c r="D237" s="5" t="str">
        <f aca="false">IF(ITEM_MASTER_CLEAN!J237&lt;&gt;"",ITEM_MASTER_CLEAN!J237&amp;" COST ","")&amp;IF(ITEM_MASTER_CLEAN!K237&lt;&gt;"",ITEM_MASTER_CLEAN!K237&amp;" PACK ","")&amp;IF(ITEM_MASTER_CLEAN!L237&lt;&gt;"",ITEM_MASTER_CLEAN!L237&amp;" CAT ","")&amp;IF(ITEM_MASTER_CLEAN!M237&lt;&gt;"",ITEM_MASTER_CLEAN!M237,"")</f>
        <v/>
      </c>
      <c r="E237" s="5" t="str">
        <f aca="false">IF(D237="","No issues","Excluded from cost/value calculations where data missing")</f>
        <v>No issues</v>
      </c>
    </row>
    <row r="238" customFormat="false" ht="15" hidden="false" customHeight="false" outlineLevel="0" collapsed="false">
      <c r="A238" s="5" t="n">
        <f aca="false">ITEM_MASTER_CLEAN!A238</f>
        <v>237</v>
      </c>
      <c r="B238" s="5" t="n">
        <f aca="false">ITEM_MASTER_CLEAN!B238</f>
        <v>62734</v>
      </c>
      <c r="C238" s="5" t="str">
        <f aca="false">ITEM_MASTER_CLEAN!C238</f>
        <v>GLOVES POLY DISP LRG 9945D 500</v>
      </c>
      <c r="D238" s="5" t="str">
        <f aca="false">IF(ITEM_MASTER_CLEAN!J238&lt;&gt;"",ITEM_MASTER_CLEAN!J238&amp;" COST ","")&amp;IF(ITEM_MASTER_CLEAN!K238&lt;&gt;"",ITEM_MASTER_CLEAN!K238&amp;" PACK ","")&amp;IF(ITEM_MASTER_CLEAN!L238&lt;&gt;"",ITEM_MASTER_CLEAN!L238&amp;" CAT ","")&amp;IF(ITEM_MASTER_CLEAN!M238&lt;&gt;"",ITEM_MASTER_CLEAN!M238,"")</f>
        <v/>
      </c>
      <c r="E238" s="5" t="str">
        <f aca="false">IF(D238="","No issues","Excluded from cost/value calculations where data missing")</f>
        <v>No issues</v>
      </c>
    </row>
    <row r="239" customFormat="false" ht="15" hidden="false" customHeight="false" outlineLevel="0" collapsed="false">
      <c r="A239" s="5" t="n">
        <f aca="false">ITEM_MASTER_CLEAN!A239</f>
        <v>238</v>
      </c>
      <c r="B239" s="5" t="n">
        <f aca="false">ITEM_MASTER_CLEAN!B239</f>
        <v>64410</v>
      </c>
      <c r="C239" s="5" t="str">
        <f aca="false">ITEM_MASTER_CLEAN!C239</f>
        <v>CLOTH JCHIX BLUE 12X24" 6279 1X100</v>
      </c>
      <c r="D239" s="5" t="str">
        <f aca="false">IF(ITEM_MASTER_CLEAN!J239&lt;&gt;"",ITEM_MASTER_CLEAN!J239&amp;" COST ","")&amp;IF(ITEM_MASTER_CLEAN!K239&lt;&gt;"",ITEM_MASTER_CLEAN!K239&amp;" PACK ","")&amp;IF(ITEM_MASTER_CLEAN!L239&lt;&gt;"",ITEM_MASTER_CLEAN!L239&amp;" CAT ","")&amp;IF(ITEM_MASTER_CLEAN!M239&lt;&gt;"",ITEM_MASTER_CLEAN!M239,"")</f>
        <v/>
      </c>
      <c r="E239" s="5" t="str">
        <f aca="false">IF(D239="","No issues","Excluded from cost/value calculations where data missing")</f>
        <v>No issues</v>
      </c>
    </row>
    <row r="240" customFormat="false" ht="15" hidden="false" customHeight="false" outlineLevel="0" collapsed="false">
      <c r="A240" s="5" t="n">
        <f aca="false">ITEM_MASTER_CLEAN!A240</f>
        <v>239</v>
      </c>
      <c r="B240" s="5" t="n">
        <f aca="false">ITEM_MASTER_CLEAN!B240</f>
        <v>26781</v>
      </c>
      <c r="C240" s="5" t="str">
        <f aca="false">ITEM_MASTER_CLEAN!C240</f>
        <v>MOP HEAD 650G 1</v>
      </c>
      <c r="D240" s="5" t="str">
        <f aca="false">IF(ITEM_MASTER_CLEAN!J240&lt;&gt;"",ITEM_MASTER_CLEAN!J240&amp;" COST ","")&amp;IF(ITEM_MASTER_CLEAN!K240&lt;&gt;"",ITEM_MASTER_CLEAN!K240&amp;" PACK ","")&amp;IF(ITEM_MASTER_CLEAN!L240&lt;&gt;"",ITEM_MASTER_CLEAN!L240&amp;" CAT ","")&amp;IF(ITEM_MASTER_CLEAN!M240&lt;&gt;"",ITEM_MASTER_CLEAN!M240,"")</f>
        <v/>
      </c>
      <c r="E240" s="5" t="str">
        <f aca="false">IF(D240="","No issues","Excluded from cost/value calculations where data missing")</f>
        <v>No issues</v>
      </c>
    </row>
    <row r="241" customFormat="false" ht="15" hidden="false" customHeight="false" outlineLevel="0" collapsed="false">
      <c r="A241" s="5" t="n">
        <f aca="false">ITEM_MASTER_CLEAN!A241</f>
        <v>240</v>
      </c>
      <c r="B241" s="5" t="n">
        <f aca="false">ITEM_MASTER_CLEAN!B241</f>
        <v>49219</v>
      </c>
      <c r="C241" s="5" t="str">
        <f aca="false">ITEM_MASTER_CLEAN!C241</f>
        <v>TOILET PAP 2PL METRO 48X500S</v>
      </c>
      <c r="D241" s="5" t="str">
        <f aca="false">IF(ITEM_MASTER_CLEAN!J241&lt;&gt;"",ITEM_MASTER_CLEAN!J241&amp;" COST ","")&amp;IF(ITEM_MASTER_CLEAN!K241&lt;&gt;"",ITEM_MASTER_CLEAN!K241&amp;" PACK ","")&amp;IF(ITEM_MASTER_CLEAN!L241&lt;&gt;"",ITEM_MASTER_CLEAN!L241&amp;" CAT ","")&amp;IF(ITEM_MASTER_CLEAN!M241&lt;&gt;"",ITEM_MASTER_CLEAN!M241,"")</f>
        <v/>
      </c>
      <c r="E241" s="5" t="str">
        <f aca="false">IF(D241="","No issues","Excluded from cost/value calculations where data missing")</f>
        <v>No issues</v>
      </c>
    </row>
    <row r="242" customFormat="false" ht="15" hidden="false" customHeight="false" outlineLevel="0" collapsed="false">
      <c r="A242" s="5" t="n">
        <f aca="false">ITEM_MASTER_CLEAN!A242</f>
        <v>241</v>
      </c>
      <c r="B242" s="5" t="n">
        <f aca="false">ITEM_MASTER_CLEAN!B242</f>
        <v>28376</v>
      </c>
      <c r="C242" s="5" t="str">
        <f aca="false">ITEM_MASTER_CLEAN!C242</f>
        <v>BAGS GARBAGE 35X50 X-STG BLK 100</v>
      </c>
      <c r="D242" s="5" t="str">
        <f aca="false">IF(ITEM_MASTER_CLEAN!J242&lt;&gt;"",ITEM_MASTER_CLEAN!J242&amp;" COST ","")&amp;IF(ITEM_MASTER_CLEAN!K242&lt;&gt;"",ITEM_MASTER_CLEAN!K242&amp;" PACK ","")&amp;IF(ITEM_MASTER_CLEAN!L242&lt;&gt;"",ITEM_MASTER_CLEAN!L242&amp;" CAT ","")&amp;IF(ITEM_MASTER_CLEAN!M242&lt;&gt;"",ITEM_MASTER_CLEAN!M242,"")</f>
        <v/>
      </c>
      <c r="E242" s="5" t="str">
        <f aca="false">IF(D242="","No issues","Excluded from cost/value calculations where data missing")</f>
        <v>No issues</v>
      </c>
    </row>
    <row r="243" customFormat="false" ht="15" hidden="false" customHeight="false" outlineLevel="0" collapsed="false">
      <c r="A243" s="5" t="n">
        <f aca="false">ITEM_MASTER_CLEAN!A243</f>
        <v>242</v>
      </c>
      <c r="B243" s="5" t="n">
        <f aca="false">ITEM_MASTER_CLEAN!B243</f>
        <v>28671</v>
      </c>
      <c r="C243" s="5" t="str">
        <f aca="false">ITEM_MASTER_CLEAN!C243</f>
        <v>PAD SCOUR #97 GRN 6"X9"   X10UN</v>
      </c>
      <c r="D243" s="5" t="str">
        <f aca="false">IF(ITEM_MASTER_CLEAN!J243&lt;&gt;"",ITEM_MASTER_CLEAN!J243&amp;" COST ","")&amp;IF(ITEM_MASTER_CLEAN!K243&lt;&gt;"",ITEM_MASTER_CLEAN!K243&amp;" PACK ","")&amp;IF(ITEM_MASTER_CLEAN!L243&lt;&gt;"",ITEM_MASTER_CLEAN!L243&amp;" CAT ","")&amp;IF(ITEM_MASTER_CLEAN!M243&lt;&gt;"",ITEM_MASTER_CLEAN!M243,"")</f>
        <v/>
      </c>
      <c r="E243" s="5" t="str">
        <f aca="false">IF(D243="","No issues","Excluded from cost/value calculations where data missing")</f>
        <v>No issues</v>
      </c>
    </row>
    <row r="244" customFormat="false" ht="15" hidden="false" customHeight="false" outlineLevel="0" collapsed="false">
      <c r="A244" s="5" t="n">
        <f aca="false">ITEM_MASTER_CLEAN!A244</f>
        <v>243</v>
      </c>
      <c r="B244" s="5" t="n">
        <f aca="false">ITEM_MASTER_CLEAN!B244</f>
        <v>27499</v>
      </c>
      <c r="C244" s="5" t="str">
        <f aca="false">ITEM_MASTER_CLEAN!C244</f>
        <v>MTY SOAP HAND FM ALLPUR 6X1.3L</v>
      </c>
      <c r="D244" s="5" t="str">
        <f aca="false">IF(ITEM_MASTER_CLEAN!J244&lt;&gt;"",ITEM_MASTER_CLEAN!J244&amp;" COST ","")&amp;IF(ITEM_MASTER_CLEAN!K244&lt;&gt;"",ITEM_MASTER_CLEAN!K244&amp;" PACK ","")&amp;IF(ITEM_MASTER_CLEAN!L244&lt;&gt;"",ITEM_MASTER_CLEAN!L244&amp;" CAT ","")&amp;IF(ITEM_MASTER_CLEAN!M244&lt;&gt;"",ITEM_MASTER_CLEAN!M244,"")</f>
        <v/>
      </c>
      <c r="E244" s="5" t="str">
        <f aca="false">IF(D244="","No issues","Excluded from cost/value calculations where data missing")</f>
        <v>No issues</v>
      </c>
    </row>
    <row r="245" customFormat="false" ht="15" hidden="false" customHeight="false" outlineLevel="0" collapsed="false">
      <c r="A245" s="5" t="n">
        <f aca="false">ITEM_MASTER_CLEAN!A245</f>
        <v>244</v>
      </c>
      <c r="B245" s="5" t="n">
        <f aca="false">ITEM_MASTER_CLEAN!B245</f>
        <v>28528</v>
      </c>
      <c r="C245" s="5" t="str">
        <f aca="false">ITEM_MASTER_CLEAN!C245</f>
        <v>9 MTY CLNR GLASS LITE TCH RTU12X946</v>
      </c>
      <c r="D245" s="5" t="str">
        <f aca="false">IF(ITEM_MASTER_CLEAN!J245&lt;&gt;"",ITEM_MASTER_CLEAN!J245&amp;" COST ","")&amp;IF(ITEM_MASTER_CLEAN!K245&lt;&gt;"",ITEM_MASTER_CLEAN!K245&amp;" PACK ","")&amp;IF(ITEM_MASTER_CLEAN!L245&lt;&gt;"",ITEM_MASTER_CLEAN!L245&amp;" CAT ","")&amp;IF(ITEM_MASTER_CLEAN!M245&lt;&gt;"",ITEM_MASTER_CLEAN!M245,"")</f>
        <v/>
      </c>
      <c r="E245" s="5" t="str">
        <f aca="false">IF(D245="","No issues","Excluded from cost/value calculations where data missing")</f>
        <v>No issues</v>
      </c>
    </row>
    <row r="246" customFormat="false" ht="15" hidden="false" customHeight="false" outlineLevel="0" collapsed="false">
      <c r="A246" s="5" t="n">
        <f aca="false">ITEM_MASTER_CLEAN!A246</f>
        <v>245</v>
      </c>
      <c r="B246" s="5" t="n">
        <f aca="false">ITEM_MASTER_CLEAN!B246</f>
        <v>27497</v>
      </c>
      <c r="C246" s="5" t="str">
        <f aca="false">ITEM_MASTER_CLEAN!C246</f>
        <v>MTY DEGREASR ORANG STUFF  2X3.78L</v>
      </c>
      <c r="D246" s="5" t="str">
        <f aca="false">IF(ITEM_MASTER_CLEAN!J246&lt;&gt;"",ITEM_MASTER_CLEAN!J246&amp;" COST ","")&amp;IF(ITEM_MASTER_CLEAN!K246&lt;&gt;"",ITEM_MASTER_CLEAN!K246&amp;" PACK ","")&amp;IF(ITEM_MASTER_CLEAN!L246&lt;&gt;"",ITEM_MASTER_CLEAN!L246&amp;" CAT ","")&amp;IF(ITEM_MASTER_CLEAN!M246&lt;&gt;"",ITEM_MASTER_CLEAN!M246,"")</f>
        <v/>
      </c>
      <c r="E246" s="5" t="str">
        <f aca="false">IF(D246="","No issues","Excluded from cost/value calculations where data missing")</f>
        <v>No issues</v>
      </c>
    </row>
    <row r="247" customFormat="false" ht="15" hidden="false" customHeight="false" outlineLevel="0" collapsed="false">
      <c r="A247" s="5" t="n">
        <f aca="false">ITEM_MASTER_CLEAN!A247</f>
        <v>246</v>
      </c>
      <c r="B247" s="5" t="n">
        <f aca="false">ITEM_MASTER_CLEAN!B247</f>
        <v>27496</v>
      </c>
      <c r="C247" s="5" t="str">
        <f aca="false">ITEM_MASTER_CLEAN!C247</f>
        <v>MTY SANITI SANI-STUFF CONC 2X3.78L</v>
      </c>
      <c r="D247" s="5" t="str">
        <f aca="false">IF(ITEM_MASTER_CLEAN!J247&lt;&gt;"",ITEM_MASTER_CLEAN!J247&amp;" COST ","")&amp;IF(ITEM_MASTER_CLEAN!K247&lt;&gt;"",ITEM_MASTER_CLEAN!K247&amp;" PACK ","")&amp;IF(ITEM_MASTER_CLEAN!L247&lt;&gt;"",ITEM_MASTER_CLEAN!L247&amp;" CAT ","")&amp;IF(ITEM_MASTER_CLEAN!M247&lt;&gt;"",ITEM_MASTER_CLEAN!M247,"")</f>
        <v/>
      </c>
      <c r="E247" s="5" t="str">
        <f aca="false">IF(D247="","No issues","Excluded from cost/value calculations where data missing")</f>
        <v>No issues</v>
      </c>
    </row>
    <row r="248" customFormat="false" ht="15" hidden="false" customHeight="false" outlineLevel="0" collapsed="false">
      <c r="A248" s="5" t="n">
        <f aca="false">ITEM_MASTER_CLEAN!A248</f>
        <v>247</v>
      </c>
      <c r="B248" s="5" t="n">
        <f aca="false">ITEM_MASTER_CLEAN!B248</f>
        <v>27498</v>
      </c>
      <c r="C248" s="5" t="str">
        <f aca="false">ITEM_MASTER_CLEAN!C248</f>
        <v>MTY DET YELLOW STUFF POT/PAN 2X3.78</v>
      </c>
      <c r="D248" s="5" t="str">
        <f aca="false">IF(ITEM_MASTER_CLEAN!J248&lt;&gt;"",ITEM_MASTER_CLEAN!J248&amp;" COST ","")&amp;IF(ITEM_MASTER_CLEAN!K248&lt;&gt;"",ITEM_MASTER_CLEAN!K248&amp;" PACK ","")&amp;IF(ITEM_MASTER_CLEAN!L248&lt;&gt;"",ITEM_MASTER_CLEAN!L248&amp;" CAT ","")&amp;IF(ITEM_MASTER_CLEAN!M248&lt;&gt;"",ITEM_MASTER_CLEAN!M248,"")</f>
        <v/>
      </c>
      <c r="E248" s="5" t="str">
        <f aca="false">IF(D248="","No issues","Excluded from cost/value calculations where data missing")</f>
        <v>No issues</v>
      </c>
    </row>
    <row r="249" customFormat="false" ht="23.85" hidden="false" customHeight="false" outlineLevel="0" collapsed="false">
      <c r="A249" s="5" t="n">
        <f aca="false">ITEM_MASTER_CLEAN!A249</f>
        <v>248</v>
      </c>
      <c r="B249" s="5" t="n">
        <f aca="false">ITEM_MASTER_CLEAN!B249</f>
        <v>28527</v>
      </c>
      <c r="C249" s="5" t="str">
        <f aca="false">ITEM_MASTER_CLEAN!C249</f>
        <v>9 MTY OVEN CLEANGEL HOTSTUF 6X946ML</v>
      </c>
      <c r="D249" s="5" t="str">
        <f aca="false">IF(ITEM_MASTER_CLEAN!J249&lt;&gt;"",ITEM_MASTER_CLEAN!J249&amp;" COST ","")&amp;IF(ITEM_MASTER_CLEAN!K249&lt;&gt;"",ITEM_MASTER_CLEAN!K249&amp;" PACK ","")&amp;IF(ITEM_MASTER_CLEAN!L249&lt;&gt;"",ITEM_MASTER_CLEAN!L249&amp;" CAT ","")&amp;IF(ITEM_MASTER_CLEAN!M249&lt;&gt;"",ITEM_MASTER_CLEAN!M249,"")</f>
        <v/>
      </c>
      <c r="E249" s="5" t="str">
        <f aca="false">IF(D249="","No issues","Excluded from cost/value calculations where data missing")</f>
        <v>No issues</v>
      </c>
    </row>
    <row r="250" customFormat="false" ht="15" hidden="false" customHeight="false" outlineLevel="0" collapsed="false">
      <c r="A250" s="5" t="n">
        <f aca="false">ITEM_MASTER_CLEAN!A250</f>
        <v>249</v>
      </c>
      <c r="B250" s="5" t="n">
        <f aca="false">ITEM_MASTER_CLEAN!B250</f>
        <v>28524</v>
      </c>
      <c r="C250" s="5" t="str">
        <f aca="false">ITEM_MASTER_CLEAN!C250</f>
        <v>9 MTY SANI-STUFF NO RINSE 6X946ML</v>
      </c>
      <c r="D250" s="5" t="str">
        <f aca="false">IF(ITEM_MASTER_CLEAN!J250&lt;&gt;"",ITEM_MASTER_CLEAN!J250&amp;" COST ","")&amp;IF(ITEM_MASTER_CLEAN!K250&lt;&gt;"",ITEM_MASTER_CLEAN!K250&amp;" PACK ","")&amp;IF(ITEM_MASTER_CLEAN!L250&lt;&gt;"",ITEM_MASTER_CLEAN!L250&amp;" CAT ","")&amp;IF(ITEM_MASTER_CLEAN!M250&lt;&gt;"",ITEM_MASTER_CLEAN!M250,"")</f>
        <v/>
      </c>
      <c r="E250" s="5" t="str">
        <f aca="false">IF(D250="","No issues","Excluded from cost/value calculations where data missing")</f>
        <v>No issues</v>
      </c>
    </row>
    <row r="251" customFormat="false" ht="15" hidden="false" customHeight="false" outlineLevel="0" collapsed="false">
      <c r="A251" s="5" t="n">
        <f aca="false">ITEM_MASTER_CLEAN!A251</f>
        <v>250</v>
      </c>
      <c r="B251" s="5" t="n">
        <f aca="false">ITEM_MASTER_CLEAN!B251</f>
        <v>28531</v>
      </c>
      <c r="C251" s="5" t="str">
        <f aca="false">ITEM_MASTER_CLEAN!C251</f>
        <v>9 MTY QUAT TEST PAP SANIT QT-10 X1</v>
      </c>
      <c r="D251" s="5" t="str">
        <f aca="false">IF(ITEM_MASTER_CLEAN!J251&lt;&gt;"",ITEM_MASTER_CLEAN!J251&amp;" COST ","")&amp;IF(ITEM_MASTER_CLEAN!K251&lt;&gt;"",ITEM_MASTER_CLEAN!K251&amp;" PACK ","")&amp;IF(ITEM_MASTER_CLEAN!L251&lt;&gt;"",ITEM_MASTER_CLEAN!L251&amp;" CAT ","")&amp;IF(ITEM_MASTER_CLEAN!M251&lt;&gt;"",ITEM_MASTER_CLEAN!M251,"")</f>
        <v/>
      </c>
      <c r="E251" s="5" t="str">
        <f aca="false">IF(D251="","No issues","Excluded from cost/value calculations where data missing")</f>
        <v>No issues</v>
      </c>
    </row>
    <row r="252" customFormat="false" ht="15" hidden="false" customHeight="false" outlineLevel="0" collapsed="false">
      <c r="A252" s="5" t="n">
        <f aca="false">ITEM_MASTER_CLEAN!A252</f>
        <v>251</v>
      </c>
      <c r="B252" s="5" t="n">
        <f aca="false">ITEM_MASTER_CLEAN!B252</f>
        <v>27495</v>
      </c>
      <c r="C252" s="5" t="str">
        <f aca="false">ITEM_MASTER_CLEAN!C252</f>
        <v>MTY RED SANITIZER STAT PAIL 6QT X1</v>
      </c>
      <c r="D252" s="5" t="str">
        <f aca="false">IF(ITEM_MASTER_CLEAN!J252&lt;&gt;"",ITEM_MASTER_CLEAN!J252&amp;" COST ","")&amp;IF(ITEM_MASTER_CLEAN!K252&lt;&gt;"",ITEM_MASTER_CLEAN!K252&amp;" PACK ","")&amp;IF(ITEM_MASTER_CLEAN!L252&lt;&gt;"",ITEM_MASTER_CLEAN!L252&amp;" CAT ","")&amp;IF(ITEM_MASTER_CLEAN!M252&lt;&gt;"",ITEM_MASTER_CLEAN!M252,"")</f>
        <v/>
      </c>
      <c r="E252" s="5" t="str">
        <f aca="false">IF(D252="","No issues","Excluded from cost/value calculations where data missing")</f>
        <v>No issues</v>
      </c>
    </row>
    <row r="253" customFormat="false" ht="15" hidden="false" customHeight="false" outlineLevel="0" collapsed="false">
      <c r="A253" s="5" t="n">
        <f aca="false">ITEM_MASTER_CLEAN!A253</f>
        <v>252</v>
      </c>
      <c r="B253" s="5" t="n">
        <f aca="false">ITEM_MASTER_CLEAN!B253</f>
        <v>27002</v>
      </c>
      <c r="C253" s="5" t="str">
        <f aca="false">ITEM_MASTER_CLEAN!C253</f>
        <v>MTY BTL SPRAYER D6044848 1UN</v>
      </c>
      <c r="D253" s="5" t="str">
        <f aca="false">IF(ITEM_MASTER_CLEAN!J253&lt;&gt;"",ITEM_MASTER_CLEAN!J253&amp;" COST ","")&amp;IF(ITEM_MASTER_CLEAN!K253&lt;&gt;"",ITEM_MASTER_CLEAN!K253&amp;" PACK ","")&amp;IF(ITEM_MASTER_CLEAN!L253&lt;&gt;"",ITEM_MASTER_CLEAN!L253&amp;" CAT ","")&amp;IF(ITEM_MASTER_CLEAN!M253&lt;&gt;"",ITEM_MASTER_CLEAN!M253,"")</f>
        <v/>
      </c>
      <c r="E253" s="5" t="str">
        <f aca="false">IF(D253="","No issues","Excluded from cost/value calculations where data missing")</f>
        <v>No issues</v>
      </c>
    </row>
    <row r="254" customFormat="false" ht="15" hidden="false" customHeight="false" outlineLevel="0" collapsed="false">
      <c r="A254" s="5" t="n">
        <f aca="false">ITEM_MASTER_CLEAN!A254</f>
        <v>253</v>
      </c>
      <c r="B254" s="5" t="n">
        <f aca="false">ITEM_MASTER_CLEAN!B254</f>
        <v>27003</v>
      </c>
      <c r="C254" s="5" t="str">
        <f aca="false">ITEM_MASTER_CLEAN!C254</f>
        <v>MTY TRIGGER SPRAYER HEAD 1UN</v>
      </c>
      <c r="D254" s="5" t="str">
        <f aca="false">IF(ITEM_MASTER_CLEAN!J254&lt;&gt;"",ITEM_MASTER_CLEAN!J254&amp;" COST ","")&amp;IF(ITEM_MASTER_CLEAN!K254&lt;&gt;"",ITEM_MASTER_CLEAN!K254&amp;" PACK ","")&amp;IF(ITEM_MASTER_CLEAN!L254&lt;&gt;"",ITEM_MASTER_CLEAN!L254&amp;" CAT ","")&amp;IF(ITEM_MASTER_CLEAN!M254&lt;&gt;"",ITEM_MASTER_CLEAN!M254,"")</f>
        <v/>
      </c>
      <c r="E254" s="5" t="str">
        <f aca="false">IF(D254="","No issues","Excluded from cost/value calculations where data missing")</f>
        <v>No issues</v>
      </c>
    </row>
    <row r="255" customFormat="false" ht="23.85" hidden="false" customHeight="false" outlineLevel="0" collapsed="false">
      <c r="A255" s="5" t="n">
        <f aca="false">ITEM_MASTER_CLEAN!A255</f>
        <v>254</v>
      </c>
      <c r="B255" s="5" t="n">
        <f aca="false">ITEM_MASTER_CLEAN!B255</f>
        <v>28530</v>
      </c>
      <c r="C255" s="5" t="str">
        <f aca="false">ITEM_MASTER_CLEAN!C255</f>
        <v>9 MTY DOSAGE PUMP HAND 4LJUG 1OZ X1</v>
      </c>
      <c r="D255" s="5" t="str">
        <f aca="false">IF(ITEM_MASTER_CLEAN!J255&lt;&gt;"",ITEM_MASTER_CLEAN!J255&amp;" COST ","")&amp;IF(ITEM_MASTER_CLEAN!K255&lt;&gt;"",ITEM_MASTER_CLEAN!K255&amp;" PACK ","")&amp;IF(ITEM_MASTER_CLEAN!L255&lt;&gt;"",ITEM_MASTER_CLEAN!L255&amp;" CAT ","")&amp;IF(ITEM_MASTER_CLEAN!M255&lt;&gt;"",ITEM_MASTER_CLEAN!M255,"")</f>
        <v/>
      </c>
      <c r="E255" s="5" t="str">
        <f aca="false">IF(D255="","No issues","Excluded from cost/value calculations where data missing")</f>
        <v>No issues</v>
      </c>
    </row>
    <row r="256" customFormat="false" ht="15" hidden="false" customHeight="false" outlineLevel="0" collapsed="false">
      <c r="A256" s="5" t="n">
        <f aca="false">ITEM_MASTER_CLEAN!A256</f>
        <v>255</v>
      </c>
      <c r="B256" s="5" t="n">
        <f aca="false">ITEM_MASTER_CLEAN!B256</f>
        <v>28529</v>
      </c>
      <c r="C256" s="5" t="str">
        <f aca="false">ITEM_MASTER_CLEAN!C256</f>
        <v>9 MTY DOSAGE PUMP 1/8 OZ GAL X1</v>
      </c>
      <c r="D256" s="5" t="str">
        <f aca="false">IF(ITEM_MASTER_CLEAN!J256&lt;&gt;"",ITEM_MASTER_CLEAN!J256&amp;" COST ","")&amp;IF(ITEM_MASTER_CLEAN!K256&lt;&gt;"",ITEM_MASTER_CLEAN!K256&amp;" PACK ","")&amp;IF(ITEM_MASTER_CLEAN!L256&lt;&gt;"",ITEM_MASTER_CLEAN!L256&amp;" CAT ","")&amp;IF(ITEM_MASTER_CLEAN!M256&lt;&gt;"",ITEM_MASTER_CLEAN!M256,"")</f>
        <v/>
      </c>
      <c r="E256" s="5" t="str">
        <f aca="false">IF(D256="","No issues","Excluded from cost/value calculations where data missing")</f>
        <v>No issues</v>
      </c>
    </row>
    <row r="257" customFormat="false" ht="15" hidden="false" customHeight="false" outlineLevel="0" collapsed="false">
      <c r="A257" s="5" t="n">
        <f aca="false">ITEM_MASTER_CLEAN!A257</f>
        <v>256</v>
      </c>
      <c r="B257" s="5" t="n">
        <f aca="false">ITEM_MASTER_CLEAN!B257</f>
        <v>29153</v>
      </c>
      <c r="C257" s="5" t="str">
        <f aca="false">ITEM_MASTER_CLEAN!C257</f>
        <v>BEV P.LEAF GRN TEA/HONEY 12X547ML</v>
      </c>
      <c r="D257" s="5" t="str">
        <f aca="false">IF(ITEM_MASTER_CLEAN!J257&lt;&gt;"",ITEM_MASTER_CLEAN!J257&amp;" COST ","")&amp;IF(ITEM_MASTER_CLEAN!K257&lt;&gt;"",ITEM_MASTER_CLEAN!K257&amp;" PACK ","")&amp;IF(ITEM_MASTER_CLEAN!L257&lt;&gt;"",ITEM_MASTER_CLEAN!L257&amp;" CAT ","")&amp;IF(ITEM_MASTER_CLEAN!M257&lt;&gt;"",ITEM_MASTER_CLEAN!M257,"")</f>
        <v/>
      </c>
      <c r="E257" s="5" t="str">
        <f aca="false">IF(D257="","No issues","Excluded from cost/value calculations where data missing")</f>
        <v>No issues</v>
      </c>
    </row>
    <row r="258" customFormat="false" ht="15" hidden="false" customHeight="false" outlineLevel="0" collapsed="false">
      <c r="A258" s="5" t="n">
        <f aca="false">ITEM_MASTER_CLEAN!A258</f>
        <v>257</v>
      </c>
      <c r="B258" s="5" t="n">
        <f aca="false">ITEM_MASTER_CLEAN!B258</f>
        <v>29154</v>
      </c>
      <c r="C258" s="5" t="str">
        <f aca="false">ITEM_MASTER_CLEAN!C258</f>
        <v>BEV P.LEAF LEMON TEA  12X547ML</v>
      </c>
      <c r="D258" s="5" t="str">
        <f aca="false">IF(ITEM_MASTER_CLEAN!J258&lt;&gt;"",ITEM_MASTER_CLEAN!J258&amp;" COST ","")&amp;IF(ITEM_MASTER_CLEAN!K258&lt;&gt;"",ITEM_MASTER_CLEAN!K258&amp;" PACK ","")&amp;IF(ITEM_MASTER_CLEAN!L258&lt;&gt;"",ITEM_MASTER_CLEAN!L258&amp;" CAT ","")&amp;IF(ITEM_MASTER_CLEAN!M258&lt;&gt;"",ITEM_MASTER_CLEAN!M258,"")</f>
        <v/>
      </c>
      <c r="E258" s="5" t="str">
        <f aca="false">IF(D258="","No issues","Excluded from cost/value calculations where data missing")</f>
        <v>No issues</v>
      </c>
    </row>
    <row r="259" customFormat="false" ht="23.85" hidden="false" customHeight="false" outlineLevel="0" collapsed="false">
      <c r="A259" s="5" t="n">
        <f aca="false">ITEM_MASTER_CLEAN!A259</f>
        <v>258</v>
      </c>
      <c r="B259" s="5" t="n">
        <f aca="false">ITEM_MASTER_CLEAN!B259</f>
        <v>14130</v>
      </c>
      <c r="C259" s="5" t="str">
        <f aca="false">ITEM_MASTER_CLEAN!C259</f>
        <v>9 BEV STARBKS TRP SHOT MOCHA 12X444</v>
      </c>
      <c r="D259" s="5" t="str">
        <f aca="false">IF(ITEM_MASTER_CLEAN!J259&lt;&gt;"",ITEM_MASTER_CLEAN!J259&amp;" COST ","")&amp;IF(ITEM_MASTER_CLEAN!K259&lt;&gt;"",ITEM_MASTER_CLEAN!K259&amp;" PACK ","")&amp;IF(ITEM_MASTER_CLEAN!L259&lt;&gt;"",ITEM_MASTER_CLEAN!L259&amp;" CAT ","")&amp;IF(ITEM_MASTER_CLEAN!M259&lt;&gt;"",ITEM_MASTER_CLEAN!M259,"")</f>
        <v/>
      </c>
      <c r="E259" s="5" t="str">
        <f aca="false">IF(D259="","No issues","Excluded from cost/value calculations where data missing")</f>
        <v>No issues</v>
      </c>
    </row>
    <row r="260" customFormat="false" ht="15" hidden="false" customHeight="false" outlineLevel="0" collapsed="false">
      <c r="A260" s="5" t="n">
        <f aca="false">ITEM_MASTER_CLEAN!A260</f>
        <v>259</v>
      </c>
      <c r="B260" s="5" t="n">
        <f aca="false">ITEM_MASTER_CLEAN!B260</f>
        <v>14131</v>
      </c>
      <c r="C260" s="5" t="str">
        <f aca="false">ITEM_MASTER_CLEAN!C260</f>
        <v>9 BEV STARBUCKS DBL SHOT VAN 12X444</v>
      </c>
      <c r="D260" s="5" t="str">
        <f aca="false">IF(ITEM_MASTER_CLEAN!J260&lt;&gt;"",ITEM_MASTER_CLEAN!J260&amp;" COST ","")&amp;IF(ITEM_MASTER_CLEAN!K260&lt;&gt;"",ITEM_MASTER_CLEAN!K260&amp;" PACK ","")&amp;IF(ITEM_MASTER_CLEAN!L260&lt;&gt;"",ITEM_MASTER_CLEAN!L260&amp;" CAT ","")&amp;IF(ITEM_MASTER_CLEAN!M260&lt;&gt;"",ITEM_MASTER_CLEAN!M260,"")</f>
        <v/>
      </c>
      <c r="E260" s="5" t="str">
        <f aca="false">IF(D260="","No issues","Excluded from cost/value calculations where data missing")</f>
        <v>No issues</v>
      </c>
    </row>
    <row r="261" customFormat="false" ht="15" hidden="false" customHeight="false" outlineLevel="0" collapsed="false">
      <c r="A261" s="5" t="n">
        <f aca="false">ITEM_MASTER_CLEAN!A261</f>
        <v>260</v>
      </c>
      <c r="B261" s="5" t="n">
        <f aca="false">ITEM_MASTER_CLEAN!B261</f>
        <v>52342</v>
      </c>
      <c r="C261" s="5" t="str">
        <f aca="false">ITEM_MASTER_CLEAN!C261</f>
        <v>BEV ROOT BEER MUG CAN 12X355ML</v>
      </c>
      <c r="D261" s="5" t="str">
        <f aca="false">IF(ITEM_MASTER_CLEAN!J261&lt;&gt;"",ITEM_MASTER_CLEAN!J261&amp;" COST ","")&amp;IF(ITEM_MASTER_CLEAN!K261&lt;&gt;"",ITEM_MASTER_CLEAN!K261&amp;" PACK ","")&amp;IF(ITEM_MASTER_CLEAN!L261&lt;&gt;"",ITEM_MASTER_CLEAN!L261&amp;" CAT ","")&amp;IF(ITEM_MASTER_CLEAN!M261&lt;&gt;"",ITEM_MASTER_CLEAN!M261,"")</f>
        <v/>
      </c>
      <c r="E261" s="5" t="str">
        <f aca="false">IF(D261="","No issues","Excluded from cost/value calculations where data missing")</f>
        <v>No issues</v>
      </c>
    </row>
    <row r="262" customFormat="false" ht="15" hidden="false" customHeight="false" outlineLevel="0" collapsed="false">
      <c r="A262" s="5" t="n">
        <f aca="false">ITEM_MASTER_CLEAN!A262</f>
        <v>261</v>
      </c>
      <c r="B262" s="5" t="n">
        <f aca="false">ITEM_MASTER_CLEAN!B262</f>
        <v>52349</v>
      </c>
      <c r="C262" s="5" t="str">
        <f aca="false">ITEM_MASTER_CLEAN!C262</f>
        <v>BEV ORANGE CRUSH CAN 12X355ML</v>
      </c>
      <c r="D262" s="5" t="str">
        <f aca="false">IF(ITEM_MASTER_CLEAN!J262&lt;&gt;"",ITEM_MASTER_CLEAN!J262&amp;" COST ","")&amp;IF(ITEM_MASTER_CLEAN!K262&lt;&gt;"",ITEM_MASTER_CLEAN!K262&amp;" PACK ","")&amp;IF(ITEM_MASTER_CLEAN!L262&lt;&gt;"",ITEM_MASTER_CLEAN!L262&amp;" CAT ","")&amp;IF(ITEM_MASTER_CLEAN!M262&lt;&gt;"",ITEM_MASTER_CLEAN!M262,"")</f>
        <v/>
      </c>
      <c r="E262" s="5" t="str">
        <f aca="false">IF(D262="","No issues","Excluded from cost/value calculations where data missing")</f>
        <v>No issues</v>
      </c>
    </row>
    <row r="263" customFormat="false" ht="15" hidden="false" customHeight="false" outlineLevel="0" collapsed="false">
      <c r="A263" s="5" t="n">
        <f aca="false">ITEM_MASTER_CLEAN!A263</f>
        <v>262</v>
      </c>
      <c r="B263" s="5" t="n">
        <f aca="false">ITEM_MASTER_CLEAN!B263</f>
        <v>61804</v>
      </c>
      <c r="C263" s="5" t="str">
        <f aca="false">ITEM_MASTER_CLEAN!C263</f>
        <v>LADIP BOX POPCORN 6X2.75X8.5  100</v>
      </c>
      <c r="D263" s="5" t="str">
        <f aca="false">IF(ITEM_MASTER_CLEAN!J263&lt;&gt;"",ITEM_MASTER_CLEAN!J263&amp;" COST ","")&amp;IF(ITEM_MASTER_CLEAN!K263&lt;&gt;"",ITEM_MASTER_CLEAN!K263&amp;" PACK ","")&amp;IF(ITEM_MASTER_CLEAN!L263&lt;&gt;"",ITEM_MASTER_CLEAN!L263&amp;" CAT ","")&amp;IF(ITEM_MASTER_CLEAN!M263&lt;&gt;"",ITEM_MASTER_CLEAN!M263,"")</f>
        <v/>
      </c>
      <c r="E263" s="5" t="str">
        <f aca="false">IF(D263="","No issues","Excluded from cost/value calculations where data missing")</f>
        <v>No issues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2026-02-22T20:26:01Z</dcterms:created>
  <dc:creator>openpyxl</dc:creator>
  <dc:description/>
  <dc:language>en-US</dc:language>
  <cp:lastModifiedBy/>
  <dcterms:modified xsi:type="dcterms:W3CDTF">2026-02-22T20:26:13Z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