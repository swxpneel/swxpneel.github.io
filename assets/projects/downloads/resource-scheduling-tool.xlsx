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isb\Downloads\"/>
    </mc:Choice>
  </mc:AlternateContent>
  <xr:revisionPtr revIDLastSave="0" documentId="13_ncr:1_{142A3A2B-2DEE-48E4-9C01-4FA9F0D1EF57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README" sheetId="1" r:id="rId1"/>
    <sheet name="SETTINGS" sheetId="2" r:id="rId2"/>
    <sheet name="RESOURCES" sheetId="3" r:id="rId3"/>
    <sheet name="PROJECTS" sheetId="4" r:id="rId4"/>
    <sheet name="TASKS" sheetId="5" r:id="rId5"/>
    <sheet name="ASSIGNMENTS" sheetId="6" r:id="rId6"/>
    <sheet name="CAPACITY_MODEL" sheetId="7" r:id="rId7"/>
    <sheet name="DEMAND_VS_CAPACITY" sheetId="8" r:id="rId8"/>
    <sheet name="SCHEDULE_VIEW" sheetId="9" r:id="rId9"/>
    <sheet name="PROJECT_VIEW" sheetId="10" r:id="rId10"/>
    <sheet name="DASHBOARD" sheetId="11" r:id="rId11"/>
    <sheet name="DATA_ISSUES" sheetId="12" r:id="rId12"/>
  </sheets>
  <definedNames>
    <definedName name="NumWeeks">SETTINGS!$B$4</definedName>
    <definedName name="OTAllowed">SETTINGS!$B$8</definedName>
    <definedName name="OTCap">SETTINGS!$B$9</definedName>
    <definedName name="PlanStart">SETTINGS!$B$3</definedName>
    <definedName name="StdHrsDay">SETTINGS!$B$6</definedName>
    <definedName name="StdHrsWeek">SETTINGS!$B$7</definedName>
    <definedName name="UtilWarn">SETTINGS!$B$10</definedName>
    <definedName name="WorkDays">SETTINGS!$B$5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1" i="6" l="1"/>
  <c r="I29" i="6"/>
  <c r="I23" i="6"/>
  <c r="I24" i="6"/>
  <c r="I25" i="6"/>
  <c r="I26" i="6"/>
  <c r="I27" i="6"/>
  <c r="C216" i="12"/>
  <c r="C215" i="12"/>
  <c r="C214" i="12"/>
  <c r="C213" i="12"/>
  <c r="C212" i="12"/>
  <c r="C211" i="12"/>
  <c r="C210" i="12"/>
  <c r="C209" i="12"/>
  <c r="C208" i="12"/>
  <c r="C207" i="12"/>
  <c r="C206" i="12"/>
  <c r="C205" i="12"/>
  <c r="C204" i="12"/>
  <c r="C203" i="12"/>
  <c r="C202" i="12"/>
  <c r="C201" i="12"/>
  <c r="C200" i="12"/>
  <c r="C199" i="12"/>
  <c r="C198" i="12"/>
  <c r="C197" i="12"/>
  <c r="C196" i="12"/>
  <c r="C195" i="12"/>
  <c r="C194" i="12"/>
  <c r="C193" i="12"/>
  <c r="C192" i="12"/>
  <c r="C191" i="12"/>
  <c r="C190" i="12"/>
  <c r="C189" i="12"/>
  <c r="C188" i="12"/>
  <c r="C187" i="12"/>
  <c r="C186" i="12"/>
  <c r="C185" i="12"/>
  <c r="C184" i="12"/>
  <c r="C183" i="12"/>
  <c r="C182" i="12"/>
  <c r="C181" i="12"/>
  <c r="C180" i="12"/>
  <c r="C179" i="12"/>
  <c r="C178" i="12"/>
  <c r="C177" i="12"/>
  <c r="C176" i="12"/>
  <c r="C175" i="12"/>
  <c r="C174" i="12"/>
  <c r="C173" i="12"/>
  <c r="C172" i="12"/>
  <c r="C171" i="12"/>
  <c r="C170" i="12"/>
  <c r="C169" i="12"/>
  <c r="C168" i="12"/>
  <c r="C167" i="12"/>
  <c r="C166" i="12"/>
  <c r="C165" i="12"/>
  <c r="C164" i="12"/>
  <c r="C163" i="12"/>
  <c r="C162" i="12"/>
  <c r="C161" i="12"/>
  <c r="C160" i="12"/>
  <c r="C159" i="12"/>
  <c r="C158" i="12"/>
  <c r="C157" i="12"/>
  <c r="C156" i="12"/>
  <c r="C155" i="12"/>
  <c r="C154" i="12"/>
  <c r="C153" i="12"/>
  <c r="C152" i="12"/>
  <c r="C151" i="12"/>
  <c r="C150" i="12"/>
  <c r="C149" i="12"/>
  <c r="C148" i="12"/>
  <c r="C147" i="12"/>
  <c r="C146" i="12"/>
  <c r="C145" i="12"/>
  <c r="C144" i="12"/>
  <c r="C143" i="12"/>
  <c r="C142" i="12"/>
  <c r="C141" i="12"/>
  <c r="C140" i="12"/>
  <c r="C139" i="12"/>
  <c r="C138" i="12"/>
  <c r="C137" i="12"/>
  <c r="C136" i="12"/>
  <c r="C135" i="12"/>
  <c r="C134" i="12"/>
  <c r="C133" i="12"/>
  <c r="C132" i="12"/>
  <c r="C131" i="12"/>
  <c r="C130" i="12"/>
  <c r="C129" i="12"/>
  <c r="C128" i="12"/>
  <c r="C127" i="12"/>
  <c r="C126" i="12"/>
  <c r="C125" i="12"/>
  <c r="C124" i="12"/>
  <c r="C123" i="12"/>
  <c r="C122" i="12"/>
  <c r="C121" i="12"/>
  <c r="C120" i="12"/>
  <c r="C119" i="12"/>
  <c r="C118" i="12"/>
  <c r="C117" i="12"/>
  <c r="C116" i="12"/>
  <c r="C115" i="12"/>
  <c r="C114" i="12"/>
  <c r="C113" i="12"/>
  <c r="C112" i="12"/>
  <c r="C111" i="12"/>
  <c r="C110" i="12"/>
  <c r="C109" i="12"/>
  <c r="C108" i="12"/>
  <c r="C107" i="12"/>
  <c r="C106" i="12"/>
  <c r="C105" i="12"/>
  <c r="C104" i="12"/>
  <c r="C103" i="12"/>
  <c r="C102" i="12"/>
  <c r="C101" i="12"/>
  <c r="C100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8" i="12"/>
  <c r="C7" i="12"/>
  <c r="C6" i="12"/>
  <c r="C5" i="12"/>
  <c r="C4" i="12"/>
  <c r="J17" i="11"/>
  <c r="B12" i="11"/>
  <c r="B8" i="11"/>
  <c r="B7" i="11"/>
  <c r="B9" i="11" s="1"/>
  <c r="B6" i="11"/>
  <c r="B5" i="11"/>
  <c r="B4" i="11"/>
  <c r="H10" i="10"/>
  <c r="J10" i="10" s="1"/>
  <c r="G10" i="10"/>
  <c r="I10" i="10" s="1"/>
  <c r="K10" i="10" s="1"/>
  <c r="J9" i="10"/>
  <c r="I9" i="10"/>
  <c r="K9" i="10" s="1"/>
  <c r="H9" i="10"/>
  <c r="G9" i="10"/>
  <c r="H8" i="10"/>
  <c r="G8" i="10"/>
  <c r="H7" i="10"/>
  <c r="G7" i="10"/>
  <c r="H6" i="10"/>
  <c r="J6" i="10" s="1"/>
  <c r="G6" i="10"/>
  <c r="I5" i="10"/>
  <c r="K5" i="10" s="1"/>
  <c r="H5" i="10"/>
  <c r="G5" i="10"/>
  <c r="K4" i="10"/>
  <c r="J4" i="10"/>
  <c r="I4" i="10"/>
  <c r="H4" i="10"/>
  <c r="G4" i="10"/>
  <c r="S11" i="9"/>
  <c r="I11" i="9"/>
  <c r="O10" i="9"/>
  <c r="I9" i="9"/>
  <c r="I7" i="9"/>
  <c r="I5" i="9"/>
  <c r="S11" i="8"/>
  <c r="R11" i="8"/>
  <c r="R11" i="9" s="1"/>
  <c r="Q11" i="8"/>
  <c r="Q11" i="9" s="1"/>
  <c r="P11" i="8"/>
  <c r="P11" i="9" s="1"/>
  <c r="O11" i="8"/>
  <c r="O11" i="9" s="1"/>
  <c r="N11" i="8"/>
  <c r="M11" i="8"/>
  <c r="M11" i="9" s="1"/>
  <c r="L11" i="8"/>
  <c r="L11" i="9" s="1"/>
  <c r="K11" i="8"/>
  <c r="J11" i="8"/>
  <c r="I11" i="8"/>
  <c r="H11" i="8"/>
  <c r="H11" i="9" s="1"/>
  <c r="G11" i="8"/>
  <c r="G11" i="9" s="1"/>
  <c r="F11" i="8"/>
  <c r="E11" i="8"/>
  <c r="E11" i="9" s="1"/>
  <c r="D11" i="8"/>
  <c r="D11" i="9" s="1"/>
  <c r="S10" i="8"/>
  <c r="R10" i="8"/>
  <c r="R10" i="9" s="1"/>
  <c r="Q10" i="8"/>
  <c r="Q10" i="9" s="1"/>
  <c r="P10" i="8"/>
  <c r="P10" i="9" s="1"/>
  <c r="O10" i="8"/>
  <c r="N10" i="8"/>
  <c r="N10" i="9" s="1"/>
  <c r="M10" i="8"/>
  <c r="M10" i="9" s="1"/>
  <c r="L10" i="8"/>
  <c r="L10" i="9" s="1"/>
  <c r="K10" i="8"/>
  <c r="J10" i="8"/>
  <c r="J10" i="9" s="1"/>
  <c r="I10" i="8"/>
  <c r="I10" i="9" s="1"/>
  <c r="H10" i="8"/>
  <c r="H10" i="9" s="1"/>
  <c r="G10" i="8"/>
  <c r="G10" i="9" s="1"/>
  <c r="F10" i="8"/>
  <c r="E10" i="8"/>
  <c r="E10" i="9" s="1"/>
  <c r="D10" i="8"/>
  <c r="D10" i="9" s="1"/>
  <c r="S9" i="8"/>
  <c r="S9" i="9" s="1"/>
  <c r="R9" i="8"/>
  <c r="R9" i="9" s="1"/>
  <c r="Q9" i="8"/>
  <c r="Q9" i="9" s="1"/>
  <c r="P9" i="8"/>
  <c r="P9" i="9" s="1"/>
  <c r="O9" i="8"/>
  <c r="O9" i="9" s="1"/>
  <c r="N9" i="8"/>
  <c r="M9" i="8"/>
  <c r="M9" i="9" s="1"/>
  <c r="L9" i="8"/>
  <c r="L9" i="9" s="1"/>
  <c r="K9" i="8"/>
  <c r="J9" i="8"/>
  <c r="I9" i="8"/>
  <c r="H9" i="8"/>
  <c r="H9" i="9" s="1"/>
  <c r="G9" i="8"/>
  <c r="G9" i="9" s="1"/>
  <c r="F9" i="8"/>
  <c r="E9" i="8"/>
  <c r="E9" i="9" s="1"/>
  <c r="D9" i="8"/>
  <c r="D9" i="9" s="1"/>
  <c r="S8" i="8"/>
  <c r="R8" i="8"/>
  <c r="R8" i="9" s="1"/>
  <c r="Q8" i="8"/>
  <c r="Q8" i="9" s="1"/>
  <c r="P8" i="8"/>
  <c r="P8" i="9" s="1"/>
  <c r="O8" i="8"/>
  <c r="O8" i="9" s="1"/>
  <c r="N8" i="8"/>
  <c r="N8" i="9" s="1"/>
  <c r="M8" i="8"/>
  <c r="M8" i="9" s="1"/>
  <c r="L8" i="8"/>
  <c r="L8" i="9" s="1"/>
  <c r="K8" i="8"/>
  <c r="J8" i="8"/>
  <c r="J8" i="9" s="1"/>
  <c r="I8" i="8"/>
  <c r="I8" i="9" s="1"/>
  <c r="H8" i="8"/>
  <c r="H8" i="9" s="1"/>
  <c r="G8" i="8"/>
  <c r="G8" i="9" s="1"/>
  <c r="F8" i="8"/>
  <c r="E8" i="8"/>
  <c r="E8" i="9" s="1"/>
  <c r="D8" i="8"/>
  <c r="D8" i="9" s="1"/>
  <c r="S7" i="8"/>
  <c r="R7" i="8"/>
  <c r="R7" i="9" s="1"/>
  <c r="Q7" i="8"/>
  <c r="Q7" i="9" s="1"/>
  <c r="P7" i="8"/>
  <c r="P7" i="9" s="1"/>
  <c r="O7" i="8"/>
  <c r="O7" i="9" s="1"/>
  <c r="N7" i="8"/>
  <c r="M7" i="8"/>
  <c r="M7" i="9" s="1"/>
  <c r="L7" i="8"/>
  <c r="L7" i="9" s="1"/>
  <c r="K7" i="8"/>
  <c r="J7" i="8"/>
  <c r="I7" i="8"/>
  <c r="H7" i="8"/>
  <c r="H7" i="9" s="1"/>
  <c r="G7" i="8"/>
  <c r="G7" i="9" s="1"/>
  <c r="F7" i="8"/>
  <c r="E7" i="8"/>
  <c r="E7" i="9" s="1"/>
  <c r="D7" i="8"/>
  <c r="D7" i="9" s="1"/>
  <c r="S6" i="8"/>
  <c r="R6" i="8"/>
  <c r="R6" i="9" s="1"/>
  <c r="Q6" i="8"/>
  <c r="Q6" i="9" s="1"/>
  <c r="P6" i="8"/>
  <c r="P6" i="9" s="1"/>
  <c r="O6" i="8"/>
  <c r="O6" i="9" s="1"/>
  <c r="N6" i="8"/>
  <c r="N6" i="9" s="1"/>
  <c r="M6" i="8"/>
  <c r="M6" i="9" s="1"/>
  <c r="L6" i="8"/>
  <c r="L6" i="9" s="1"/>
  <c r="K6" i="8"/>
  <c r="J6" i="8"/>
  <c r="J6" i="9" s="1"/>
  <c r="I6" i="8"/>
  <c r="I6" i="9" s="1"/>
  <c r="H6" i="8"/>
  <c r="H6" i="9" s="1"/>
  <c r="G6" i="8"/>
  <c r="G6" i="9" s="1"/>
  <c r="F6" i="8"/>
  <c r="E6" i="8"/>
  <c r="E6" i="9" s="1"/>
  <c r="D6" i="8"/>
  <c r="D6" i="9" s="1"/>
  <c r="S5" i="8"/>
  <c r="S5" i="9" s="1"/>
  <c r="R5" i="8"/>
  <c r="P17" i="11" s="1"/>
  <c r="Q5" i="8"/>
  <c r="O17" i="11" s="1"/>
  <c r="P5" i="8"/>
  <c r="N17" i="11" s="1"/>
  <c r="O5" i="8"/>
  <c r="N5" i="8"/>
  <c r="L17" i="11" s="1"/>
  <c r="M5" i="8"/>
  <c r="L5" i="8"/>
  <c r="L5" i="9" s="1"/>
  <c r="K5" i="8"/>
  <c r="J5" i="8"/>
  <c r="H17" i="11" s="1"/>
  <c r="I5" i="8"/>
  <c r="G17" i="11" s="1"/>
  <c r="H5" i="8"/>
  <c r="F17" i="11" s="1"/>
  <c r="G5" i="8"/>
  <c r="F5" i="8"/>
  <c r="D17" i="11" s="1"/>
  <c r="E5" i="8"/>
  <c r="D5" i="8"/>
  <c r="D5" i="9" s="1"/>
  <c r="B19" i="7"/>
  <c r="B18" i="7"/>
  <c r="B17" i="7"/>
  <c r="B16" i="7"/>
  <c r="B15" i="7"/>
  <c r="E10" i="7"/>
  <c r="D10" i="7"/>
  <c r="U10" i="7" s="1"/>
  <c r="S22" i="8" s="1"/>
  <c r="C10" i="7"/>
  <c r="B10" i="7"/>
  <c r="A10" i="7"/>
  <c r="H9" i="7"/>
  <c r="F21" i="8" s="1"/>
  <c r="E9" i="7"/>
  <c r="R9" i="7" s="1"/>
  <c r="P21" i="8" s="1"/>
  <c r="D9" i="7"/>
  <c r="S9" i="7" s="1"/>
  <c r="Q21" i="8" s="1"/>
  <c r="C9" i="7"/>
  <c r="B9" i="7"/>
  <c r="A9" i="7"/>
  <c r="E8" i="7"/>
  <c r="M8" i="7" s="1"/>
  <c r="K20" i="8" s="1"/>
  <c r="D8" i="7"/>
  <c r="C8" i="7"/>
  <c r="B8" i="7"/>
  <c r="A8" i="7"/>
  <c r="M7" i="7"/>
  <c r="K19" i="8" s="1"/>
  <c r="I7" i="7"/>
  <c r="G19" i="8" s="1"/>
  <c r="E7" i="7"/>
  <c r="Q7" i="7" s="1"/>
  <c r="O19" i="8" s="1"/>
  <c r="D7" i="7"/>
  <c r="U7" i="7" s="1"/>
  <c r="S19" i="8" s="1"/>
  <c r="C7" i="7"/>
  <c r="B7" i="7"/>
  <c r="A7" i="7"/>
  <c r="R6" i="7"/>
  <c r="P18" i="8" s="1"/>
  <c r="N6" i="7"/>
  <c r="L18" i="8" s="1"/>
  <c r="J6" i="7"/>
  <c r="H18" i="8" s="1"/>
  <c r="E6" i="7"/>
  <c r="D6" i="7"/>
  <c r="Q6" i="7" s="1"/>
  <c r="O18" i="8" s="1"/>
  <c r="C6" i="7"/>
  <c r="B6" i="7"/>
  <c r="A6" i="7"/>
  <c r="E5" i="7"/>
  <c r="D5" i="7"/>
  <c r="T5" i="7" s="1"/>
  <c r="R17" i="8" s="1"/>
  <c r="C5" i="7"/>
  <c r="B5" i="7"/>
  <c r="A5" i="7"/>
  <c r="E4" i="7"/>
  <c r="D4" i="7"/>
  <c r="C4" i="7"/>
  <c r="B4" i="7"/>
  <c r="A4" i="7"/>
  <c r="K214" i="6"/>
  <c r="J214" i="6"/>
  <c r="H214" i="6"/>
  <c r="G214" i="6"/>
  <c r="I214" i="6" s="1"/>
  <c r="K213" i="6"/>
  <c r="J213" i="6"/>
  <c r="H213" i="6"/>
  <c r="I213" i="6" s="1"/>
  <c r="G213" i="6"/>
  <c r="K212" i="6"/>
  <c r="J212" i="6"/>
  <c r="I212" i="6"/>
  <c r="H212" i="6"/>
  <c r="G212" i="6"/>
  <c r="K211" i="6"/>
  <c r="J211" i="6"/>
  <c r="H211" i="6"/>
  <c r="I211" i="6" s="1"/>
  <c r="G211" i="6"/>
  <c r="K210" i="6"/>
  <c r="J210" i="6"/>
  <c r="H210" i="6"/>
  <c r="G210" i="6"/>
  <c r="K209" i="6"/>
  <c r="J209" i="6"/>
  <c r="H209" i="6"/>
  <c r="G209" i="6"/>
  <c r="K208" i="6"/>
  <c r="J208" i="6"/>
  <c r="I208" i="6"/>
  <c r="H208" i="6"/>
  <c r="G208" i="6"/>
  <c r="K207" i="6"/>
  <c r="J207" i="6"/>
  <c r="D209" i="12" s="1"/>
  <c r="E209" i="12" s="1"/>
  <c r="H207" i="6"/>
  <c r="G207" i="6"/>
  <c r="I207" i="6" s="1"/>
  <c r="K206" i="6"/>
  <c r="J206" i="6"/>
  <c r="H206" i="6"/>
  <c r="G206" i="6"/>
  <c r="I206" i="6" s="1"/>
  <c r="K205" i="6"/>
  <c r="J205" i="6"/>
  <c r="H205" i="6"/>
  <c r="I205" i="6" s="1"/>
  <c r="G205" i="6"/>
  <c r="K204" i="6"/>
  <c r="J204" i="6"/>
  <c r="I204" i="6"/>
  <c r="H204" i="6"/>
  <c r="G204" i="6"/>
  <c r="K203" i="6"/>
  <c r="J203" i="6"/>
  <c r="H203" i="6"/>
  <c r="I203" i="6" s="1"/>
  <c r="G203" i="6"/>
  <c r="K202" i="6"/>
  <c r="J202" i="6"/>
  <c r="H202" i="6"/>
  <c r="G202" i="6"/>
  <c r="I202" i="6" s="1"/>
  <c r="K201" i="6"/>
  <c r="J201" i="6"/>
  <c r="H201" i="6"/>
  <c r="G201" i="6"/>
  <c r="I201" i="6" s="1"/>
  <c r="K200" i="6"/>
  <c r="J200" i="6"/>
  <c r="I200" i="6"/>
  <c r="H200" i="6"/>
  <c r="G200" i="6"/>
  <c r="K199" i="6"/>
  <c r="J199" i="6"/>
  <c r="D201" i="12" s="1"/>
  <c r="E201" i="12" s="1"/>
  <c r="H199" i="6"/>
  <c r="G199" i="6"/>
  <c r="I199" i="6" s="1"/>
  <c r="K198" i="6"/>
  <c r="J198" i="6"/>
  <c r="H198" i="6"/>
  <c r="G198" i="6"/>
  <c r="I198" i="6" s="1"/>
  <c r="K197" i="6"/>
  <c r="J197" i="6"/>
  <c r="I197" i="6"/>
  <c r="H197" i="6"/>
  <c r="G197" i="6"/>
  <c r="K196" i="6"/>
  <c r="J196" i="6"/>
  <c r="I196" i="6"/>
  <c r="H196" i="6"/>
  <c r="G196" i="6"/>
  <c r="K195" i="6"/>
  <c r="J195" i="6"/>
  <c r="H195" i="6"/>
  <c r="I195" i="6" s="1"/>
  <c r="G195" i="6"/>
  <c r="K194" i="6"/>
  <c r="J194" i="6"/>
  <c r="H194" i="6"/>
  <c r="G194" i="6"/>
  <c r="I194" i="6" s="1"/>
  <c r="K193" i="6"/>
  <c r="J193" i="6"/>
  <c r="H193" i="6"/>
  <c r="G193" i="6"/>
  <c r="I193" i="6" s="1"/>
  <c r="K192" i="6"/>
  <c r="J192" i="6"/>
  <c r="I192" i="6"/>
  <c r="H192" i="6"/>
  <c r="G192" i="6"/>
  <c r="K191" i="6"/>
  <c r="J191" i="6"/>
  <c r="H191" i="6"/>
  <c r="G191" i="6"/>
  <c r="I191" i="6" s="1"/>
  <c r="K190" i="6"/>
  <c r="J190" i="6"/>
  <c r="H190" i="6"/>
  <c r="G190" i="6"/>
  <c r="I190" i="6" s="1"/>
  <c r="K189" i="6"/>
  <c r="J189" i="6"/>
  <c r="H189" i="6"/>
  <c r="I189" i="6" s="1"/>
  <c r="G189" i="6"/>
  <c r="K188" i="6"/>
  <c r="J188" i="6"/>
  <c r="I188" i="6"/>
  <c r="H188" i="6"/>
  <c r="G188" i="6"/>
  <c r="K187" i="6"/>
  <c r="J187" i="6"/>
  <c r="D189" i="12" s="1"/>
  <c r="E189" i="12" s="1"/>
  <c r="H187" i="6"/>
  <c r="I187" i="6" s="1"/>
  <c r="G187" i="6"/>
  <c r="K186" i="6"/>
  <c r="J186" i="6"/>
  <c r="H186" i="6"/>
  <c r="G186" i="6"/>
  <c r="I186" i="6" s="1"/>
  <c r="K185" i="6"/>
  <c r="J185" i="6"/>
  <c r="H185" i="6"/>
  <c r="G185" i="6"/>
  <c r="I185" i="6" s="1"/>
  <c r="K184" i="6"/>
  <c r="J184" i="6"/>
  <c r="D186" i="12" s="1"/>
  <c r="E186" i="12" s="1"/>
  <c r="I184" i="6"/>
  <c r="H184" i="6"/>
  <c r="G184" i="6"/>
  <c r="K183" i="6"/>
  <c r="J183" i="6"/>
  <c r="H183" i="6"/>
  <c r="G183" i="6"/>
  <c r="I183" i="6" s="1"/>
  <c r="K182" i="6"/>
  <c r="J182" i="6"/>
  <c r="H182" i="6"/>
  <c r="G182" i="6"/>
  <c r="I182" i="6" s="1"/>
  <c r="K181" i="6"/>
  <c r="J181" i="6"/>
  <c r="H181" i="6"/>
  <c r="I181" i="6" s="1"/>
  <c r="G181" i="6"/>
  <c r="K180" i="6"/>
  <c r="J180" i="6"/>
  <c r="I180" i="6"/>
  <c r="H180" i="6"/>
  <c r="G180" i="6"/>
  <c r="K179" i="6"/>
  <c r="J179" i="6"/>
  <c r="H179" i="6"/>
  <c r="I179" i="6" s="1"/>
  <c r="G179" i="6"/>
  <c r="K178" i="6"/>
  <c r="J178" i="6"/>
  <c r="H178" i="6"/>
  <c r="G178" i="6"/>
  <c r="K177" i="6"/>
  <c r="J177" i="6"/>
  <c r="H177" i="6"/>
  <c r="G177" i="6"/>
  <c r="K176" i="6"/>
  <c r="J176" i="6"/>
  <c r="I176" i="6"/>
  <c r="H176" i="6"/>
  <c r="G176" i="6"/>
  <c r="K175" i="6"/>
  <c r="J175" i="6"/>
  <c r="D177" i="12" s="1"/>
  <c r="E177" i="12" s="1"/>
  <c r="H175" i="6"/>
  <c r="G175" i="6"/>
  <c r="I175" i="6" s="1"/>
  <c r="K174" i="6"/>
  <c r="J174" i="6"/>
  <c r="H174" i="6"/>
  <c r="G174" i="6"/>
  <c r="I174" i="6" s="1"/>
  <c r="K173" i="6"/>
  <c r="J173" i="6"/>
  <c r="H173" i="6"/>
  <c r="I173" i="6" s="1"/>
  <c r="G173" i="6"/>
  <c r="K172" i="6"/>
  <c r="J172" i="6"/>
  <c r="I172" i="6"/>
  <c r="H172" i="6"/>
  <c r="G172" i="6"/>
  <c r="K171" i="6"/>
  <c r="J171" i="6"/>
  <c r="H171" i="6"/>
  <c r="I171" i="6" s="1"/>
  <c r="G171" i="6"/>
  <c r="K170" i="6"/>
  <c r="J170" i="6"/>
  <c r="H170" i="6"/>
  <c r="G170" i="6"/>
  <c r="I170" i="6" s="1"/>
  <c r="K169" i="6"/>
  <c r="J169" i="6"/>
  <c r="H169" i="6"/>
  <c r="G169" i="6"/>
  <c r="I169" i="6" s="1"/>
  <c r="K168" i="6"/>
  <c r="J168" i="6"/>
  <c r="I168" i="6"/>
  <c r="H168" i="6"/>
  <c r="G168" i="6"/>
  <c r="K167" i="6"/>
  <c r="J167" i="6"/>
  <c r="D169" i="12" s="1"/>
  <c r="E169" i="12" s="1"/>
  <c r="H167" i="6"/>
  <c r="G167" i="6"/>
  <c r="I167" i="6" s="1"/>
  <c r="K166" i="6"/>
  <c r="J166" i="6"/>
  <c r="D168" i="12" s="1"/>
  <c r="E168" i="12" s="1"/>
  <c r="H166" i="6"/>
  <c r="G166" i="6"/>
  <c r="I166" i="6" s="1"/>
  <c r="K165" i="6"/>
  <c r="J165" i="6"/>
  <c r="I165" i="6"/>
  <c r="H165" i="6"/>
  <c r="G165" i="6"/>
  <c r="K164" i="6"/>
  <c r="J164" i="6"/>
  <c r="H164" i="6"/>
  <c r="G164" i="6"/>
  <c r="I164" i="6" s="1"/>
  <c r="K163" i="6"/>
  <c r="J163" i="6"/>
  <c r="H163" i="6"/>
  <c r="I163" i="6" s="1"/>
  <c r="G163" i="6"/>
  <c r="K162" i="6"/>
  <c r="J162" i="6"/>
  <c r="H162" i="6"/>
  <c r="I162" i="6" s="1"/>
  <c r="G162" i="6"/>
  <c r="K161" i="6"/>
  <c r="J161" i="6"/>
  <c r="H161" i="6"/>
  <c r="G161" i="6"/>
  <c r="K160" i="6"/>
  <c r="J160" i="6"/>
  <c r="I160" i="6"/>
  <c r="H160" i="6"/>
  <c r="G160" i="6"/>
  <c r="K159" i="6"/>
  <c r="J159" i="6"/>
  <c r="D161" i="12" s="1"/>
  <c r="E161" i="12" s="1"/>
  <c r="H159" i="6"/>
  <c r="G159" i="6"/>
  <c r="I159" i="6" s="1"/>
  <c r="K158" i="6"/>
  <c r="J158" i="6"/>
  <c r="H158" i="6"/>
  <c r="G158" i="6"/>
  <c r="I158" i="6" s="1"/>
  <c r="K157" i="6"/>
  <c r="J157" i="6"/>
  <c r="H157" i="6"/>
  <c r="G157" i="6"/>
  <c r="I157" i="6" s="1"/>
  <c r="K156" i="6"/>
  <c r="J156" i="6"/>
  <c r="I156" i="6"/>
  <c r="H156" i="6"/>
  <c r="G156" i="6"/>
  <c r="K155" i="6"/>
  <c r="J155" i="6"/>
  <c r="I155" i="6"/>
  <c r="H155" i="6"/>
  <c r="G155" i="6"/>
  <c r="K154" i="6"/>
  <c r="J154" i="6"/>
  <c r="H154" i="6"/>
  <c r="G154" i="6"/>
  <c r="I154" i="6" s="1"/>
  <c r="K153" i="6"/>
  <c r="J153" i="6"/>
  <c r="H153" i="6"/>
  <c r="G153" i="6"/>
  <c r="I153" i="6" s="1"/>
  <c r="K152" i="6"/>
  <c r="J152" i="6"/>
  <c r="H152" i="6"/>
  <c r="G152" i="6"/>
  <c r="I152" i="6" s="1"/>
  <c r="K151" i="6"/>
  <c r="J151" i="6"/>
  <c r="H151" i="6"/>
  <c r="I151" i="6" s="1"/>
  <c r="G151" i="6"/>
  <c r="K150" i="6"/>
  <c r="J150" i="6"/>
  <c r="I150" i="6"/>
  <c r="H150" i="6"/>
  <c r="G150" i="6"/>
  <c r="K149" i="6"/>
  <c r="J149" i="6"/>
  <c r="H149" i="6"/>
  <c r="G149" i="6"/>
  <c r="I149" i="6" s="1"/>
  <c r="K148" i="6"/>
  <c r="J148" i="6"/>
  <c r="H148" i="6"/>
  <c r="G148" i="6"/>
  <c r="I148" i="6" s="1"/>
  <c r="K147" i="6"/>
  <c r="J147" i="6"/>
  <c r="H147" i="6"/>
  <c r="I147" i="6" s="1"/>
  <c r="G147" i="6"/>
  <c r="K146" i="6"/>
  <c r="J146" i="6"/>
  <c r="I146" i="6"/>
  <c r="H146" i="6"/>
  <c r="G146" i="6"/>
  <c r="K145" i="6"/>
  <c r="J145" i="6"/>
  <c r="H145" i="6"/>
  <c r="G145" i="6"/>
  <c r="K144" i="6"/>
  <c r="J144" i="6"/>
  <c r="H144" i="6"/>
  <c r="G144" i="6"/>
  <c r="I144" i="6" s="1"/>
  <c r="K143" i="6"/>
  <c r="J143" i="6"/>
  <c r="H143" i="6"/>
  <c r="G143" i="6"/>
  <c r="I143" i="6" s="1"/>
  <c r="K142" i="6"/>
  <c r="J142" i="6"/>
  <c r="I142" i="6"/>
  <c r="H142" i="6"/>
  <c r="G142" i="6"/>
  <c r="K141" i="6"/>
  <c r="J141" i="6"/>
  <c r="I141" i="6"/>
  <c r="H141" i="6"/>
  <c r="G141" i="6"/>
  <c r="K140" i="6"/>
  <c r="J140" i="6"/>
  <c r="H140" i="6"/>
  <c r="G140" i="6"/>
  <c r="I140" i="6" s="1"/>
  <c r="K139" i="6"/>
  <c r="J139" i="6"/>
  <c r="H139" i="6"/>
  <c r="I139" i="6" s="1"/>
  <c r="G139" i="6"/>
  <c r="K138" i="6"/>
  <c r="J138" i="6"/>
  <c r="H138" i="6"/>
  <c r="I138" i="6" s="1"/>
  <c r="G138" i="6"/>
  <c r="K137" i="6"/>
  <c r="J137" i="6"/>
  <c r="H137" i="6"/>
  <c r="G137" i="6"/>
  <c r="K136" i="6"/>
  <c r="J136" i="6"/>
  <c r="I136" i="6"/>
  <c r="H136" i="6"/>
  <c r="G136" i="6"/>
  <c r="K135" i="6"/>
  <c r="J135" i="6"/>
  <c r="H135" i="6"/>
  <c r="G135" i="6"/>
  <c r="I135" i="6" s="1"/>
  <c r="K134" i="6"/>
  <c r="J134" i="6"/>
  <c r="H134" i="6"/>
  <c r="G134" i="6"/>
  <c r="I134" i="6" s="1"/>
  <c r="K133" i="6"/>
  <c r="J133" i="6"/>
  <c r="H133" i="6"/>
  <c r="I133" i="6" s="1"/>
  <c r="G133" i="6"/>
  <c r="K132" i="6"/>
  <c r="J132" i="6"/>
  <c r="I132" i="6"/>
  <c r="H132" i="6"/>
  <c r="G132" i="6"/>
  <c r="K131" i="6"/>
  <c r="J131" i="6"/>
  <c r="H131" i="6"/>
  <c r="I131" i="6" s="1"/>
  <c r="G131" i="6"/>
  <c r="K130" i="6"/>
  <c r="J130" i="6"/>
  <c r="H130" i="6"/>
  <c r="G130" i="6"/>
  <c r="I130" i="6" s="1"/>
  <c r="K129" i="6"/>
  <c r="J129" i="6"/>
  <c r="H129" i="6"/>
  <c r="G129" i="6"/>
  <c r="I129" i="6" s="1"/>
  <c r="K128" i="6"/>
  <c r="J128" i="6"/>
  <c r="H128" i="6"/>
  <c r="I128" i="6" s="1"/>
  <c r="G128" i="6"/>
  <c r="K127" i="6"/>
  <c r="J127" i="6"/>
  <c r="I127" i="6"/>
  <c r="H127" i="6"/>
  <c r="G127" i="6"/>
  <c r="K126" i="6"/>
  <c r="J126" i="6"/>
  <c r="H126" i="6"/>
  <c r="G126" i="6"/>
  <c r="I126" i="6" s="1"/>
  <c r="K125" i="6"/>
  <c r="J125" i="6"/>
  <c r="H125" i="6"/>
  <c r="G125" i="6"/>
  <c r="I125" i="6" s="1"/>
  <c r="K124" i="6"/>
  <c r="J124" i="6"/>
  <c r="H124" i="6"/>
  <c r="I124" i="6" s="1"/>
  <c r="G124" i="6"/>
  <c r="K123" i="6"/>
  <c r="J123" i="6"/>
  <c r="I123" i="6"/>
  <c r="H123" i="6"/>
  <c r="G123" i="6"/>
  <c r="K122" i="6"/>
  <c r="J122" i="6"/>
  <c r="H122" i="6"/>
  <c r="G122" i="6"/>
  <c r="I122" i="6" s="1"/>
  <c r="K121" i="6"/>
  <c r="J121" i="6"/>
  <c r="H121" i="6"/>
  <c r="G121" i="6"/>
  <c r="I121" i="6" s="1"/>
  <c r="K120" i="6"/>
  <c r="J120" i="6"/>
  <c r="H120" i="6"/>
  <c r="G120" i="6"/>
  <c r="I120" i="6" s="1"/>
  <c r="K119" i="6"/>
  <c r="J119" i="6"/>
  <c r="H119" i="6"/>
  <c r="I119" i="6" s="1"/>
  <c r="G119" i="6"/>
  <c r="K118" i="6"/>
  <c r="J118" i="6"/>
  <c r="I118" i="6"/>
  <c r="H118" i="6"/>
  <c r="G118" i="6"/>
  <c r="K117" i="6"/>
  <c r="J117" i="6"/>
  <c r="H117" i="6"/>
  <c r="G117" i="6"/>
  <c r="I117" i="6" s="1"/>
  <c r="K116" i="6"/>
  <c r="J116" i="6"/>
  <c r="H116" i="6"/>
  <c r="G116" i="6"/>
  <c r="I116" i="6" s="1"/>
  <c r="K115" i="6"/>
  <c r="J115" i="6"/>
  <c r="H115" i="6"/>
  <c r="I115" i="6" s="1"/>
  <c r="G115" i="6"/>
  <c r="K114" i="6"/>
  <c r="J114" i="6"/>
  <c r="I114" i="6"/>
  <c r="H114" i="6"/>
  <c r="G114" i="6"/>
  <c r="K113" i="6"/>
  <c r="J113" i="6"/>
  <c r="H113" i="6"/>
  <c r="G113" i="6"/>
  <c r="I113" i="6" s="1"/>
  <c r="K112" i="6"/>
  <c r="J112" i="6"/>
  <c r="H112" i="6"/>
  <c r="G112" i="6"/>
  <c r="I112" i="6" s="1"/>
  <c r="K111" i="6"/>
  <c r="J111" i="6"/>
  <c r="H111" i="6"/>
  <c r="I111" i="6" s="1"/>
  <c r="G111" i="6"/>
  <c r="K110" i="6"/>
  <c r="J110" i="6"/>
  <c r="I110" i="6"/>
  <c r="H110" i="6"/>
  <c r="G110" i="6"/>
  <c r="K109" i="6"/>
  <c r="J109" i="6"/>
  <c r="H109" i="6"/>
  <c r="G109" i="6"/>
  <c r="I109" i="6" s="1"/>
  <c r="K108" i="6"/>
  <c r="J108" i="6"/>
  <c r="H108" i="6"/>
  <c r="G108" i="6"/>
  <c r="I108" i="6" s="1"/>
  <c r="K107" i="6"/>
  <c r="J107" i="6"/>
  <c r="H107" i="6"/>
  <c r="I107" i="6" s="1"/>
  <c r="G107" i="6"/>
  <c r="K106" i="6"/>
  <c r="J106" i="6"/>
  <c r="I106" i="6"/>
  <c r="H106" i="6"/>
  <c r="G106" i="6"/>
  <c r="K105" i="6"/>
  <c r="J105" i="6"/>
  <c r="H105" i="6"/>
  <c r="G105" i="6"/>
  <c r="I105" i="6" s="1"/>
  <c r="K104" i="6"/>
  <c r="J104" i="6"/>
  <c r="H104" i="6"/>
  <c r="G104" i="6"/>
  <c r="I104" i="6" s="1"/>
  <c r="K103" i="6"/>
  <c r="J103" i="6"/>
  <c r="H103" i="6"/>
  <c r="I103" i="6" s="1"/>
  <c r="G103" i="6"/>
  <c r="K102" i="6"/>
  <c r="J102" i="6"/>
  <c r="I102" i="6"/>
  <c r="H102" i="6"/>
  <c r="G102" i="6"/>
  <c r="K101" i="6"/>
  <c r="J101" i="6"/>
  <c r="H101" i="6"/>
  <c r="G101" i="6"/>
  <c r="I101" i="6" s="1"/>
  <c r="K100" i="6"/>
  <c r="J100" i="6"/>
  <c r="H100" i="6"/>
  <c r="G100" i="6"/>
  <c r="I100" i="6" s="1"/>
  <c r="K99" i="6"/>
  <c r="J99" i="6"/>
  <c r="H99" i="6"/>
  <c r="I99" i="6" s="1"/>
  <c r="G99" i="6"/>
  <c r="K98" i="6"/>
  <c r="J98" i="6"/>
  <c r="I98" i="6"/>
  <c r="H98" i="6"/>
  <c r="G98" i="6"/>
  <c r="K97" i="6"/>
  <c r="J97" i="6"/>
  <c r="H97" i="6"/>
  <c r="G97" i="6"/>
  <c r="I97" i="6" s="1"/>
  <c r="K96" i="6"/>
  <c r="J96" i="6"/>
  <c r="H96" i="6"/>
  <c r="G96" i="6"/>
  <c r="I96" i="6" s="1"/>
  <c r="K95" i="6"/>
  <c r="J95" i="6"/>
  <c r="H95" i="6"/>
  <c r="I95" i="6" s="1"/>
  <c r="G95" i="6"/>
  <c r="K94" i="6"/>
  <c r="J94" i="6"/>
  <c r="I94" i="6"/>
  <c r="H94" i="6"/>
  <c r="G94" i="6"/>
  <c r="K93" i="6"/>
  <c r="J93" i="6"/>
  <c r="H93" i="6"/>
  <c r="G93" i="6"/>
  <c r="I93" i="6" s="1"/>
  <c r="K92" i="6"/>
  <c r="J92" i="6"/>
  <c r="H92" i="6"/>
  <c r="G92" i="6"/>
  <c r="I92" i="6" s="1"/>
  <c r="K91" i="6"/>
  <c r="J91" i="6"/>
  <c r="H91" i="6"/>
  <c r="I91" i="6" s="1"/>
  <c r="G91" i="6"/>
  <c r="K90" i="6"/>
  <c r="J90" i="6"/>
  <c r="I90" i="6"/>
  <c r="H90" i="6"/>
  <c r="G90" i="6"/>
  <c r="K89" i="6"/>
  <c r="J89" i="6"/>
  <c r="H89" i="6"/>
  <c r="G89" i="6"/>
  <c r="I89" i="6" s="1"/>
  <c r="K88" i="6"/>
  <c r="J88" i="6"/>
  <c r="H88" i="6"/>
  <c r="G88" i="6"/>
  <c r="I88" i="6" s="1"/>
  <c r="K87" i="6"/>
  <c r="J87" i="6"/>
  <c r="H87" i="6"/>
  <c r="G87" i="6"/>
  <c r="I87" i="6" s="1"/>
  <c r="K86" i="6"/>
  <c r="J86" i="6"/>
  <c r="I86" i="6"/>
  <c r="H86" i="6"/>
  <c r="G86" i="6"/>
  <c r="K85" i="6"/>
  <c r="J85" i="6"/>
  <c r="H85" i="6"/>
  <c r="G85" i="6"/>
  <c r="I85" i="6" s="1"/>
  <c r="K84" i="6"/>
  <c r="J84" i="6"/>
  <c r="H84" i="6"/>
  <c r="G84" i="6"/>
  <c r="I84" i="6" s="1"/>
  <c r="K83" i="6"/>
  <c r="J83" i="6"/>
  <c r="H83" i="6"/>
  <c r="G83" i="6"/>
  <c r="I83" i="6" s="1"/>
  <c r="K82" i="6"/>
  <c r="J82" i="6"/>
  <c r="I82" i="6"/>
  <c r="H82" i="6"/>
  <c r="G82" i="6"/>
  <c r="K81" i="6"/>
  <c r="J81" i="6"/>
  <c r="I81" i="6"/>
  <c r="H81" i="6"/>
  <c r="G81" i="6"/>
  <c r="K80" i="6"/>
  <c r="J80" i="6"/>
  <c r="H80" i="6"/>
  <c r="G80" i="6"/>
  <c r="I80" i="6" s="1"/>
  <c r="K79" i="6"/>
  <c r="J79" i="6"/>
  <c r="H79" i="6"/>
  <c r="G79" i="6"/>
  <c r="I79" i="6" s="1"/>
  <c r="K78" i="6"/>
  <c r="J78" i="6"/>
  <c r="H78" i="6"/>
  <c r="I78" i="6" s="1"/>
  <c r="G78" i="6"/>
  <c r="K77" i="6"/>
  <c r="J77" i="6"/>
  <c r="H77" i="6"/>
  <c r="G77" i="6"/>
  <c r="I77" i="6" s="1"/>
  <c r="K76" i="6"/>
  <c r="J76" i="6"/>
  <c r="H76" i="6"/>
  <c r="G76" i="6"/>
  <c r="I76" i="6" s="1"/>
  <c r="K75" i="6"/>
  <c r="J75" i="6"/>
  <c r="H75" i="6"/>
  <c r="G75" i="6"/>
  <c r="I75" i="6" s="1"/>
  <c r="K74" i="6"/>
  <c r="J74" i="6"/>
  <c r="I74" i="6"/>
  <c r="H74" i="6"/>
  <c r="G74" i="6"/>
  <c r="K73" i="6"/>
  <c r="J73" i="6"/>
  <c r="I73" i="6"/>
  <c r="H73" i="6"/>
  <c r="G73" i="6"/>
  <c r="K72" i="6"/>
  <c r="J72" i="6"/>
  <c r="H72" i="6"/>
  <c r="G72" i="6"/>
  <c r="I72" i="6" s="1"/>
  <c r="K71" i="6"/>
  <c r="J71" i="6"/>
  <c r="H71" i="6"/>
  <c r="G71" i="6"/>
  <c r="I71" i="6" s="1"/>
  <c r="K70" i="6"/>
  <c r="J70" i="6"/>
  <c r="H70" i="6"/>
  <c r="I70" i="6" s="1"/>
  <c r="G70" i="6"/>
  <c r="K69" i="6"/>
  <c r="J69" i="6"/>
  <c r="H69" i="6"/>
  <c r="G69" i="6"/>
  <c r="I69" i="6" s="1"/>
  <c r="K68" i="6"/>
  <c r="J68" i="6"/>
  <c r="H68" i="6"/>
  <c r="G68" i="6"/>
  <c r="I68" i="6" s="1"/>
  <c r="K67" i="6"/>
  <c r="J67" i="6"/>
  <c r="H67" i="6"/>
  <c r="G67" i="6"/>
  <c r="I67" i="6" s="1"/>
  <c r="K66" i="6"/>
  <c r="J66" i="6"/>
  <c r="I66" i="6"/>
  <c r="H66" i="6"/>
  <c r="G66" i="6"/>
  <c r="K65" i="6"/>
  <c r="J65" i="6"/>
  <c r="I65" i="6"/>
  <c r="H65" i="6"/>
  <c r="G65" i="6"/>
  <c r="K64" i="6"/>
  <c r="J64" i="6"/>
  <c r="H64" i="6"/>
  <c r="G64" i="6"/>
  <c r="I64" i="6" s="1"/>
  <c r="K63" i="6"/>
  <c r="J63" i="6"/>
  <c r="H63" i="6"/>
  <c r="G63" i="6"/>
  <c r="I63" i="6" s="1"/>
  <c r="K62" i="6"/>
  <c r="J62" i="6"/>
  <c r="H62" i="6"/>
  <c r="I62" i="6" s="1"/>
  <c r="G62" i="6"/>
  <c r="K61" i="6"/>
  <c r="J61" i="6"/>
  <c r="H61" i="6"/>
  <c r="G61" i="6"/>
  <c r="I61" i="6" s="1"/>
  <c r="K60" i="6"/>
  <c r="J60" i="6"/>
  <c r="H60" i="6"/>
  <c r="G60" i="6"/>
  <c r="I60" i="6" s="1"/>
  <c r="K59" i="6"/>
  <c r="J59" i="6"/>
  <c r="H59" i="6"/>
  <c r="G59" i="6"/>
  <c r="I59" i="6" s="1"/>
  <c r="K58" i="6"/>
  <c r="J58" i="6"/>
  <c r="I58" i="6"/>
  <c r="H58" i="6"/>
  <c r="G58" i="6"/>
  <c r="K57" i="6"/>
  <c r="J57" i="6"/>
  <c r="I57" i="6"/>
  <c r="H57" i="6"/>
  <c r="G57" i="6"/>
  <c r="K56" i="6"/>
  <c r="J56" i="6"/>
  <c r="H56" i="6"/>
  <c r="G56" i="6"/>
  <c r="I56" i="6" s="1"/>
  <c r="K55" i="6"/>
  <c r="J55" i="6"/>
  <c r="H55" i="6"/>
  <c r="G55" i="6"/>
  <c r="I55" i="6" s="1"/>
  <c r="K54" i="6"/>
  <c r="J54" i="6"/>
  <c r="H54" i="6"/>
  <c r="I54" i="6" s="1"/>
  <c r="G54" i="6"/>
  <c r="K53" i="6"/>
  <c r="J53" i="6"/>
  <c r="H53" i="6"/>
  <c r="G53" i="6"/>
  <c r="I53" i="6" s="1"/>
  <c r="K52" i="6"/>
  <c r="J52" i="6"/>
  <c r="H52" i="6"/>
  <c r="G52" i="6"/>
  <c r="I52" i="6" s="1"/>
  <c r="K51" i="6"/>
  <c r="J51" i="6"/>
  <c r="H51" i="6"/>
  <c r="G51" i="6"/>
  <c r="I51" i="6" s="1"/>
  <c r="K50" i="6"/>
  <c r="J50" i="6"/>
  <c r="I50" i="6"/>
  <c r="H50" i="6"/>
  <c r="G50" i="6"/>
  <c r="K49" i="6"/>
  <c r="J49" i="6"/>
  <c r="I49" i="6"/>
  <c r="H49" i="6"/>
  <c r="G49" i="6"/>
  <c r="K48" i="6"/>
  <c r="J48" i="6"/>
  <c r="H48" i="6"/>
  <c r="G48" i="6"/>
  <c r="I48" i="6" s="1"/>
  <c r="K47" i="6"/>
  <c r="J47" i="6"/>
  <c r="H47" i="6"/>
  <c r="G47" i="6"/>
  <c r="I47" i="6" s="1"/>
  <c r="K46" i="6"/>
  <c r="J46" i="6"/>
  <c r="H46" i="6"/>
  <c r="I46" i="6" s="1"/>
  <c r="G46" i="6"/>
  <c r="K45" i="6"/>
  <c r="J45" i="6"/>
  <c r="H45" i="6"/>
  <c r="G45" i="6"/>
  <c r="I45" i="6" s="1"/>
  <c r="K44" i="6"/>
  <c r="J44" i="6"/>
  <c r="H44" i="6"/>
  <c r="G44" i="6"/>
  <c r="I44" i="6" s="1"/>
  <c r="K43" i="6"/>
  <c r="J43" i="6"/>
  <c r="H43" i="6"/>
  <c r="G43" i="6"/>
  <c r="I43" i="6" s="1"/>
  <c r="K42" i="6"/>
  <c r="J42" i="6"/>
  <c r="I42" i="6"/>
  <c r="H42" i="6"/>
  <c r="G42" i="6"/>
  <c r="K41" i="6"/>
  <c r="J41" i="6"/>
  <c r="I41" i="6"/>
  <c r="H41" i="6"/>
  <c r="G41" i="6"/>
  <c r="K40" i="6"/>
  <c r="J40" i="6"/>
  <c r="H40" i="6"/>
  <c r="G40" i="6"/>
  <c r="I40" i="6" s="1"/>
  <c r="K39" i="6"/>
  <c r="J39" i="6"/>
  <c r="H39" i="6"/>
  <c r="G39" i="6"/>
  <c r="I39" i="6" s="1"/>
  <c r="K38" i="6"/>
  <c r="J38" i="6"/>
  <c r="H38" i="6"/>
  <c r="I38" i="6" s="1"/>
  <c r="G38" i="6"/>
  <c r="K37" i="6"/>
  <c r="J37" i="6"/>
  <c r="H37" i="6"/>
  <c r="G37" i="6"/>
  <c r="I37" i="6" s="1"/>
  <c r="K36" i="6"/>
  <c r="J36" i="6"/>
  <c r="H36" i="6"/>
  <c r="G36" i="6"/>
  <c r="I36" i="6" s="1"/>
  <c r="K35" i="6"/>
  <c r="J35" i="6"/>
  <c r="H35" i="6"/>
  <c r="G35" i="6"/>
  <c r="I35" i="6" s="1"/>
  <c r="K34" i="6"/>
  <c r="J34" i="6"/>
  <c r="I34" i="6"/>
  <c r="H34" i="6"/>
  <c r="G34" i="6"/>
  <c r="K33" i="6"/>
  <c r="J33" i="6"/>
  <c r="I33" i="6"/>
  <c r="H33" i="6"/>
  <c r="G33" i="6"/>
  <c r="K32" i="6"/>
  <c r="J32" i="6"/>
  <c r="H32" i="6"/>
  <c r="G32" i="6"/>
  <c r="I32" i="6" s="1"/>
  <c r="K31" i="6"/>
  <c r="J31" i="6"/>
  <c r="H31" i="6"/>
  <c r="G31" i="6"/>
  <c r="I31" i="6" s="1"/>
  <c r="K30" i="6"/>
  <c r="J30" i="6"/>
  <c r="H30" i="6"/>
  <c r="I30" i="6" s="1"/>
  <c r="G30" i="6"/>
  <c r="K29" i="6"/>
  <c r="J29" i="6"/>
  <c r="H29" i="6"/>
  <c r="G29" i="6"/>
  <c r="K28" i="6"/>
  <c r="J28" i="6"/>
  <c r="H28" i="6"/>
  <c r="G28" i="6"/>
  <c r="I28" i="6" s="1"/>
  <c r="K27" i="6"/>
  <c r="J27" i="6"/>
  <c r="H27" i="6"/>
  <c r="G27" i="6"/>
  <c r="K26" i="6"/>
  <c r="J26" i="6"/>
  <c r="H26" i="6"/>
  <c r="G26" i="6"/>
  <c r="K25" i="6"/>
  <c r="J25" i="6"/>
  <c r="H25" i="6"/>
  <c r="G25" i="6"/>
  <c r="K24" i="6"/>
  <c r="J24" i="6"/>
  <c r="H24" i="6"/>
  <c r="G24" i="6"/>
  <c r="K23" i="6"/>
  <c r="J23" i="6"/>
  <c r="H23" i="6"/>
  <c r="G23" i="6"/>
  <c r="K22" i="6"/>
  <c r="J22" i="6"/>
  <c r="H22" i="6"/>
  <c r="I22" i="6" s="1"/>
  <c r="G22" i="6"/>
  <c r="K21" i="6"/>
  <c r="J21" i="6"/>
  <c r="H21" i="6"/>
  <c r="G21" i="6"/>
  <c r="K20" i="6"/>
  <c r="J20" i="6"/>
  <c r="H20" i="6"/>
  <c r="G20" i="6"/>
  <c r="I20" i="6" s="1"/>
  <c r="K19" i="6"/>
  <c r="J19" i="6"/>
  <c r="H19" i="6"/>
  <c r="G19" i="6"/>
  <c r="I19" i="6" s="1"/>
  <c r="K18" i="6"/>
  <c r="J18" i="6"/>
  <c r="I18" i="6"/>
  <c r="H18" i="6"/>
  <c r="G18" i="6"/>
  <c r="K17" i="6"/>
  <c r="J17" i="6"/>
  <c r="I17" i="6"/>
  <c r="H17" i="6"/>
  <c r="G17" i="6"/>
  <c r="K16" i="6"/>
  <c r="J16" i="6"/>
  <c r="H16" i="6"/>
  <c r="G16" i="6"/>
  <c r="I16" i="6" s="1"/>
  <c r="K15" i="6"/>
  <c r="J15" i="6"/>
  <c r="H15" i="6"/>
  <c r="G15" i="6"/>
  <c r="I15" i="6" s="1"/>
  <c r="K14" i="6"/>
  <c r="J14" i="6"/>
  <c r="H14" i="6"/>
  <c r="I14" i="6" s="1"/>
  <c r="G14" i="6"/>
  <c r="K13" i="6"/>
  <c r="J13" i="6"/>
  <c r="H13" i="6"/>
  <c r="G13" i="6"/>
  <c r="I13" i="6" s="1"/>
  <c r="K12" i="6"/>
  <c r="J12" i="6"/>
  <c r="H12" i="6"/>
  <c r="G12" i="6"/>
  <c r="I12" i="6" s="1"/>
  <c r="K11" i="6"/>
  <c r="J11" i="6"/>
  <c r="H11" i="6"/>
  <c r="G11" i="6"/>
  <c r="I11" i="6" s="1"/>
  <c r="K10" i="6"/>
  <c r="J10" i="6"/>
  <c r="I10" i="6"/>
  <c r="H10" i="6"/>
  <c r="G10" i="6"/>
  <c r="K9" i="6"/>
  <c r="J9" i="6"/>
  <c r="I9" i="6"/>
  <c r="H9" i="6"/>
  <c r="G9" i="6"/>
  <c r="K8" i="6"/>
  <c r="J8" i="6"/>
  <c r="H8" i="6"/>
  <c r="G8" i="6"/>
  <c r="I8" i="6" s="1"/>
  <c r="K7" i="6"/>
  <c r="J7" i="6"/>
  <c r="H7" i="6"/>
  <c r="G7" i="6"/>
  <c r="I7" i="6" s="1"/>
  <c r="K6" i="6"/>
  <c r="J6" i="6"/>
  <c r="H6" i="6"/>
  <c r="I6" i="6" s="1"/>
  <c r="G6" i="6"/>
  <c r="K5" i="6"/>
  <c r="J5" i="6"/>
  <c r="H5" i="6"/>
  <c r="G5" i="6"/>
  <c r="I5" i="6" s="1"/>
  <c r="K4" i="6"/>
  <c r="J4" i="6"/>
  <c r="H4" i="6"/>
  <c r="G4" i="6"/>
  <c r="I4" i="6" s="1"/>
  <c r="K3" i="6"/>
  <c r="J3" i="6"/>
  <c r="H3" i="6"/>
  <c r="G3" i="6"/>
  <c r="I3" i="6" s="1"/>
  <c r="K2" i="6"/>
  <c r="J2" i="6"/>
  <c r="I2" i="6"/>
  <c r="H2" i="6"/>
  <c r="G2" i="6"/>
  <c r="B7" i="2"/>
  <c r="N10" i="7" l="1"/>
  <c r="L22" i="8" s="1"/>
  <c r="S32" i="8"/>
  <c r="S42" i="8" s="1"/>
  <c r="O6" i="7"/>
  <c r="M18" i="8" s="1"/>
  <c r="J7" i="7"/>
  <c r="H19" i="8" s="1"/>
  <c r="U8" i="7"/>
  <c r="S20" i="8" s="1"/>
  <c r="G9" i="7"/>
  <c r="E21" i="8" s="1"/>
  <c r="P10" i="7"/>
  <c r="N22" i="8" s="1"/>
  <c r="K9" i="7"/>
  <c r="I21" i="8" s="1"/>
  <c r="I31" i="8" s="1"/>
  <c r="I41" i="8" s="1"/>
  <c r="S10" i="7"/>
  <c r="Q22" i="8" s="1"/>
  <c r="G5" i="7"/>
  <c r="E17" i="8" s="1"/>
  <c r="R7" i="7"/>
  <c r="P19" i="8" s="1"/>
  <c r="O9" i="7"/>
  <c r="M21" i="8" s="1"/>
  <c r="F10" i="7"/>
  <c r="D22" i="8" s="1"/>
  <c r="R10" i="7"/>
  <c r="P22" i="8" s="1"/>
  <c r="H4" i="7"/>
  <c r="F16" i="8" s="1"/>
  <c r="L5" i="7"/>
  <c r="J17" i="8" s="1"/>
  <c r="J27" i="8" s="1"/>
  <c r="J37" i="8" s="1"/>
  <c r="F6" i="7"/>
  <c r="D18" i="8" s="1"/>
  <c r="P9" i="7"/>
  <c r="N21" i="8" s="1"/>
  <c r="H10" i="7"/>
  <c r="F22" i="8" s="1"/>
  <c r="O5" i="7"/>
  <c r="M17" i="8" s="1"/>
  <c r="G6" i="7"/>
  <c r="E18" i="8" s="1"/>
  <c r="T7" i="7"/>
  <c r="R19" i="8" s="1"/>
  <c r="J10" i="7"/>
  <c r="H22" i="8" s="1"/>
  <c r="S5" i="7"/>
  <c r="Q17" i="8" s="1"/>
  <c r="T9" i="7"/>
  <c r="R21" i="8" s="1"/>
  <c r="K10" i="7"/>
  <c r="I22" i="8" s="1"/>
  <c r="D37" i="12"/>
  <c r="E37" i="12" s="1"/>
  <c r="D5" i="12"/>
  <c r="E5" i="12" s="1"/>
  <c r="D14" i="12"/>
  <c r="E14" i="12" s="1"/>
  <c r="D54" i="12"/>
  <c r="E54" i="12" s="1"/>
  <c r="D70" i="12"/>
  <c r="E70" i="12" s="1"/>
  <c r="D27" i="12"/>
  <c r="E27" i="12" s="1"/>
  <c r="K7" i="9"/>
  <c r="K10" i="9"/>
  <c r="I8" i="10"/>
  <c r="K8" i="10" s="1"/>
  <c r="J8" i="10"/>
  <c r="D8" i="12"/>
  <c r="E8" i="12" s="1"/>
  <c r="D32" i="12"/>
  <c r="E32" i="12" s="1"/>
  <c r="D56" i="12"/>
  <c r="E56" i="12" s="1"/>
  <c r="D72" i="12"/>
  <c r="E72" i="12" s="1"/>
  <c r="D104" i="12"/>
  <c r="E104" i="12" s="1"/>
  <c r="D120" i="12"/>
  <c r="E120" i="12" s="1"/>
  <c r="D125" i="12"/>
  <c r="E125" i="12" s="1"/>
  <c r="D30" i="12"/>
  <c r="E30" i="12" s="1"/>
  <c r="D43" i="12"/>
  <c r="E43" i="12" s="1"/>
  <c r="D67" i="12"/>
  <c r="E67" i="12" s="1"/>
  <c r="D83" i="12"/>
  <c r="E83" i="12" s="1"/>
  <c r="D107" i="12"/>
  <c r="E107" i="12" s="1"/>
  <c r="D133" i="12"/>
  <c r="E133" i="12" s="1"/>
  <c r="S6" i="9"/>
  <c r="K8" i="9"/>
  <c r="K29" i="8"/>
  <c r="K39" i="8" s="1"/>
  <c r="K11" i="9"/>
  <c r="D24" i="12"/>
  <c r="E24" i="12" s="1"/>
  <c r="D48" i="12"/>
  <c r="E48" i="12" s="1"/>
  <c r="D80" i="12"/>
  <c r="E80" i="12" s="1"/>
  <c r="D96" i="12"/>
  <c r="E96" i="12" s="1"/>
  <c r="D112" i="12"/>
  <c r="E112" i="12" s="1"/>
  <c r="D138" i="12"/>
  <c r="E138" i="12" s="1"/>
  <c r="D143" i="12"/>
  <c r="E143" i="12" s="1"/>
  <c r="D148" i="12"/>
  <c r="E148" i="12" s="1"/>
  <c r="D181" i="12"/>
  <c r="E181" i="12" s="1"/>
  <c r="D210" i="12"/>
  <c r="E210" i="12" s="1"/>
  <c r="P8" i="7"/>
  <c r="N20" i="8" s="1"/>
  <c r="N30" i="8" s="1"/>
  <c r="N40" i="8" s="1"/>
  <c r="D13" i="12"/>
  <c r="E13" i="12" s="1"/>
  <c r="D21" i="12"/>
  <c r="E21" i="12" s="1"/>
  <c r="D29" i="12"/>
  <c r="E29" i="12" s="1"/>
  <c r="D45" i="12"/>
  <c r="E45" i="12" s="1"/>
  <c r="D53" i="12"/>
  <c r="E53" i="12" s="1"/>
  <c r="D61" i="12"/>
  <c r="E61" i="12" s="1"/>
  <c r="D69" i="12"/>
  <c r="E69" i="12" s="1"/>
  <c r="D77" i="12"/>
  <c r="E77" i="12" s="1"/>
  <c r="D85" i="12"/>
  <c r="E85" i="12" s="1"/>
  <c r="D93" i="12"/>
  <c r="E93" i="12" s="1"/>
  <c r="D101" i="12"/>
  <c r="E101" i="12" s="1"/>
  <c r="D109" i="12"/>
  <c r="E109" i="12" s="1"/>
  <c r="D117" i="12"/>
  <c r="E117" i="12" s="1"/>
  <c r="D130" i="12"/>
  <c r="E130" i="12" s="1"/>
  <c r="D135" i="12"/>
  <c r="E135" i="12" s="1"/>
  <c r="D140" i="12"/>
  <c r="E140" i="12" s="1"/>
  <c r="I145" i="6"/>
  <c r="D147" i="12" s="1"/>
  <c r="E147" i="12" s="1"/>
  <c r="D153" i="12"/>
  <c r="E153" i="12" s="1"/>
  <c r="D170" i="12"/>
  <c r="E170" i="12" s="1"/>
  <c r="D205" i="12"/>
  <c r="E205" i="12" s="1"/>
  <c r="S7" i="7"/>
  <c r="Q19" i="8" s="1"/>
  <c r="K7" i="7"/>
  <c r="I19" i="8" s="1"/>
  <c r="P7" i="7"/>
  <c r="N19" i="8" s="1"/>
  <c r="H7" i="7"/>
  <c r="F19" i="8" s="1"/>
  <c r="F29" i="8" s="1"/>
  <c r="F39" i="8" s="1"/>
  <c r="O7" i="7"/>
  <c r="M19" i="8" s="1"/>
  <c r="M29" i="8" s="1"/>
  <c r="M39" i="8" s="1"/>
  <c r="G7" i="7"/>
  <c r="E19" i="8" s="1"/>
  <c r="E29" i="8" s="1"/>
  <c r="E39" i="8" s="1"/>
  <c r="T8" i="7"/>
  <c r="R20" i="8" s="1"/>
  <c r="D11" i="12"/>
  <c r="E11" i="12" s="1"/>
  <c r="D51" i="12"/>
  <c r="E51" i="12" s="1"/>
  <c r="D128" i="12"/>
  <c r="E128" i="12" s="1"/>
  <c r="D146" i="12"/>
  <c r="E146" i="12" s="1"/>
  <c r="D151" i="12"/>
  <c r="E151" i="12" s="1"/>
  <c r="S4" i="7"/>
  <c r="Q16" i="8" s="1"/>
  <c r="K4" i="7"/>
  <c r="I16" i="8" s="1"/>
  <c r="R4" i="7"/>
  <c r="P16" i="8" s="1"/>
  <c r="J4" i="7"/>
  <c r="H16" i="8" s="1"/>
  <c r="O4" i="7"/>
  <c r="M16" i="8" s="1"/>
  <c r="G4" i="7"/>
  <c r="E16" i="8" s="1"/>
  <c r="N4" i="7"/>
  <c r="L16" i="8" s="1"/>
  <c r="F4" i="7"/>
  <c r="D16" i="8" s="1"/>
  <c r="D26" i="8" s="1"/>
  <c r="U4" i="7"/>
  <c r="S16" i="8" s="1"/>
  <c r="M4" i="7"/>
  <c r="K16" i="8" s="1"/>
  <c r="S10" i="9"/>
  <c r="D16" i="12"/>
  <c r="E16" i="12" s="1"/>
  <c r="D40" i="12"/>
  <c r="E40" i="12" s="1"/>
  <c r="D64" i="12"/>
  <c r="E64" i="12" s="1"/>
  <c r="D88" i="12"/>
  <c r="E88" i="12" s="1"/>
  <c r="D10" i="12"/>
  <c r="E10" i="12" s="1"/>
  <c r="D18" i="12"/>
  <c r="E18" i="12" s="1"/>
  <c r="D26" i="12"/>
  <c r="E26" i="12" s="1"/>
  <c r="D34" i="12"/>
  <c r="E34" i="12" s="1"/>
  <c r="D42" i="12"/>
  <c r="E42" i="12" s="1"/>
  <c r="D50" i="12"/>
  <c r="E50" i="12" s="1"/>
  <c r="D58" i="12"/>
  <c r="E58" i="12" s="1"/>
  <c r="D66" i="12"/>
  <c r="E66" i="12" s="1"/>
  <c r="D74" i="12"/>
  <c r="E74" i="12" s="1"/>
  <c r="D82" i="12"/>
  <c r="E82" i="12" s="1"/>
  <c r="D90" i="12"/>
  <c r="E90" i="12" s="1"/>
  <c r="D98" i="12"/>
  <c r="E98" i="12" s="1"/>
  <c r="D106" i="12"/>
  <c r="E106" i="12" s="1"/>
  <c r="D114" i="12"/>
  <c r="E114" i="12" s="1"/>
  <c r="D122" i="12"/>
  <c r="E122" i="12" s="1"/>
  <c r="D127" i="12"/>
  <c r="E127" i="12" s="1"/>
  <c r="D132" i="12"/>
  <c r="E132" i="12" s="1"/>
  <c r="I137" i="6"/>
  <c r="D145" i="12"/>
  <c r="E145" i="12" s="1"/>
  <c r="D155" i="12"/>
  <c r="E155" i="12" s="1"/>
  <c r="D165" i="12"/>
  <c r="E165" i="12" s="1"/>
  <c r="I178" i="6"/>
  <c r="D185" i="12"/>
  <c r="E185" i="12" s="1"/>
  <c r="D194" i="12"/>
  <c r="E194" i="12" s="1"/>
  <c r="I209" i="6"/>
  <c r="I4" i="7"/>
  <c r="G16" i="8" s="1"/>
  <c r="N5" i="7"/>
  <c r="L17" i="8" s="1"/>
  <c r="F5" i="7"/>
  <c r="D17" i="8" s="1"/>
  <c r="U5" i="7"/>
  <c r="S17" i="8" s="1"/>
  <c r="S27" i="8" s="1"/>
  <c r="S37" i="8" s="1"/>
  <c r="M5" i="7"/>
  <c r="K17" i="8" s="1"/>
  <c r="K27" i="8" s="1"/>
  <c r="K37" i="8" s="1"/>
  <c r="R5" i="7"/>
  <c r="P17" i="8" s="1"/>
  <c r="P27" i="8" s="1"/>
  <c r="P37" i="8" s="1"/>
  <c r="J5" i="7"/>
  <c r="H17" i="8" s="1"/>
  <c r="Q5" i="7"/>
  <c r="O17" i="8" s="1"/>
  <c r="O27" i="8" s="1"/>
  <c r="O37" i="8" s="1"/>
  <c r="I5" i="7"/>
  <c r="G17" i="8" s="1"/>
  <c r="G27" i="8" s="1"/>
  <c r="G37" i="8" s="1"/>
  <c r="P5" i="7"/>
  <c r="N17" i="8" s="1"/>
  <c r="H5" i="7"/>
  <c r="F17" i="8" s="1"/>
  <c r="F31" i="8"/>
  <c r="F41" i="8" s="1"/>
  <c r="F32" i="8"/>
  <c r="F42" i="8" s="1"/>
  <c r="N32" i="8"/>
  <c r="N42" i="8" s="1"/>
  <c r="D62" i="12"/>
  <c r="E62" i="12" s="1"/>
  <c r="I17" i="11"/>
  <c r="K26" i="8"/>
  <c r="K36" i="8" s="1"/>
  <c r="K5" i="9"/>
  <c r="S8" i="9"/>
  <c r="S29" i="8"/>
  <c r="S39" i="8" s="1"/>
  <c r="D15" i="12"/>
  <c r="E15" i="12" s="1"/>
  <c r="D39" i="12"/>
  <c r="E39" i="12" s="1"/>
  <c r="D71" i="12"/>
  <c r="E71" i="12" s="1"/>
  <c r="D95" i="12"/>
  <c r="E95" i="12" s="1"/>
  <c r="E17" i="11"/>
  <c r="G5" i="9"/>
  <c r="O28" i="8"/>
  <c r="O38" i="8" s="1"/>
  <c r="D22" i="12"/>
  <c r="E22" i="12" s="1"/>
  <c r="D38" i="12"/>
  <c r="E38" i="12" s="1"/>
  <c r="D35" i="12"/>
  <c r="E35" i="12" s="1"/>
  <c r="D91" i="12"/>
  <c r="E91" i="12" s="1"/>
  <c r="D99" i="12"/>
  <c r="E99" i="12" s="1"/>
  <c r="D115" i="12"/>
  <c r="E115" i="12" s="1"/>
  <c r="Q17" i="11"/>
  <c r="K30" i="8"/>
  <c r="K40" i="8" s="1"/>
  <c r="K9" i="9"/>
  <c r="D7" i="12"/>
  <c r="E7" i="12" s="1"/>
  <c r="D31" i="12"/>
  <c r="E31" i="12" s="1"/>
  <c r="D55" i="12"/>
  <c r="E55" i="12" s="1"/>
  <c r="D79" i="12"/>
  <c r="E79" i="12" s="1"/>
  <c r="D103" i="12"/>
  <c r="E103" i="12" s="1"/>
  <c r="D119" i="12"/>
  <c r="E119" i="12" s="1"/>
  <c r="D124" i="12"/>
  <c r="E124" i="12" s="1"/>
  <c r="D137" i="12"/>
  <c r="E137" i="12" s="1"/>
  <c r="M17" i="11"/>
  <c r="O5" i="9"/>
  <c r="D4" i="12"/>
  <c r="E4" i="12" s="1"/>
  <c r="D12" i="12"/>
  <c r="E12" i="12" s="1"/>
  <c r="D20" i="12"/>
  <c r="E20" i="12" s="1"/>
  <c r="D28" i="12"/>
  <c r="E28" i="12" s="1"/>
  <c r="D36" i="12"/>
  <c r="E36" i="12" s="1"/>
  <c r="D44" i="12"/>
  <c r="E44" i="12" s="1"/>
  <c r="D52" i="12"/>
  <c r="E52" i="12" s="1"/>
  <c r="D60" i="12"/>
  <c r="E60" i="12" s="1"/>
  <c r="D68" i="12"/>
  <c r="E68" i="12" s="1"/>
  <c r="D76" i="12"/>
  <c r="E76" i="12" s="1"/>
  <c r="D84" i="12"/>
  <c r="E84" i="12" s="1"/>
  <c r="D92" i="12"/>
  <c r="E92" i="12" s="1"/>
  <c r="D100" i="12"/>
  <c r="E100" i="12" s="1"/>
  <c r="D108" i="12"/>
  <c r="E108" i="12" s="1"/>
  <c r="D116" i="12"/>
  <c r="E116" i="12" s="1"/>
  <c r="D129" i="12"/>
  <c r="E129" i="12" s="1"/>
  <c r="D139" i="12"/>
  <c r="E139" i="12" s="1"/>
  <c r="D152" i="12"/>
  <c r="E152" i="12" s="1"/>
  <c r="D157" i="12"/>
  <c r="E157" i="12" s="1"/>
  <c r="D162" i="12"/>
  <c r="E162" i="12" s="1"/>
  <c r="D167" i="12"/>
  <c r="E167" i="12" s="1"/>
  <c r="D178" i="12"/>
  <c r="E178" i="12" s="1"/>
  <c r="D213" i="12"/>
  <c r="E213" i="12" s="1"/>
  <c r="P4" i="7"/>
  <c r="N16" i="8" s="1"/>
  <c r="G29" i="8"/>
  <c r="G39" i="8" s="1"/>
  <c r="S7" i="9"/>
  <c r="D6" i="12"/>
  <c r="E6" i="12" s="1"/>
  <c r="D46" i="12"/>
  <c r="E46" i="12" s="1"/>
  <c r="D78" i="12"/>
  <c r="E78" i="12" s="1"/>
  <c r="D19" i="12"/>
  <c r="E19" i="12" s="1"/>
  <c r="D59" i="12"/>
  <c r="E59" i="12" s="1"/>
  <c r="D75" i="12"/>
  <c r="E75" i="12" s="1"/>
  <c r="K6" i="9"/>
  <c r="S30" i="8"/>
  <c r="S40" i="8" s="1"/>
  <c r="D23" i="12"/>
  <c r="E23" i="12" s="1"/>
  <c r="D47" i="12"/>
  <c r="E47" i="12" s="1"/>
  <c r="D63" i="12"/>
  <c r="E63" i="12" s="1"/>
  <c r="D87" i="12"/>
  <c r="E87" i="12" s="1"/>
  <c r="D111" i="12"/>
  <c r="E111" i="12" s="1"/>
  <c r="D160" i="12"/>
  <c r="E160" i="12" s="1"/>
  <c r="L4" i="7"/>
  <c r="J16" i="8" s="1"/>
  <c r="O8" i="7"/>
  <c r="M20" i="8" s="1"/>
  <c r="G8" i="7"/>
  <c r="E20" i="8" s="1"/>
  <c r="N8" i="7"/>
  <c r="L20" i="8" s="1"/>
  <c r="L30" i="8" s="1"/>
  <c r="L40" i="8" s="1"/>
  <c r="F8" i="7"/>
  <c r="D20" i="8" s="1"/>
  <c r="D30" i="8" s="1"/>
  <c r="D40" i="8" s="1"/>
  <c r="S8" i="7"/>
  <c r="Q20" i="8" s="1"/>
  <c r="K8" i="7"/>
  <c r="I20" i="8" s="1"/>
  <c r="R8" i="7"/>
  <c r="P20" i="8" s="1"/>
  <c r="J8" i="7"/>
  <c r="H20" i="8" s="1"/>
  <c r="Q8" i="7"/>
  <c r="O20" i="8" s="1"/>
  <c r="O30" i="8" s="1"/>
  <c r="O40" i="8" s="1"/>
  <c r="I8" i="7"/>
  <c r="G20" i="8" s="1"/>
  <c r="G30" i="8" s="1"/>
  <c r="G40" i="8" s="1"/>
  <c r="D9" i="12"/>
  <c r="E9" i="12" s="1"/>
  <c r="D17" i="12"/>
  <c r="E17" i="12" s="1"/>
  <c r="D25" i="12"/>
  <c r="E25" i="12" s="1"/>
  <c r="D33" i="12"/>
  <c r="E33" i="12" s="1"/>
  <c r="D41" i="12"/>
  <c r="E41" i="12" s="1"/>
  <c r="D49" i="12"/>
  <c r="E49" i="12" s="1"/>
  <c r="D57" i="12"/>
  <c r="E57" i="12" s="1"/>
  <c r="D65" i="12"/>
  <c r="E65" i="12" s="1"/>
  <c r="D73" i="12"/>
  <c r="E73" i="12" s="1"/>
  <c r="D81" i="12"/>
  <c r="E81" i="12" s="1"/>
  <c r="D89" i="12"/>
  <c r="E89" i="12" s="1"/>
  <c r="D97" i="12"/>
  <c r="E97" i="12" s="1"/>
  <c r="D105" i="12"/>
  <c r="E105" i="12" s="1"/>
  <c r="D113" i="12"/>
  <c r="E113" i="12" s="1"/>
  <c r="D121" i="12"/>
  <c r="E121" i="12" s="1"/>
  <c r="D131" i="12"/>
  <c r="E131" i="12" s="1"/>
  <c r="D144" i="12"/>
  <c r="E144" i="12" s="1"/>
  <c r="D149" i="12"/>
  <c r="E149" i="12" s="1"/>
  <c r="D173" i="12"/>
  <c r="E173" i="12" s="1"/>
  <c r="D193" i="12"/>
  <c r="E193" i="12" s="1"/>
  <c r="D202" i="12"/>
  <c r="E202" i="12" s="1"/>
  <c r="Q4" i="7"/>
  <c r="O16" i="8" s="1"/>
  <c r="K5" i="7"/>
  <c r="I17" i="8" s="1"/>
  <c r="I27" i="8" s="1"/>
  <c r="I37" i="8" s="1"/>
  <c r="H8" i="7"/>
  <c r="F20" i="8" s="1"/>
  <c r="F30" i="8" s="1"/>
  <c r="F40" i="8" s="1"/>
  <c r="I30" i="8"/>
  <c r="I40" i="8" s="1"/>
  <c r="I32" i="8"/>
  <c r="I42" i="8" s="1"/>
  <c r="O29" i="8"/>
  <c r="O39" i="8" s="1"/>
  <c r="D86" i="12"/>
  <c r="E86" i="12" s="1"/>
  <c r="D94" i="12"/>
  <c r="E94" i="12" s="1"/>
  <c r="D102" i="12"/>
  <c r="E102" i="12" s="1"/>
  <c r="D110" i="12"/>
  <c r="E110" i="12" s="1"/>
  <c r="D118" i="12"/>
  <c r="E118" i="12" s="1"/>
  <c r="D123" i="12"/>
  <c r="E123" i="12" s="1"/>
  <c r="D136" i="12"/>
  <c r="E136" i="12" s="1"/>
  <c r="D141" i="12"/>
  <c r="E141" i="12" s="1"/>
  <c r="D154" i="12"/>
  <c r="E154" i="12" s="1"/>
  <c r="D159" i="12"/>
  <c r="E159" i="12" s="1"/>
  <c r="I161" i="6"/>
  <c r="D163" i="12" s="1"/>
  <c r="E163" i="12" s="1"/>
  <c r="I177" i="6"/>
  <c r="D179" i="12" s="1"/>
  <c r="E179" i="12" s="1"/>
  <c r="D197" i="12"/>
  <c r="E197" i="12" s="1"/>
  <c r="I210" i="6"/>
  <c r="T4" i="7"/>
  <c r="R16" i="8" s="1"/>
  <c r="L8" i="7"/>
  <c r="J20" i="8" s="1"/>
  <c r="J30" i="8" s="1"/>
  <c r="J40" i="8" s="1"/>
  <c r="G26" i="8"/>
  <c r="G36" i="8" s="1"/>
  <c r="D126" i="12"/>
  <c r="E126" i="12" s="1"/>
  <c r="D134" i="12"/>
  <c r="E134" i="12" s="1"/>
  <c r="D142" i="12"/>
  <c r="E142" i="12" s="1"/>
  <c r="D150" i="12"/>
  <c r="E150" i="12" s="1"/>
  <c r="D158" i="12"/>
  <c r="E158" i="12" s="1"/>
  <c r="D166" i="12"/>
  <c r="E166" i="12" s="1"/>
  <c r="D174" i="12"/>
  <c r="E174" i="12" s="1"/>
  <c r="D182" i="12"/>
  <c r="E182" i="12" s="1"/>
  <c r="D190" i="12"/>
  <c r="E190" i="12" s="1"/>
  <c r="D198" i="12"/>
  <c r="E198" i="12" s="1"/>
  <c r="D206" i="12"/>
  <c r="E206" i="12" s="1"/>
  <c r="D214" i="12"/>
  <c r="E214" i="12" s="1"/>
  <c r="K6" i="7"/>
  <c r="I18" i="8" s="1"/>
  <c r="I28" i="8" s="1"/>
  <c r="I38" i="8" s="1"/>
  <c r="S6" i="7"/>
  <c r="Q18" i="8" s="1"/>
  <c r="Q28" i="8" s="1"/>
  <c r="Q38" i="8" s="1"/>
  <c r="F7" i="7"/>
  <c r="D19" i="8" s="1"/>
  <c r="D29" i="8" s="1"/>
  <c r="D39" i="8" s="1"/>
  <c r="N7" i="7"/>
  <c r="L19" i="8" s="1"/>
  <c r="L29" i="8" s="1"/>
  <c r="L39" i="8" s="1"/>
  <c r="L9" i="7"/>
  <c r="J21" i="8" s="1"/>
  <c r="J31" i="8" s="1"/>
  <c r="J41" i="8" s="1"/>
  <c r="G10" i="7"/>
  <c r="E22" i="8" s="1"/>
  <c r="O10" i="7"/>
  <c r="M22" i="8" s="1"/>
  <c r="H26" i="8"/>
  <c r="H36" i="8" s="1"/>
  <c r="P26" i="8"/>
  <c r="P36" i="8" s="1"/>
  <c r="H27" i="8"/>
  <c r="H37" i="8" s="1"/>
  <c r="H28" i="8"/>
  <c r="H38" i="8" s="1"/>
  <c r="P28" i="8"/>
  <c r="P38" i="8" s="1"/>
  <c r="H29" i="8"/>
  <c r="H39" i="8" s="1"/>
  <c r="P29" i="8"/>
  <c r="P39" i="8" s="1"/>
  <c r="H30" i="8"/>
  <c r="H40" i="8" s="1"/>
  <c r="P30" i="8"/>
  <c r="P40" i="8" s="1"/>
  <c r="H31" i="8"/>
  <c r="H41" i="8" s="1"/>
  <c r="P31" i="8"/>
  <c r="P41" i="8" s="1"/>
  <c r="H32" i="8"/>
  <c r="H42" i="8" s="1"/>
  <c r="P32" i="8"/>
  <c r="P42" i="8" s="1"/>
  <c r="J5" i="9"/>
  <c r="F6" i="9"/>
  <c r="J7" i="9"/>
  <c r="F8" i="9"/>
  <c r="J9" i="9"/>
  <c r="F10" i="9"/>
  <c r="J11" i="9"/>
  <c r="D171" i="12"/>
  <c r="E171" i="12" s="1"/>
  <c r="D187" i="12"/>
  <c r="E187" i="12" s="1"/>
  <c r="D195" i="12"/>
  <c r="E195" i="12" s="1"/>
  <c r="D203" i="12"/>
  <c r="E203" i="12" s="1"/>
  <c r="D211" i="12"/>
  <c r="E211" i="12" s="1"/>
  <c r="L6" i="7"/>
  <c r="J18" i="8" s="1"/>
  <c r="J28" i="8" s="1"/>
  <c r="J38" i="8" s="1"/>
  <c r="T6" i="7"/>
  <c r="R18" i="8" s="1"/>
  <c r="M9" i="7"/>
  <c r="K21" i="8" s="1"/>
  <c r="K31" i="8" s="1"/>
  <c r="K41" i="8" s="1"/>
  <c r="U9" i="7"/>
  <c r="S21" i="8" s="1"/>
  <c r="S31" i="8" s="1"/>
  <c r="S41" i="8" s="1"/>
  <c r="I26" i="8"/>
  <c r="I36" i="8" s="1"/>
  <c r="Q26" i="8"/>
  <c r="Q36" i="8" s="1"/>
  <c r="Q27" i="8"/>
  <c r="Q37" i="8" s="1"/>
  <c r="I29" i="8"/>
  <c r="I39" i="8" s="1"/>
  <c r="Q29" i="8"/>
  <c r="Q39" i="8" s="1"/>
  <c r="Q30" i="8"/>
  <c r="Q40" i="8" s="1"/>
  <c r="Q31" i="8"/>
  <c r="Q41" i="8" s="1"/>
  <c r="Q32" i="8"/>
  <c r="Q42" i="8" s="1"/>
  <c r="D176" i="12"/>
  <c r="E176" i="12" s="1"/>
  <c r="D184" i="12"/>
  <c r="E184" i="12" s="1"/>
  <c r="D192" i="12"/>
  <c r="E192" i="12" s="1"/>
  <c r="D200" i="12"/>
  <c r="E200" i="12" s="1"/>
  <c r="D208" i="12"/>
  <c r="E208" i="12" s="1"/>
  <c r="D216" i="12"/>
  <c r="E216" i="12" s="1"/>
  <c r="M6" i="7"/>
  <c r="K18" i="8" s="1"/>
  <c r="K28" i="8" s="1"/>
  <c r="K38" i="8" s="1"/>
  <c r="U6" i="7"/>
  <c r="S18" i="8" s="1"/>
  <c r="S28" i="8" s="1"/>
  <c r="S38" i="8" s="1"/>
  <c r="F9" i="7"/>
  <c r="D21" i="8" s="1"/>
  <c r="N9" i="7"/>
  <c r="L21" i="8" s="1"/>
  <c r="L31" i="8" s="1"/>
  <c r="L41" i="8" s="1"/>
  <c r="I10" i="7"/>
  <c r="G22" i="8" s="1"/>
  <c r="G32" i="8" s="1"/>
  <c r="G42" i="8" s="1"/>
  <c r="Q10" i="7"/>
  <c r="O22" i="8" s="1"/>
  <c r="O32" i="8" s="1"/>
  <c r="O42" i="8" s="1"/>
  <c r="J26" i="8"/>
  <c r="J36" i="8" s="1"/>
  <c r="R26" i="8"/>
  <c r="R36" i="8" s="1"/>
  <c r="R27" i="8"/>
  <c r="R37" i="8" s="1"/>
  <c r="R28" i="8"/>
  <c r="R38" i="8" s="1"/>
  <c r="R29" i="8"/>
  <c r="R39" i="8" s="1"/>
  <c r="R30" i="8"/>
  <c r="R40" i="8" s="1"/>
  <c r="R31" i="8"/>
  <c r="R41" i="8" s="1"/>
  <c r="N5" i="9"/>
  <c r="N7" i="9"/>
  <c r="N9" i="9"/>
  <c r="N11" i="9"/>
  <c r="I6" i="10"/>
  <c r="K6" i="10" s="1"/>
  <c r="B11" i="11" s="1"/>
  <c r="L26" i="8"/>
  <c r="L36" i="8" s="1"/>
  <c r="D27" i="8"/>
  <c r="D37" i="8" s="1"/>
  <c r="L27" i="8"/>
  <c r="L37" i="8" s="1"/>
  <c r="D28" i="8"/>
  <c r="D38" i="8" s="1"/>
  <c r="L28" i="8"/>
  <c r="L38" i="8" s="1"/>
  <c r="D31" i="8"/>
  <c r="D41" i="8" s="1"/>
  <c r="D32" i="8"/>
  <c r="D42" i="8" s="1"/>
  <c r="L32" i="8"/>
  <c r="L42" i="8" s="1"/>
  <c r="F5" i="9"/>
  <c r="P5" i="9"/>
  <c r="F7" i="9"/>
  <c r="F9" i="9"/>
  <c r="F11" i="9"/>
  <c r="J7" i="10"/>
  <c r="I7" i="10"/>
  <c r="K7" i="10" s="1"/>
  <c r="D175" i="12"/>
  <c r="E175" i="12" s="1"/>
  <c r="D183" i="12"/>
  <c r="E183" i="12" s="1"/>
  <c r="D191" i="12"/>
  <c r="E191" i="12" s="1"/>
  <c r="D199" i="12"/>
  <c r="E199" i="12" s="1"/>
  <c r="D207" i="12"/>
  <c r="E207" i="12" s="1"/>
  <c r="D215" i="12"/>
  <c r="E215" i="12" s="1"/>
  <c r="H6" i="7"/>
  <c r="F18" i="8" s="1"/>
  <c r="F28" i="8" s="1"/>
  <c r="F38" i="8" s="1"/>
  <c r="P6" i="7"/>
  <c r="N18" i="8" s="1"/>
  <c r="N28" i="8" s="1"/>
  <c r="N38" i="8" s="1"/>
  <c r="I9" i="7"/>
  <c r="G21" i="8" s="1"/>
  <c r="G31" i="8" s="1"/>
  <c r="G41" i="8" s="1"/>
  <c r="Q9" i="7"/>
  <c r="O21" i="8" s="1"/>
  <c r="O31" i="8" s="1"/>
  <c r="O41" i="8" s="1"/>
  <c r="L10" i="7"/>
  <c r="J22" i="8" s="1"/>
  <c r="J32" i="8" s="1"/>
  <c r="J42" i="8" s="1"/>
  <c r="T10" i="7"/>
  <c r="R22" i="8" s="1"/>
  <c r="R32" i="8" s="1"/>
  <c r="R42" i="8" s="1"/>
  <c r="C17" i="11"/>
  <c r="E5" i="9"/>
  <c r="K17" i="11"/>
  <c r="M5" i="9"/>
  <c r="E26" i="8"/>
  <c r="E36" i="8" s="1"/>
  <c r="M26" i="8"/>
  <c r="M36" i="8" s="1"/>
  <c r="E27" i="8"/>
  <c r="E37" i="8" s="1"/>
  <c r="M27" i="8"/>
  <c r="M37" i="8" s="1"/>
  <c r="E28" i="8"/>
  <c r="E38" i="8" s="1"/>
  <c r="M28" i="8"/>
  <c r="M38" i="8" s="1"/>
  <c r="E30" i="8"/>
  <c r="E40" i="8" s="1"/>
  <c r="M30" i="8"/>
  <c r="M40" i="8" s="1"/>
  <c r="E31" i="8"/>
  <c r="E41" i="8" s="1"/>
  <c r="M31" i="8"/>
  <c r="M41" i="8" s="1"/>
  <c r="E32" i="8"/>
  <c r="E42" i="8" s="1"/>
  <c r="M32" i="8"/>
  <c r="M42" i="8" s="1"/>
  <c r="Q5" i="9"/>
  <c r="D156" i="12"/>
  <c r="E156" i="12" s="1"/>
  <c r="D164" i="12"/>
  <c r="E164" i="12" s="1"/>
  <c r="D172" i="12"/>
  <c r="E172" i="12" s="1"/>
  <c r="D180" i="12"/>
  <c r="E180" i="12" s="1"/>
  <c r="D188" i="12"/>
  <c r="E188" i="12" s="1"/>
  <c r="D196" i="12"/>
  <c r="E196" i="12" s="1"/>
  <c r="D204" i="12"/>
  <c r="E204" i="12" s="1"/>
  <c r="D212" i="12"/>
  <c r="E212" i="12" s="1"/>
  <c r="I6" i="7"/>
  <c r="G18" i="8" s="1"/>
  <c r="G28" i="8" s="1"/>
  <c r="G38" i="8" s="1"/>
  <c r="L7" i="7"/>
  <c r="J19" i="8" s="1"/>
  <c r="J29" i="8" s="1"/>
  <c r="J39" i="8" s="1"/>
  <c r="J9" i="7"/>
  <c r="H21" i="8" s="1"/>
  <c r="M10" i="7"/>
  <c r="K22" i="8" s="1"/>
  <c r="K32" i="8" s="1"/>
  <c r="K42" i="8" s="1"/>
  <c r="F26" i="8"/>
  <c r="F36" i="8" s="1"/>
  <c r="N26" i="8"/>
  <c r="N36" i="8" s="1"/>
  <c r="N27" i="8"/>
  <c r="N37" i="8" s="1"/>
  <c r="N29" i="8"/>
  <c r="N39" i="8" s="1"/>
  <c r="N31" i="8"/>
  <c r="N41" i="8" s="1"/>
  <c r="H5" i="9"/>
  <c r="R5" i="9"/>
  <c r="J5" i="10"/>
  <c r="B17" i="11"/>
  <c r="D18" i="11" l="1"/>
  <c r="D19" i="11" s="1"/>
  <c r="Q18" i="11"/>
  <c r="Q19" i="11" s="1"/>
  <c r="O18" i="11"/>
  <c r="O19" i="11" s="1"/>
  <c r="B45" i="11"/>
  <c r="B44" i="11"/>
  <c r="B46" i="11"/>
  <c r="B43" i="11"/>
  <c r="D36" i="8"/>
  <c r="B10" i="11" s="1"/>
  <c r="S26" i="8"/>
  <c r="S36" i="8" s="1"/>
  <c r="J18" i="11"/>
  <c r="J19" i="11" s="1"/>
  <c r="F27" i="8"/>
  <c r="F37" i="8" s="1"/>
  <c r="C18" i="11"/>
  <c r="C19" i="11" s="1"/>
  <c r="M18" i="11"/>
  <c r="M19" i="11" s="1"/>
  <c r="O26" i="8"/>
  <c r="O36" i="8" s="1"/>
  <c r="H18" i="11"/>
  <c r="H19" i="11" s="1"/>
  <c r="K18" i="11"/>
  <c r="K19" i="11" s="1"/>
  <c r="F18" i="11"/>
  <c r="F19" i="11" s="1"/>
  <c r="B18" i="11"/>
  <c r="B19" i="11" s="1"/>
  <c r="P18" i="11"/>
  <c r="P19" i="11" s="1"/>
  <c r="L18" i="11"/>
  <c r="L19" i="11" s="1"/>
  <c r="E18" i="11"/>
  <c r="E19" i="11" s="1"/>
  <c r="N18" i="11"/>
  <c r="N19" i="11" s="1"/>
  <c r="I19" i="11"/>
  <c r="I18" i="11"/>
  <c r="G18" i="11"/>
  <c r="G19" i="11" s="1"/>
</calcChain>
</file>

<file path=xl/sharedStrings.xml><?xml version="1.0" encoding="utf-8"?>
<sst xmlns="http://schemas.openxmlformats.org/spreadsheetml/2006/main" count="1786" uniqueCount="550">
  <si>
    <t>LA DIPERIE &amp; LA FAYETTE — Resource Scheduler</t>
  </si>
  <si>
    <t>YOUR BUSINESSES</t>
  </si>
  <si>
    <t>La Diperie Oakville — Ice cream dip shop (established location)</t>
  </si>
  <si>
    <t>La Diperie High Park — Ice cream dip shop (Toronto, shared space)</t>
  </si>
  <si>
    <t>La Fayette — Coffee shop (shares High Park location with La Diperie HP)</t>
  </si>
  <si>
    <t>WHAT THIS WORKBOOK DOES</t>
  </si>
  <si>
    <t>Schedules your team of 7 across all 3 businesses over 16 weeks (Feb 23 → Jun 12).</t>
  </si>
  <si>
    <t>Tracks who's working where, flags over-allocation when someone's stretched too thin,</t>
  </si>
  <si>
    <t>and makes sure seasonal projects (menu launch, hiring) don't collide with daily ops.</t>
  </si>
  <si>
    <t>⚠ SIMULATED DATA — Replace blue cells with your real numbers over time.</t>
  </si>
  <si>
    <t>SETUP STEPS</t>
  </si>
  <si>
    <t>1. SETTINGS — Confirm planning dates, hours/day, overtime rules.</t>
  </si>
  <si>
    <t>2. RESOURCES — Verify team names, roles, availability, locations.</t>
  </si>
  <si>
    <t>3. PROJECTS — Check the 7 projects reflect your current priorities.</t>
  </si>
  <si>
    <t>4. TASKS — 29 tasks pre-loaded. Adjust hours and dates to match reality.</t>
  </si>
  <si>
    <t>5. ASSIGNMENTS — This is the engine. Resource+Task+Week+Hours. All validations auto-run.</t>
  </si>
  <si>
    <t>6. Review DEMAND_VS_CAPACITY for overloads and DASHBOARD for the big picture.</t>
  </si>
  <si>
    <t>DEFINITIONS</t>
  </si>
  <si>
    <t>Capacity: Max hours a person can work that week (max hrs × availability %).</t>
  </si>
  <si>
    <t>Demand: Total hours assigned to them that week across all locations.</t>
  </si>
  <si>
    <t>Utilization: Demand ÷ Capacity. You want 70-90%. Over 100% = someone's overbooked.</t>
  </si>
  <si>
    <t>Over-allocation: Person assigned more hours than they're available for.</t>
  </si>
  <si>
    <t>Unassigned work: Task hours not yet assigned to anyone — shows staffing gaps.</t>
  </si>
  <si>
    <t>COLOR CODING</t>
  </si>
  <si>
    <t>Blue text = Your editable inputs   |   Green text = Auto-calculated formulas</t>
  </si>
  <si>
    <t>Red highlight = Over-allocated / critical   |   Yellow = Needs attention</t>
  </si>
  <si>
    <t>Green highlight = Healthy / on-target   |   Orange = Role/skill mismatch</t>
  </si>
  <si>
    <t>SCHEDULING SETTINGS</t>
  </si>
  <si>
    <t>Setting</t>
  </si>
  <si>
    <t>Value</t>
  </si>
  <si>
    <t>Unit/Notes</t>
  </si>
  <si>
    <t>Planning Horizon Start</t>
  </si>
  <si>
    <t>Must be a Monday</t>
  </si>
  <si>
    <t>Number of Weeks</t>
  </si>
  <si>
    <t>weeks (covers through mid-June)</t>
  </si>
  <si>
    <t>Working Days / Week</t>
  </si>
  <si>
    <t>ice cream shops open 7 days</t>
  </si>
  <si>
    <t>Standard Hours / Day</t>
  </si>
  <si>
    <t>hours</t>
  </si>
  <si>
    <t>Standard Hours / Week</t>
  </si>
  <si>
    <t>auto-calculated (not used for staff — see Max Hrs/Wk)</t>
  </si>
  <si>
    <t>Overtime Allowed</t>
  </si>
  <si>
    <t>OFF</t>
  </si>
  <si>
    <t>ON/OFF</t>
  </si>
  <si>
    <t>Overtime Cap %</t>
  </si>
  <si>
    <t>max extra % over max hours</t>
  </si>
  <si>
    <t>Utilization Warning Threshold</t>
  </si>
  <si>
    <t>flag above this</t>
  </si>
  <si>
    <t>PLANNING WEEK CALENDAR</t>
  </si>
  <si>
    <t>COLOR LEGEND</t>
  </si>
  <si>
    <t>Week #</t>
  </si>
  <si>
    <t>Week Starting</t>
  </si>
  <si>
    <t>Week Ending</t>
  </si>
  <si>
    <t>Green</t>
  </si>
  <si>
    <t>On-target utilization (70-85%)</t>
  </si>
  <si>
    <t>Yellow</t>
  </si>
  <si>
    <t>Warning — near capacity</t>
  </si>
  <si>
    <t>Red</t>
  </si>
  <si>
    <t>Over-allocated — too many hours</t>
  </si>
  <si>
    <t>Orange</t>
  </si>
  <si>
    <t>Role/skill mismatch</t>
  </si>
  <si>
    <t>Blue text</t>
  </si>
  <si>
    <t>Editable input</t>
  </si>
  <si>
    <t>Green text</t>
  </si>
  <si>
    <t>Formula / linked</t>
  </si>
  <si>
    <t>Resource ID</t>
  </si>
  <si>
    <t>Name</t>
  </si>
  <si>
    <t>Role</t>
  </si>
  <si>
    <t>Skill Tags</t>
  </si>
  <si>
    <t>Location/Team</t>
  </si>
  <si>
    <t>Cost/Hr ($)</t>
  </si>
  <si>
    <t>Max Hrs/Week</t>
  </si>
  <si>
    <t>Availability %</t>
  </si>
  <si>
    <t>Notes</t>
  </si>
  <si>
    <t>R001</t>
  </si>
  <si>
    <t>Owner/Operator</t>
  </si>
  <si>
    <t>Management,Scheduling,Ordering,Training,Inventory,Strategy</t>
  </si>
  <si>
    <t>All Locations</t>
  </si>
  <si>
    <t>Oversees all 3 businesses. Floats between locations.</t>
  </si>
  <si>
    <t>R002</t>
  </si>
  <si>
    <t>Jess Moreau</t>
  </si>
  <si>
    <t>Shift Lead</t>
  </si>
  <si>
    <t>Dipping,Training,Opening/Closing,Cash,Inventory</t>
  </si>
  <si>
    <t>La Diperie Oakville</t>
  </si>
  <si>
    <t>Senior team member. Can train new hires.</t>
  </si>
  <si>
    <t>R003</t>
  </si>
  <si>
    <t>Tyler Osei</t>
  </si>
  <si>
    <t>Barista,Dipping,Opening/Closing,Cash,Inventory</t>
  </si>
  <si>
    <t>La Diperie HP / La Fayette</t>
  </si>
  <si>
    <t>Runs HP location day-to-day. Cross-trained on coffee.</t>
  </si>
  <si>
    <t>R004</t>
  </si>
  <si>
    <t>Maya Singh</t>
  </si>
  <si>
    <t>Scooper/Barista</t>
  </si>
  <si>
    <t>Dipping,Scooping,Cash,Customer Service</t>
  </si>
  <si>
    <t>Part-time. Available evenings &amp; weekends.</t>
  </si>
  <si>
    <t>R005</t>
  </si>
  <si>
    <t>Ethan Tran</t>
  </si>
  <si>
    <t>Dipping,Scooping,Barista,Cash,Customer Service</t>
  </si>
  <si>
    <t>Cross-trained ice cream + coffee. Reliable closer.</t>
  </si>
  <si>
    <t>R006</t>
  </si>
  <si>
    <t>Olivia Brown</t>
  </si>
  <si>
    <t>Scooping,Dipping,Cash,Customer Service</t>
  </si>
  <si>
    <t>Student. Weekends + some weeknights only.</t>
  </si>
  <si>
    <t>R007</t>
  </si>
  <si>
    <t>Noah Lafleur</t>
  </si>
  <si>
    <t>Barista</t>
  </si>
  <si>
    <t>Barista,Latte Art,Cash,Customer Service</t>
  </si>
  <si>
    <t>La Fayette</t>
  </si>
  <si>
    <t>Coffee specialist. 80% avail (school schedule).</t>
  </si>
  <si>
    <t>Project ID</t>
  </si>
  <si>
    <t>Project Name</t>
  </si>
  <si>
    <t>Priority</t>
  </si>
  <si>
    <t>Start Date</t>
  </si>
  <si>
    <t>End Date</t>
  </si>
  <si>
    <t>Status</t>
  </si>
  <si>
    <t>Owner</t>
  </si>
  <si>
    <t>P001</t>
  </si>
  <si>
    <t>Spring/Summer Menu Launch</t>
  </si>
  <si>
    <t>Planning</t>
  </si>
  <si>
    <t>New seasonal dip flavors, summer drinks, La Fayette iced menu. Biggest revenue driver.</t>
  </si>
  <si>
    <t>P002</t>
  </si>
  <si>
    <t>Summer Hiring &amp; Training</t>
  </si>
  <si>
    <t>Hire 2-3 new part-timers across locations. Train before May long weekend rush.</t>
  </si>
  <si>
    <t>P003</t>
  </si>
  <si>
    <t>Daily Ops — La Diperie Oakville</t>
  </si>
  <si>
    <t>In Progress</t>
  </si>
  <si>
    <t>Ongoing shift coverage, opening/closing, inventory counts, cleaning.</t>
  </si>
  <si>
    <t>P004</t>
  </si>
  <si>
    <t>Daily Ops — La Diperie High Park</t>
  </si>
  <si>
    <t>Ongoing shift coverage for HP ice cream side.</t>
  </si>
  <si>
    <t>P005</t>
  </si>
  <si>
    <t>Daily Ops — La Fayette Coffee</t>
  </si>
  <si>
    <t>Ongoing coffee shop operations sharing HP space.</t>
  </si>
  <si>
    <t>P006</t>
  </si>
  <si>
    <t>Inventory &amp; Ordering Optimization</t>
  </si>
  <si>
    <t>Coordinate shared supplier orders, reduce waste, prep bulk buys for summer.</t>
  </si>
  <si>
    <t>P007</t>
  </si>
  <si>
    <t>Social Media &amp; Marketing Push</t>
  </si>
  <si>
    <t>Not Started</t>
  </si>
  <si>
    <t>Spring launch content, local promos, La Fayette awareness campaign.</t>
  </si>
  <si>
    <t>Task ID</t>
  </si>
  <si>
    <t>Task Name</t>
  </si>
  <si>
    <t>Required Role</t>
  </si>
  <si>
    <t>Required Skills</t>
  </si>
  <si>
    <t>Estimated Hours</t>
  </si>
  <si>
    <t>Preferred Resource</t>
  </si>
  <si>
    <t>Dependency</t>
  </si>
  <si>
    <t>T001</t>
  </si>
  <si>
    <t>Test new dip flavors (R&amp;D)</t>
  </si>
  <si>
    <t>Management,Inventory</t>
  </si>
  <si>
    <t>Sample from MTY + develop signature flavors</t>
  </si>
  <si>
    <t>T002</t>
  </si>
  <si>
    <t>Design summer drinks menu (La Fayette)</t>
  </si>
  <si>
    <t>Management,Strategy</t>
  </si>
  <si>
    <t>Iced lattes, cold brew, smoothie combos</t>
  </si>
  <si>
    <t>T003</t>
  </si>
  <si>
    <t>Order seasonal inventory &amp; supplies</t>
  </si>
  <si>
    <t>Ordering,Inventory</t>
  </si>
  <si>
    <t>Place orders with Dubord, MTY, Monin etc.</t>
  </si>
  <si>
    <t>T004</t>
  </si>
  <si>
    <t>Update POS menu &amp; pricing</t>
  </si>
  <si>
    <t>Cash,Inventory</t>
  </si>
  <si>
    <t>Program new items into both locations</t>
  </si>
  <si>
    <t>T005</t>
  </si>
  <si>
    <t>Staff tasting &amp; product training</t>
  </si>
  <si>
    <t>Training</t>
  </si>
  <si>
    <t>Train all staff on new products</t>
  </si>
  <si>
    <t>T006</t>
  </si>
  <si>
    <t>Soft launch weekend (both locations)</t>
  </si>
  <si>
    <t>Dipping,Cash</t>
  </si>
  <si>
    <t>Trial run before full launch</t>
  </si>
  <si>
    <t>T007</t>
  </si>
  <si>
    <t>Write job postings &amp; recruit</t>
  </si>
  <si>
    <t>Management</t>
  </si>
  <si>
    <t>Indeed, Instagram, walk-in applications</t>
  </si>
  <si>
    <t>T008</t>
  </si>
  <si>
    <t>Interview candidates</t>
  </si>
  <si>
    <t>Screen 10-15, interview 6-8</t>
  </si>
  <si>
    <t>T009</t>
  </si>
  <si>
    <t>Onboard new hires (paperwork, setup)</t>
  </si>
  <si>
    <t>T010</t>
  </si>
  <si>
    <t>Shadow shifts — Oakville</t>
  </si>
  <si>
    <t>Training,Dipping</t>
  </si>
  <si>
    <t>New hire trains with Jess</t>
  </si>
  <si>
    <t>T011</t>
  </si>
  <si>
    <t>Shadow shifts — High Park / La Fayette</t>
  </si>
  <si>
    <t>Training,Barista,Dipping</t>
  </si>
  <si>
    <t>New hire trains with Tyler</t>
  </si>
  <si>
    <t>T012</t>
  </si>
  <si>
    <t>Weekly shift coverage — OAK</t>
  </si>
  <si>
    <t>Opening/Closing,Dipping,Cash</t>
  </si>
  <si>
    <t>~15h/wk ongoing. Core operating hours.</t>
  </si>
  <si>
    <t>T013</t>
  </si>
  <si>
    <t>Inventory counts &amp; restock — OAK</t>
  </si>
  <si>
    <t>Inventory</t>
  </si>
  <si>
    <t>~3h/wk, check pars, receive deliveries</t>
  </si>
  <si>
    <t>T014</t>
  </si>
  <si>
    <t>Weekend/evening shifts — OAK</t>
  </si>
  <si>
    <t>Dipping,Scooping,Cash</t>
  </si>
  <si>
    <t>~12h/wk Maya</t>
  </si>
  <si>
    <t>T015</t>
  </si>
  <si>
    <t>Weekend shifts — OAK (Olivia)</t>
  </si>
  <si>
    <t>Scooping,Dipping,Cash</t>
  </si>
  <si>
    <t>~8h/wk Olivia student schedule</t>
  </si>
  <si>
    <t>T016</t>
  </si>
  <si>
    <t>Weekly shift coverage — HP</t>
  </si>
  <si>
    <t>~15h/wk Tyler runs HP</t>
  </si>
  <si>
    <t>T017</t>
  </si>
  <si>
    <t>Inventory counts &amp; restock — HP</t>
  </si>
  <si>
    <t>~3h/wk</t>
  </si>
  <si>
    <t>T018</t>
  </si>
  <si>
    <t>Afternoon/evening shifts — HP</t>
  </si>
  <si>
    <t>Dipping,Cash,Customer Service</t>
  </si>
  <si>
    <t>~10.5h/wk Ethan on dip side</t>
  </si>
  <si>
    <t>T019</t>
  </si>
  <si>
    <t>Morning coffee shifts — La Fayette</t>
  </si>
  <si>
    <t>Barista,Cash</t>
  </si>
  <si>
    <t>~10h/wk Noah opens coffee side</t>
  </si>
  <si>
    <t>T020</t>
  </si>
  <si>
    <t>Afternoon coffee coverage — La Fayette</t>
  </si>
  <si>
    <t>~7h/wk Ethan covers afternoon coffee</t>
  </si>
  <si>
    <t>T021</t>
  </si>
  <si>
    <t>Coffee inventory &amp; supply orders</t>
  </si>
  <si>
    <t>Inventory,Barista</t>
  </si>
  <si>
    <t>~2h/wk Tyler handles coffee ordering too</t>
  </si>
  <si>
    <t>T022</t>
  </si>
  <si>
    <t>Audit current pars &amp; waste levels</t>
  </si>
  <si>
    <t>Inventory,Management</t>
  </si>
  <si>
    <t>Review both locations with new workbook</t>
  </si>
  <si>
    <t>T023</t>
  </si>
  <si>
    <t>Set up shared bulk ordering schedule</t>
  </si>
  <si>
    <t>Coordinate Dubord orders across locations</t>
  </si>
  <si>
    <t>T024</t>
  </si>
  <si>
    <t>Pre-order summer stock (bulk buy)</t>
  </si>
  <si>
    <t>Cones, toppings, packaging for peak season</t>
  </si>
  <si>
    <t>T025</t>
  </si>
  <si>
    <t>Plan spring launch social content</t>
  </si>
  <si>
    <t>Strategy</t>
  </si>
  <si>
    <t>Instagram reels, stories, TikTok plan</t>
  </si>
  <si>
    <t>T026</t>
  </si>
  <si>
    <t>Create &amp; schedule posts (spring)</t>
  </si>
  <si>
    <t>Cash,Customer Service</t>
  </si>
  <si>
    <t>Tyler handles HP/LaFayette socials</t>
  </si>
  <si>
    <t>T027</t>
  </si>
  <si>
    <t>Local promo partnerships (Oakville)</t>
  </si>
  <si>
    <t>Jess connects with local businesses</t>
  </si>
  <si>
    <t>T028</t>
  </si>
  <si>
    <t>La Fayette awareness campaign</t>
  </si>
  <si>
    <t>Strategy,Management</t>
  </si>
  <si>
    <t>Drive coffee traffic — separate from dip brand</t>
  </si>
  <si>
    <t>T029</t>
  </si>
  <si>
    <t>Summer launch content blitz</t>
  </si>
  <si>
    <t>Ramp up posting for May long weekend + summer</t>
  </si>
  <si>
    <t>Assignment ID</t>
  </si>
  <si>
    <t>Planned Hours</t>
  </si>
  <si>
    <t>Task Est Hrs</t>
  </si>
  <si>
    <t>Assigned Total</t>
  </si>
  <si>
    <t>Remaining</t>
  </si>
  <si>
    <t>Role Match?</t>
  </si>
  <si>
    <t>Date Range OK?</t>
  </si>
  <si>
    <t>A001</t>
  </si>
  <si>
    <t>Planned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</si>
  <si>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</si>
  <si>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</si>
  <si>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</si>
  <si>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</si>
  <si>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</si>
  <si>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</si>
  <si>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</si>
  <si>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</si>
  <si>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</si>
  <si>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</si>
  <si>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</si>
  <si>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</si>
  <si>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</si>
  <si>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</si>
  <si>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</si>
  <si>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</si>
  <si>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</si>
  <si>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</si>
  <si>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</si>
  <si>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</si>
  <si>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</si>
  <si>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</si>
  <si>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</si>
  <si>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</si>
  <si>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</si>
  <si>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</si>
  <si>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</si>
  <si>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</si>
  <si>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</si>
  <si>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</si>
  <si>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</si>
  <si>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</si>
  <si>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</si>
  <si>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</si>
  <si>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</si>
  <si>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</si>
  <si>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</si>
  <si>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</si>
  <si>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</si>
  <si>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</si>
  <si>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</si>
  <si>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</si>
  <si>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</si>
  <si>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</si>
  <si>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</si>
  <si>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</si>
  <si>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</si>
  <si>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</si>
  <si>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</si>
  <si>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</si>
  <si>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</si>
  <si>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</si>
  <si>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</si>
  <si>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</si>
  <si>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</si>
  <si>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</si>
  <si>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</si>
  <si>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</si>
  <si>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</si>
  <si>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</si>
  <si>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</si>
  <si>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</si>
  <si>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</si>
  <si>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</si>
  <si>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</si>
  <si>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</si>
  <si>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</si>
  <si>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</si>
  <si>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</si>
  <si>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</si>
  <si>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</si>
  <si>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</si>
  <si>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</si>
  <si>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</si>
  <si>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</si>
  <si>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</si>
  <si>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</si>
  <si>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</si>
  <si>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</si>
  <si>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</si>
  <si>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</si>
  <si>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</si>
  <si>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</si>
  <si>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</si>
  <si>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</si>
  <si>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</si>
  <si>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</si>
  <si>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</si>
  <si>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</si>
  <si>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</si>
  <si>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</si>
  <si>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</si>
  <si>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</si>
  <si>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</si>
  <si>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</si>
  <si>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</si>
  <si>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</si>
  <si>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</si>
  <si>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</si>
  <si>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</si>
  <si>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</si>
  <si>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</si>
  <si>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</si>
  <si>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</si>
  <si>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</si>
  <si>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</si>
  <si>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</si>
  <si>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</si>
  <si>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</si>
  <si>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</si>
  <si>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</si>
  <si>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</si>
  <si>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</si>
  <si>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</si>
  <si>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</si>
  <si>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</si>
  <si>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</si>
  <si>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</si>
  <si>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</si>
  <si>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</si>
  <si>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</si>
  <si>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</si>
  <si>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</si>
  <si>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</si>
  <si>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</si>
  <si>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</si>
  <si>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</si>
  <si>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</si>
  <si>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</si>
  <si>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</si>
  <si>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</si>
  <si>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</si>
  <si>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</si>
  <si>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</si>
  <si>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</si>
  <si>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</si>
  <si>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</si>
  <si>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</si>
  <si>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</si>
  <si>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</si>
  <si>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</si>
  <si>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</si>
  <si>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</si>
  <si>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</si>
  <si>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</si>
  <si>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</si>
  <si>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</si>
  <si>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</si>
  <si>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</si>
  <si>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</si>
  <si>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</si>
  <si>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</si>
  <si>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</si>
  <si>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</si>
  <si>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</si>
  <si>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</si>
  <si>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</si>
  <si>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</si>
  <si>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</si>
  <si>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</si>
  <si>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</si>
  <si>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</si>
  <si>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</si>
  <si>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</si>
  <si>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</si>
  <si>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</si>
  <si>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</si>
  <si>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</si>
  <si>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</si>
  <si>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</si>
  <si>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</si>
  <si>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</si>
  <si>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</si>
  <si>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</si>
  <si>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</si>
  <si>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</si>
  <si>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</si>
  <si>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</si>
  <si>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</si>
  <si>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</si>
  <si>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</si>
  <si>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</si>
  <si>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</si>
  <si>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</si>
  <si>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</si>
  <si>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</si>
  <si>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</si>
  <si>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</si>
  <si>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</si>
  <si>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</si>
  <si>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</si>
  <si>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</si>
  <si>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</si>
  <si>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</si>
  <si>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</si>
  <si>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</si>
  <si>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</si>
  <si>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</si>
  <si>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</si>
  <si>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</si>
  <si>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</si>
  <si>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</si>
  <si>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</si>
  <si>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</si>
  <si>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</si>
  <si>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</si>
  <si>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</si>
  <si>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</si>
  <si>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</si>
  <si>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</si>
  <si>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</si>
  <si>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</si>
  <si>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WEEKLY CAPACITY PER RESOURCE</t>
  </si>
  <si>
    <t>Max Hrs/Wk</t>
  </si>
  <si>
    <t>Avail %</t>
  </si>
  <si>
    <t>02/23</t>
  </si>
  <si>
    <t>03/02</t>
  </si>
  <si>
    <t>03/09</t>
  </si>
  <si>
    <t>03/16</t>
  </si>
  <si>
    <t>03/23</t>
  </si>
  <si>
    <t>03/30</t>
  </si>
  <si>
    <t>04/06</t>
  </si>
  <si>
    <t>04/13</t>
  </si>
  <si>
    <t>04/20</t>
  </si>
  <si>
    <t>04/27</t>
  </si>
  <si>
    <t>05/04</t>
  </si>
  <si>
    <t>05/11</t>
  </si>
  <si>
    <t>05/18</t>
  </si>
  <si>
    <t>05/25</t>
  </si>
  <si>
    <t>06/01</t>
  </si>
  <si>
    <t>06/08</t>
  </si>
  <si>
    <t>TIME OFF / EXCEPTIONS</t>
  </si>
  <si>
    <t>Hours Reduction</t>
  </si>
  <si>
    <t>Reason</t>
  </si>
  <si>
    <t>Good Friday/Easter weekend</t>
  </si>
  <si>
    <t>March Break — no availability</t>
  </si>
  <si>
    <t>School exams — reduced</t>
  </si>
  <si>
    <t>Family trip</t>
  </si>
  <si>
    <t>Vacation week</t>
  </si>
  <si>
    <t>DEMAND vs CAPACITY — PER RESOURCE PER WEEK</t>
  </si>
  <si>
    <t>Week dates →</t>
  </si>
  <si>
    <t>DEMAND (Assigned Hours)</t>
  </si>
  <si>
    <t>CAPACITY (Available Hours)</t>
  </si>
  <si>
    <t>UTILIZATION %</t>
  </si>
  <si>
    <t>OVER-ALLOCATION FLAGS</t>
  </si>
  <si>
    <t>WEEKLY SCHEDULE VIEW</t>
  </si>
  <si>
    <t>Shows total assigned hours per person per week. Red = over capacity.</t>
  </si>
  <si>
    <t>Resource</t>
  </si>
  <si>
    <t>Location</t>
  </si>
  <si>
    <t>PROJECT STATUS VIEW</t>
  </si>
  <si>
    <t>Start</t>
  </si>
  <si>
    <t>End</t>
  </si>
  <si>
    <t>Total Est Hours</t>
  </si>
  <si>
    <t>Assigned Hours</t>
  </si>
  <si>
    <t>Remaining Hours</t>
  </si>
  <si>
    <t>% Staffed</t>
  </si>
  <si>
    <t>Risk Flag</t>
  </si>
  <si>
    <t>LA DIPERIE &amp; LA FAYETTE — SCHEDULING DASHBOARD</t>
  </si>
  <si>
    <t>KPI</t>
  </si>
  <si>
    <t>Total Team Members</t>
  </si>
  <si>
    <t>Total Projects</t>
  </si>
  <si>
    <t>Total Tasks</t>
  </si>
  <si>
    <t>Total Estimated Hours (16 wks)</t>
  </si>
  <si>
    <t>Total Assigned Hours</t>
  </si>
  <si>
    <t>Unassigned Hours</t>
  </si>
  <si>
    <t>Over-Allocated Instances</t>
  </si>
  <si>
    <t>Projects at Risk</t>
  </si>
  <si>
    <t>Planning Horizon</t>
  </si>
  <si>
    <t>CAPACITY vs DEMAND BY WEEK</t>
  </si>
  <si>
    <t>Metric</t>
  </si>
  <si>
    <t>Total Demand</t>
  </si>
  <si>
    <t>Total Capacity</t>
  </si>
  <si>
    <t>Avg Utilization</t>
  </si>
  <si>
    <t>UTILIZATION BANDS (Week 1)</t>
  </si>
  <si>
    <t>Band</t>
  </si>
  <si>
    <t># People</t>
  </si>
  <si>
    <t>&lt; 50%</t>
  </si>
  <si>
    <t>50–70%</t>
  </si>
  <si>
    <t>70–100%</t>
  </si>
  <si>
    <t>&gt; 100% (OVER)</t>
  </si>
  <si>
    <t>DATA QUALITY ISSUES</t>
  </si>
  <si>
    <t>Issue #</t>
  </si>
  <si>
    <t>Source Tab</t>
  </si>
  <si>
    <t>Record ID</t>
  </si>
  <si>
    <t>Issue Type</t>
  </si>
  <si>
    <t>Details</t>
  </si>
  <si>
    <t>ASSIGNMENTS</t>
  </si>
  <si>
    <t>Anis Bouchema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</si>
</sst>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"/>
    <numFmt numFmtId="166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1B3A4B"/>
      <name val="Arial"/>
      <charset val="1"/>
    </font>
    <font>
      <b/>
      <sz val="12"/>
      <color rgb="FF1B3A4B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b/>
      <sz val="10"/>
      <name val="Arial"/>
      <charset val="1"/>
    </font>
    <font>
      <sz val="9"/>
      <color rgb="FF80808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B3A4B"/>
        <bgColor rgb="FF002060"/>
      </patternFill>
    </fill>
    <fill>
      <patternFill patternType="solid">
        <fgColor rgb="FFFFF2CC"/>
        <bgColor rgb="FFFFF3E0"/>
      </patternFill>
    </fill>
    <fill>
      <patternFill patternType="solid">
        <fgColor rgb="FFE2EFDA"/>
        <bgColor rgb="FFE8F0FE"/>
      </patternFill>
    </fill>
    <fill>
      <patternFill patternType="solid">
        <fgColor rgb="FFFFC7CE"/>
        <bgColor rgb="FFE2C2C1"/>
      </patternFill>
    </fill>
    <fill>
      <patternFill patternType="solid">
        <fgColor rgb="FFFBE5D6"/>
        <bgColor rgb="FFFFF2CC"/>
      </patternFill>
    </fill>
    <fill>
      <patternFill patternType="solid">
        <fgColor rgb="FFD6E4F0"/>
        <bgColor rgb="FFE2EFDA"/>
      </patternFill>
    </fill>
    <fill>
      <patternFill patternType="solid">
        <fgColor rgb="FFE8F0FE"/>
        <bgColor rgb="FFF3E5F5"/>
      </patternFill>
    </fill>
    <fill>
      <patternFill patternType="solid">
        <fgColor rgb="FFFFF3E0"/>
        <bgColor rgb="FFFFF2CC"/>
      </patternFill>
    </fill>
    <fill>
      <patternFill patternType="solid">
        <fgColor rgb="FFF3E5F5"/>
        <bgColor rgb="FFE8F0F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164" fontId="5" fillId="3" borderId="1" xfId="0" applyNumberFormat="1" applyFont="1" applyFill="1" applyBorder="1"/>
    <xf numFmtId="0" fontId="5" fillId="3" borderId="1" xfId="0" applyFont="1" applyFill="1" applyBorder="1"/>
    <xf numFmtId="0" fontId="6" fillId="0" borderId="1" xfId="0" applyFont="1" applyBorder="1"/>
    <xf numFmtId="9" fontId="5" fillId="3" borderId="1" xfId="0" applyNumberFormat="1" applyFont="1" applyFill="1" applyBorder="1"/>
    <xf numFmtId="0" fontId="7" fillId="4" borderId="1" xfId="0" applyFont="1" applyFill="1" applyBorder="1"/>
    <xf numFmtId="164" fontId="3" fillId="0" borderId="1" xfId="0" applyNumberFormat="1" applyFont="1" applyBorder="1"/>
    <xf numFmtId="0" fontId="7" fillId="3" borderId="1" xfId="0" applyFont="1" applyFill="1" applyBorder="1"/>
    <xf numFmtId="0" fontId="7" fillId="5" borderId="1" xfId="0" applyFont="1" applyFill="1" applyBorder="1"/>
    <xf numFmtId="0" fontId="7" fillId="6" borderId="1" xfId="0" applyFont="1" applyFill="1" applyBorder="1"/>
    <xf numFmtId="0" fontId="7" fillId="0" borderId="1" xfId="0" applyFont="1" applyBorder="1"/>
    <xf numFmtId="0" fontId="5" fillId="7" borderId="1" xfId="0" applyFont="1" applyFill="1" applyBorder="1"/>
    <xf numFmtId="165" fontId="5" fillId="7" borderId="1" xfId="0" applyNumberFormat="1" applyFont="1" applyFill="1" applyBorder="1"/>
    <xf numFmtId="9" fontId="5" fillId="7" borderId="1" xfId="0" applyNumberFormat="1" applyFont="1" applyFill="1" applyBorder="1"/>
    <xf numFmtId="0" fontId="5" fillId="8" borderId="1" xfId="0" applyFont="1" applyFill="1" applyBorder="1"/>
    <xf numFmtId="165" fontId="5" fillId="8" borderId="1" xfId="0" applyNumberFormat="1" applyFont="1" applyFill="1" applyBorder="1"/>
    <xf numFmtId="9" fontId="5" fillId="8" borderId="1" xfId="0" applyNumberFormat="1" applyFont="1" applyFill="1" applyBorder="1"/>
    <xf numFmtId="0" fontId="5" fillId="9" borderId="1" xfId="0" applyFont="1" applyFill="1" applyBorder="1"/>
    <xf numFmtId="165" fontId="5" fillId="9" borderId="1" xfId="0" applyNumberFormat="1" applyFont="1" applyFill="1" applyBorder="1"/>
    <xf numFmtId="9" fontId="5" fillId="9" borderId="1" xfId="0" applyNumberFormat="1" applyFont="1" applyFill="1" applyBorder="1"/>
    <xf numFmtId="0" fontId="5" fillId="10" borderId="1" xfId="0" applyFont="1" applyFill="1" applyBorder="1"/>
    <xf numFmtId="165" fontId="5" fillId="10" borderId="1" xfId="0" applyNumberFormat="1" applyFont="1" applyFill="1" applyBorder="1"/>
    <xf numFmtId="9" fontId="5" fillId="10" borderId="1" xfId="0" applyNumberFormat="1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164" fontId="5" fillId="8" borderId="1" xfId="0" applyNumberFormat="1" applyFont="1" applyFill="1" applyBorder="1"/>
    <xf numFmtId="164" fontId="5" fillId="9" borderId="1" xfId="0" applyNumberFormat="1" applyFont="1" applyFill="1" applyBorder="1"/>
    <xf numFmtId="9" fontId="6" fillId="0" borderId="1" xfId="0" applyNumberFormat="1" applyFont="1" applyBorder="1"/>
    <xf numFmtId="166" fontId="6" fillId="0" borderId="1" xfId="0" applyNumberFormat="1" applyFont="1" applyBorder="1"/>
    <xf numFmtId="0" fontId="8" fillId="0" borderId="0" xfId="0" applyFont="1"/>
    <xf numFmtId="164" fontId="8" fillId="0" borderId="0" xfId="0" applyNumberFormat="1" applyFont="1"/>
    <xf numFmtId="0" fontId="3" fillId="8" borderId="1" xfId="0" applyFont="1" applyFill="1" applyBorder="1"/>
    <xf numFmtId="164" fontId="3" fillId="8" borderId="1" xfId="0" applyNumberFormat="1" applyFont="1" applyFill="1" applyBorder="1"/>
    <xf numFmtId="0" fontId="6" fillId="8" borderId="1" xfId="0" applyFont="1" applyFill="1" applyBorder="1"/>
    <xf numFmtId="9" fontId="6" fillId="8" borderId="1" xfId="0" applyNumberFormat="1" applyFont="1" applyFill="1" applyBorder="1"/>
    <xf numFmtId="0" fontId="3" fillId="9" borderId="1" xfId="0" applyFont="1" applyFill="1" applyBorder="1"/>
    <xf numFmtId="164" fontId="3" fillId="9" borderId="1" xfId="0" applyNumberFormat="1" applyFont="1" applyFill="1" applyBorder="1"/>
    <xf numFmtId="0" fontId="6" fillId="9" borderId="1" xfId="0" applyFont="1" applyFill="1" applyBorder="1"/>
    <xf numFmtId="9" fontId="6" fillId="9" borderId="1" xfId="0" applyNumberFormat="1" applyFont="1" applyFill="1" applyBorder="1"/>
    <xf numFmtId="3" fontId="6" fillId="0" borderId="1" xfId="0" applyNumberFormat="1" applyFont="1" applyBorder="1"/>
    <xf numFmtId="1" fontId="6" fillId="0" borderId="1" xfId="0" applyNumberFormat="1" applyFont="1" applyBorder="1"/>
  </cellXfs>
  <cellStyles count="1">
    <cellStyle name="Normal" xfId="0" builtinId="0"/>
  </cellStyles>
  <dxfs count="9">
    <dxf>
      <fill>
        <patternFill>
          <bgColor rgb="FFFFC7CE"/>
        </patternFill>
      </fill>
    </dxf>
    <dxf>
      <fill>
        <patternFill>
          <bgColor rgb="FFE2EFDA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BE5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84A04C"/>
      <rgbColor rgb="FF0000FF"/>
      <rgbColor rgb="FFC0D2A3"/>
      <rgbColor rgb="FFD3803B"/>
      <rgbColor rgb="FF7394C4"/>
      <rgbColor rgb="FFC00000"/>
      <rgbColor rgb="FF008000"/>
      <rgbColor rgb="FFF3E5F5"/>
      <rgbColor rgb="FF728A41"/>
      <rgbColor rgb="FF7030A0"/>
      <rgbColor rgb="FF3D6796"/>
      <rgbColor rgb="FFBFBFBF"/>
      <rgbColor rgb="FF808080"/>
      <rgbColor rgb="FFA1B3D3"/>
      <rgbColor rgb="FF8E3B38"/>
      <rgbColor rgb="FFFFF2CC"/>
      <rgbColor rgb="FFE8F0FE"/>
      <rgbColor rgb="FF937FAE"/>
      <rgbColor rgb="FFF7A46E"/>
      <rgbColor rgb="FF2E76B3"/>
      <rgbColor rgb="FFC2CCE1"/>
      <rgbColor rgb="FFF9F9F9"/>
      <rgbColor rgb="FFE2C2C1"/>
      <rgbColor rgb="FFFBE5D6"/>
      <rgbColor rgb="FFA8C378"/>
      <rgbColor rgb="FFC77372"/>
      <rgbColor rgb="FFB66E33"/>
      <rgbColor rgb="FF00B050"/>
      <rgbColor rgb="FFFFC7CE"/>
      <rgbColor rgb="FF4B7BB4"/>
      <rgbColor rgb="FFD6E4F0"/>
      <rgbColor rgb="FFE2EFDA"/>
      <rgbColor rgb="FFFFF3E0"/>
      <rgbColor rgb="FF9FC9D9"/>
      <rgbColor rgb="FFD5A1A0"/>
      <rgbColor rgb="FFB3A7C4"/>
      <rgbColor rgb="FFF9BD9E"/>
      <rgbColor rgb="FF4472C4"/>
      <rgbColor rgb="FF71B6CC"/>
      <rgbColor rgb="FF94B255"/>
      <rgbColor rgb="FFFFC000"/>
      <rgbColor rgb="FFEB8F42"/>
      <rgbColor rgb="FFED7D31"/>
      <rgbColor rgb="FF7A5F9A"/>
      <rgbColor rgb="FF878787"/>
      <rgbColor rgb="FF002060"/>
      <rgbColor rgb="FF449CB3"/>
      <rgbColor rgb="FF548235"/>
      <rgbColor rgb="FF6D558A"/>
      <rgbColor rgb="FFB74C49"/>
      <rgbColor rgb="FFA44441"/>
      <rgbColor rgb="FF5E4977"/>
      <rgbColor rgb="FF1B3A4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Weekly Capacity vs Demand (All Locations)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Demand</c:v>
          </c:tx>
          <c:spPr>
            <a:solidFill>
              <a:srgbClr val="3A5F8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DASHBOARD!$B$17</c:f>
              <c:numCache>
                <c:formatCode>0</c:formatCode>
                <c:ptCount val="1"/>
                <c:pt idx="0">
                  <c:v>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8F-4CF5-B21E-9F5AB0A6E192}"/>
            </c:ext>
          </c:extLst>
        </c:ser>
        <c:ser>
          <c:idx val="1"/>
          <c:order val="1"/>
          <c:tx>
            <c:v>Capacity</c:v>
          </c:tx>
          <c:spPr>
            <a:solidFill>
              <a:srgbClr val="8E3B3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DASHBOARD!$C$17</c:f>
              <c:numCache>
                <c:formatCode>0</c:formatCode>
                <c:ptCount val="1"/>
                <c:pt idx="0">
                  <c:v>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8F-4CF5-B21E-9F5AB0A6E192}"/>
            </c:ext>
          </c:extLst>
        </c:ser>
        <c:ser>
          <c:idx val="2"/>
          <c:order val="2"/>
          <c:spPr>
            <a:solidFill>
              <a:srgbClr val="728A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DASHBOARD!$D$17</c:f>
              <c:numCache>
                <c:formatCode>0</c:formatCode>
                <c:ptCount val="1"/>
                <c:pt idx="0">
                  <c:v>97.9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8F-4CF5-B21E-9F5AB0A6E192}"/>
            </c:ext>
          </c:extLst>
        </c:ser>
        <c:ser>
          <c:idx val="3"/>
          <c:order val="3"/>
          <c:spPr>
            <a:solidFill>
              <a:srgbClr val="5E497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DASHBOARD!$E$17</c:f>
              <c:numCache>
                <c:formatCode>0</c:formatCode>
                <c:ptCount val="1"/>
                <c:pt idx="0">
                  <c:v>99.9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8F-4CF5-B21E-9F5AB0A6E192}"/>
            </c:ext>
          </c:extLst>
        </c:ser>
        <c:ser>
          <c:idx val="4"/>
          <c:order val="4"/>
          <c:spPr>
            <a:solidFill>
              <a:srgbClr val="377F9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DASHBOARD!$F$17</c:f>
              <c:numCache>
                <c:formatCode>0</c:formatCode>
                <c:ptCount val="1"/>
                <c:pt idx="0">
                  <c:v>98.7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8F-4CF5-B21E-9F5AB0A6E192}"/>
            </c:ext>
          </c:extLst>
        </c:ser>
        <c:ser>
          <c:idx val="5"/>
          <c:order val="5"/>
          <c:spPr>
            <a:solidFill>
              <a:srgbClr val="B66E3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DASHBOARD!$G$17</c:f>
              <c:numCache>
                <c:formatCode>0</c:formatCode>
                <c:ptCount val="1"/>
                <c:pt idx="0">
                  <c:v>102.9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68F-4CF5-B21E-9F5AB0A6E192}"/>
            </c:ext>
          </c:extLst>
        </c:ser>
        <c:ser>
          <c:idx val="6"/>
          <c:order val="6"/>
          <c:spPr>
            <a:solidFill>
              <a:srgbClr val="436EA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DASHBOARD!$H$17</c:f>
              <c:numCache>
                <c:formatCode>0</c:formatCode>
                <c:ptCount val="1"/>
                <c:pt idx="0">
                  <c:v>104.4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8F-4CF5-B21E-9F5AB0A6E192}"/>
            </c:ext>
          </c:extLst>
        </c:ser>
        <c:ser>
          <c:idx val="7"/>
          <c:order val="7"/>
          <c:spPr>
            <a:solidFill>
              <a:srgbClr val="A4444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DASHBOARD!$I$17</c:f>
              <c:numCache>
                <c:formatCode>0</c:formatCode>
                <c:ptCount val="1"/>
                <c:pt idx="0">
                  <c:v>100.2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68F-4CF5-B21E-9F5AB0A6E192}"/>
            </c:ext>
          </c:extLst>
        </c:ser>
        <c:ser>
          <c:idx val="8"/>
          <c:order val="8"/>
          <c:spPr>
            <a:solidFill>
              <a:srgbClr val="84A04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DASHBOARD!$J$17</c:f>
              <c:numCache>
                <c:formatCode>0</c:formatCode>
                <c:ptCount val="1"/>
                <c:pt idx="0">
                  <c:v>106.8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8F-4CF5-B21E-9F5AB0A6E192}"/>
            </c:ext>
          </c:extLst>
        </c:ser>
        <c:ser>
          <c:idx val="9"/>
          <c:order val="9"/>
          <c:spPr>
            <a:solidFill>
              <a:srgbClr val="6D558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DASHBOARD!$K$17</c:f>
              <c:numCache>
                <c:formatCode>0</c:formatCode>
                <c:ptCount val="1"/>
                <c:pt idx="0">
                  <c:v>103.8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68F-4CF5-B21E-9F5AB0A6E192}"/>
            </c:ext>
          </c:extLst>
        </c:ser>
        <c:ser>
          <c:idx val="10"/>
          <c:order val="10"/>
          <c:spPr>
            <a:solidFill>
              <a:srgbClr val="4093A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DASHBOARD!$L$17</c:f>
              <c:numCache>
                <c:formatCode>0</c:formatCode>
                <c:ptCount val="1"/>
                <c:pt idx="0">
                  <c:v>98.3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68F-4CF5-B21E-9F5AB0A6E192}"/>
            </c:ext>
          </c:extLst>
        </c:ser>
        <c:ser>
          <c:idx val="11"/>
          <c:order val="11"/>
          <c:spPr>
            <a:solidFill>
              <a:srgbClr val="D3803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DASHBOARD!$M$17</c:f>
              <c:numCache>
                <c:formatCode>0</c:formatCode>
                <c:ptCount val="1"/>
                <c:pt idx="0">
                  <c:v>93.1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68F-4CF5-B21E-9F5AB0A6E192}"/>
            </c:ext>
          </c:extLst>
        </c:ser>
        <c:ser>
          <c:idx val="12"/>
          <c:order val="12"/>
          <c:spPr>
            <a:solidFill>
              <a:srgbClr val="4B7BB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DASHBOARD!$N$17</c:f>
              <c:numCache>
                <c:formatCode>0</c:formatCode>
                <c:ptCount val="1"/>
                <c:pt idx="0">
                  <c:v>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68F-4CF5-B21E-9F5AB0A6E192}"/>
            </c:ext>
          </c:extLst>
        </c:ser>
        <c:ser>
          <c:idx val="13"/>
          <c:order val="13"/>
          <c:spPr>
            <a:solidFill>
              <a:srgbClr val="B74C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DASHBOARD!$O$17</c:f>
              <c:numCache>
                <c:formatCode>0</c:formatCode>
                <c:ptCount val="1"/>
                <c:pt idx="0">
                  <c:v>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68F-4CF5-B21E-9F5AB0A6E192}"/>
            </c:ext>
          </c:extLst>
        </c:ser>
        <c:ser>
          <c:idx val="14"/>
          <c:order val="14"/>
          <c:spPr>
            <a:solidFill>
              <a:srgbClr val="94B25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DASHBOARD!$P$17</c:f>
              <c:numCache>
                <c:formatCode>0</c:formatCode>
                <c:ptCount val="1"/>
                <c:pt idx="0">
                  <c:v>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68F-4CF5-B21E-9F5AB0A6E192}"/>
            </c:ext>
          </c:extLst>
        </c:ser>
        <c:ser>
          <c:idx val="15"/>
          <c:order val="15"/>
          <c:spPr>
            <a:solidFill>
              <a:srgbClr val="7A5F9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DASHBOARD!$Q$17</c:f>
              <c:numCache>
                <c:formatCode>0</c:formatCode>
                <c:ptCount val="1"/>
                <c:pt idx="0">
                  <c:v>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168F-4CF5-B21E-9F5AB0A6E192}"/>
            </c:ext>
          </c:extLst>
        </c:ser>
        <c:ser>
          <c:idx val="16"/>
          <c:order val="16"/>
          <c:spPr>
            <a:solidFill>
              <a:srgbClr val="47A4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DASHBOARD!$B$18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68F-4CF5-B21E-9F5AB0A6E192}"/>
            </c:ext>
          </c:extLst>
        </c:ser>
        <c:ser>
          <c:idx val="17"/>
          <c:order val="17"/>
          <c:spPr>
            <a:solidFill>
              <a:srgbClr val="EB8F4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DASHBOARD!$C$18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168F-4CF5-B21E-9F5AB0A6E192}"/>
            </c:ext>
          </c:extLst>
        </c:ser>
        <c:ser>
          <c:idx val="18"/>
          <c:order val="18"/>
          <c:spPr>
            <a:solidFill>
              <a:srgbClr val="7394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DASHBOARD!$D$18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168F-4CF5-B21E-9F5AB0A6E192}"/>
            </c:ext>
          </c:extLst>
        </c:ser>
        <c:ser>
          <c:idx val="19"/>
          <c:order val="19"/>
          <c:spPr>
            <a:solidFill>
              <a:srgbClr val="C7737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DASHBOARD!$E$18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68F-4CF5-B21E-9F5AB0A6E192}"/>
            </c:ext>
          </c:extLst>
        </c:ser>
        <c:ser>
          <c:idx val="20"/>
          <c:order val="20"/>
          <c:spPr>
            <a:solidFill>
              <a:srgbClr val="A8C37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DASHBOARD!$F$18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68F-4CF5-B21E-9F5AB0A6E192}"/>
            </c:ext>
          </c:extLst>
        </c:ser>
        <c:ser>
          <c:idx val="21"/>
          <c:order val="21"/>
          <c:spPr>
            <a:solidFill>
              <a:srgbClr val="937FA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DASHBOARD!$G$18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168F-4CF5-B21E-9F5AB0A6E192}"/>
            </c:ext>
          </c:extLst>
        </c:ser>
        <c:ser>
          <c:idx val="22"/>
          <c:order val="22"/>
          <c:spPr>
            <a:solidFill>
              <a:srgbClr val="71B6C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DASHBOARD!$H$18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68F-4CF5-B21E-9F5AB0A6E192}"/>
            </c:ext>
          </c:extLst>
        </c:ser>
        <c:ser>
          <c:idx val="23"/>
          <c:order val="23"/>
          <c:spPr>
            <a:solidFill>
              <a:srgbClr val="F7A46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DASHBOARD!$I$18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168F-4CF5-B21E-9F5AB0A6E192}"/>
            </c:ext>
          </c:extLst>
        </c:ser>
        <c:ser>
          <c:idx val="24"/>
          <c:order val="24"/>
          <c:spPr>
            <a:solidFill>
              <a:srgbClr val="A1B3D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DASHBOARD!$J$18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68F-4CF5-B21E-9F5AB0A6E192}"/>
            </c:ext>
          </c:extLst>
        </c:ser>
        <c:ser>
          <c:idx val="25"/>
          <c:order val="25"/>
          <c:spPr>
            <a:solidFill>
              <a:srgbClr val="D5A1A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DASHBOARD!$K$18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168F-4CF5-B21E-9F5AB0A6E192}"/>
            </c:ext>
          </c:extLst>
        </c:ser>
        <c:ser>
          <c:idx val="26"/>
          <c:order val="26"/>
          <c:spPr>
            <a:solidFill>
              <a:srgbClr val="C0D2A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DASHBOARD!$L$18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68F-4CF5-B21E-9F5AB0A6E192}"/>
            </c:ext>
          </c:extLst>
        </c:ser>
        <c:ser>
          <c:idx val="27"/>
          <c:order val="27"/>
          <c:spPr>
            <a:solidFill>
              <a:srgbClr val="B3A7C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DASHBOARD!$M$18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168F-4CF5-B21E-9F5AB0A6E192}"/>
            </c:ext>
          </c:extLst>
        </c:ser>
        <c:ser>
          <c:idx val="28"/>
          <c:order val="28"/>
          <c:spPr>
            <a:solidFill>
              <a:srgbClr val="9FC9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DASHBOARD!$N$18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168F-4CF5-B21E-9F5AB0A6E192}"/>
            </c:ext>
          </c:extLst>
        </c:ser>
        <c:ser>
          <c:idx val="29"/>
          <c:order val="29"/>
          <c:spPr>
            <a:solidFill>
              <a:srgbClr val="F9BD9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DASHBOARD!$O$18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168F-4CF5-B21E-9F5AB0A6E192}"/>
            </c:ext>
          </c:extLst>
        </c:ser>
        <c:ser>
          <c:idx val="30"/>
          <c:order val="30"/>
          <c:spPr>
            <a:solidFill>
              <a:srgbClr val="C2CCE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DASHBOARD!$P$18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68F-4CF5-B21E-9F5AB0A6E192}"/>
            </c:ext>
          </c:extLst>
        </c:ser>
        <c:ser>
          <c:idx val="31"/>
          <c:order val="31"/>
          <c:spPr>
            <a:solidFill>
              <a:srgbClr val="E2C2C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DASHBOARD!$B$16:$Q$16</c:f>
              <c:strCache>
                <c:ptCount val="16"/>
                <c:pt idx="0">
                  <c:v>02/23</c:v>
                </c:pt>
                <c:pt idx="1">
                  <c:v>03/02</c:v>
                </c:pt>
                <c:pt idx="2">
                  <c:v>03/09</c:v>
                </c:pt>
                <c:pt idx="3">
                  <c:v>03/16</c:v>
                </c:pt>
                <c:pt idx="4">
                  <c:v>03/23</c:v>
                </c:pt>
                <c:pt idx="5">
                  <c:v>03/30</c:v>
                </c:pt>
                <c:pt idx="6">
                  <c:v>04/06</c:v>
                </c:pt>
                <c:pt idx="7">
                  <c:v>04/13</c:v>
                </c:pt>
                <c:pt idx="8">
                  <c:v>04/20</c:v>
                </c:pt>
                <c:pt idx="9">
                  <c:v>04/27</c:v>
                </c:pt>
                <c:pt idx="10">
                  <c:v>05/04</c:v>
                </c:pt>
                <c:pt idx="11">
                  <c:v>05/11</c:v>
                </c:pt>
                <c:pt idx="12">
                  <c:v>05/18</c:v>
                </c:pt>
                <c:pt idx="13">
                  <c:v>05/25</c:v>
                </c:pt>
                <c:pt idx="14">
                  <c:v>06/01</c:v>
                </c:pt>
                <c:pt idx="15">
                  <c:v>06/08</c:v>
                </c:pt>
              </c:strCache>
            </c:strRef>
          </c:cat>
          <c:val>
            <c:numRef>
              <c:f>DASHBOARD!$Q$18</c:f>
              <c:numCache>
                <c:formatCode>0</c:formatCode>
                <c:ptCount val="1"/>
                <c:pt idx="0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168F-4CF5-B21E-9F5AB0A6E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572530"/>
        <c:axId val="86184409"/>
      </c:barChart>
      <c:catAx>
        <c:axId val="7857253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184409"/>
        <c:crosses val="autoZero"/>
        <c:auto val="1"/>
        <c:lblAlgn val="ctr"/>
        <c:lblOffset val="100"/>
        <c:noMultiLvlLbl val="0"/>
      </c:catAx>
      <c:valAx>
        <c:axId val="861844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5725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160920</xdr:rowOff>
    </xdr:from>
    <xdr:to>
      <xdr:col>14</xdr:col>
      <xdr:colOff>493200</xdr:colOff>
      <xdr:row>47</xdr:row>
      <xdr:rowOff>56520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4B"/>
  </sheetPr>
  <dimension ref="A1:A33"/>
  <sheetViews>
    <sheetView showGridLines="0" zoomScaleNormal="100" workbookViewId="0"/>
  </sheetViews>
  <sheetFormatPr defaultColWidth="8.6640625" defaultRowHeight="14.4" x14ac:dyDescent="0.3"/>
  <cols>
    <col min="1" max="1" width="95" customWidth="1"/>
  </cols>
  <sheetData>
    <row r="1" spans="1:1" ht="17.25" customHeight="1" x14ac:dyDescent="0.3">
      <c r="A1" s="1" t="s">
        <v>0</v>
      </c>
    </row>
    <row r="3" spans="1:1" ht="15" customHeight="1" x14ac:dyDescent="0.3">
      <c r="A3" s="2" t="s">
        <v>1</v>
      </c>
    </row>
    <row r="4" spans="1:1" ht="15" customHeight="1" x14ac:dyDescent="0.3">
      <c r="A4" s="3" t="s">
        <v>2</v>
      </c>
    </row>
    <row r="5" spans="1:1" ht="15" customHeight="1" x14ac:dyDescent="0.3">
      <c r="A5" s="3" t="s">
        <v>3</v>
      </c>
    </row>
    <row r="6" spans="1:1" ht="15" customHeight="1" x14ac:dyDescent="0.3">
      <c r="A6" s="3" t="s">
        <v>4</v>
      </c>
    </row>
    <row r="8" spans="1:1" ht="15" customHeight="1" x14ac:dyDescent="0.3">
      <c r="A8" s="2" t="s">
        <v>5</v>
      </c>
    </row>
    <row r="9" spans="1:1" ht="15" customHeight="1" x14ac:dyDescent="0.3">
      <c r="A9" s="3" t="s">
        <v>6</v>
      </c>
    </row>
    <row r="10" spans="1:1" ht="15" customHeight="1" x14ac:dyDescent="0.3">
      <c r="A10" s="3" t="s">
        <v>7</v>
      </c>
    </row>
    <row r="11" spans="1:1" ht="15" customHeight="1" x14ac:dyDescent="0.3">
      <c r="A11" s="3" t="s">
        <v>8</v>
      </c>
    </row>
    <row r="13" spans="1:1" ht="15" customHeight="1" x14ac:dyDescent="0.3">
      <c r="A13" s="3" t="s">
        <v>9</v>
      </c>
    </row>
    <row r="15" spans="1:1" ht="15" customHeight="1" x14ac:dyDescent="0.3">
      <c r="A15" s="2" t="s">
        <v>10</v>
      </c>
    </row>
    <row r="16" spans="1:1" ht="15" customHeight="1" x14ac:dyDescent="0.3">
      <c r="A16" s="3" t="s">
        <v>11</v>
      </c>
    </row>
    <row r="17" spans="1:1" ht="15" customHeight="1" x14ac:dyDescent="0.3">
      <c r="A17" s="3" t="s">
        <v>12</v>
      </c>
    </row>
    <row r="18" spans="1:1" ht="15" customHeight="1" x14ac:dyDescent="0.3">
      <c r="A18" s="3" t="s">
        <v>13</v>
      </c>
    </row>
    <row r="19" spans="1:1" ht="15" customHeight="1" x14ac:dyDescent="0.3">
      <c r="A19" s="3" t="s">
        <v>14</v>
      </c>
    </row>
    <row r="20" spans="1:1" ht="15" customHeight="1" x14ac:dyDescent="0.3">
      <c r="A20" s="3" t="s">
        <v>15</v>
      </c>
    </row>
    <row r="21" spans="1:1" ht="15" customHeight="1" x14ac:dyDescent="0.3">
      <c r="A21" s="3" t="s">
        <v>16</v>
      </c>
    </row>
    <row r="23" spans="1:1" ht="15" customHeight="1" x14ac:dyDescent="0.3">
      <c r="A23" s="2" t="s">
        <v>17</v>
      </c>
    </row>
    <row r="24" spans="1:1" ht="15" customHeight="1" x14ac:dyDescent="0.3">
      <c r="A24" s="3" t="s">
        <v>18</v>
      </c>
    </row>
    <row r="25" spans="1:1" ht="15" customHeight="1" x14ac:dyDescent="0.3">
      <c r="A25" s="3" t="s">
        <v>19</v>
      </c>
    </row>
    <row r="26" spans="1:1" ht="15" customHeight="1" x14ac:dyDescent="0.3">
      <c r="A26" s="3" t="s">
        <v>20</v>
      </c>
    </row>
    <row r="27" spans="1:1" ht="15" customHeight="1" x14ac:dyDescent="0.3">
      <c r="A27" s="3" t="s">
        <v>21</v>
      </c>
    </row>
    <row r="28" spans="1:1" ht="15" customHeight="1" x14ac:dyDescent="0.3">
      <c r="A28" s="3" t="s">
        <v>22</v>
      </c>
    </row>
    <row r="30" spans="1:1" ht="15" customHeight="1" x14ac:dyDescent="0.3">
      <c r="A30" s="2" t="s">
        <v>23</v>
      </c>
    </row>
    <row r="31" spans="1:1" ht="15" customHeight="1" x14ac:dyDescent="0.3">
      <c r="A31" s="3" t="s">
        <v>24</v>
      </c>
    </row>
    <row r="32" spans="1:1" ht="15" customHeight="1" x14ac:dyDescent="0.3">
      <c r="A32" s="3" t="s">
        <v>25</v>
      </c>
    </row>
    <row r="33" spans="1:1" ht="15" customHeight="1" x14ac:dyDescent="0.3">
      <c r="A33" s="3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30"/>
  <sheetViews>
    <sheetView zoomScaleNormal="100" workbookViewId="0"/>
  </sheetViews>
  <sheetFormatPr defaultColWidth="8.6640625" defaultRowHeight="14.4" x14ac:dyDescent="0.3"/>
  <cols>
    <col min="1" max="1" width="35" customWidth="1"/>
    <col min="2" max="2" width="18" customWidth="1"/>
    <col min="3" max="3" width="42" customWidth="1"/>
    <col min="5" max="5" width="14" customWidth="1"/>
    <col min="6" max="6" width="38" customWidth="1"/>
  </cols>
  <sheetData>
    <row r="1" spans="1:6" ht="17.25" customHeight="1" x14ac:dyDescent="0.3">
      <c r="A1" s="1" t="s">
        <v>27</v>
      </c>
    </row>
    <row r="2" spans="1:6" ht="15" customHeight="1" x14ac:dyDescent="0.3">
      <c r="A2" s="4" t="s">
        <v>28</v>
      </c>
      <c r="B2" s="4" t="s">
        <v>29</v>
      </c>
      <c r="C2" s="4" t="s">
        <v>30</v>
      </c>
    </row>
    <row r="3" spans="1:6" ht="15" customHeight="1" x14ac:dyDescent="0.3">
      <c r="A3" s="5" t="s">
        <v>31</v>
      </c>
      <c r="B3" s="6">
        <v>46076</v>
      </c>
      <c r="C3" s="5" t="s">
        <v>32</v>
      </c>
    </row>
    <row r="4" spans="1:6" ht="15" customHeight="1" x14ac:dyDescent="0.3">
      <c r="A4" s="5" t="s">
        <v>33</v>
      </c>
      <c r="B4" s="7">
        <v>16</v>
      </c>
      <c r="C4" s="5" t="s">
        <v>34</v>
      </c>
    </row>
    <row r="5" spans="1:6" ht="15" customHeight="1" x14ac:dyDescent="0.3">
      <c r="A5" s="5" t="s">
        <v>35</v>
      </c>
      <c r="B5" s="7">
        <v>7</v>
      </c>
      <c r="C5" s="5" t="s">
        <v>36</v>
      </c>
    </row>
    <row r="6" spans="1:6" ht="15" customHeight="1" x14ac:dyDescent="0.3">
      <c r="A6" s="5" t="s">
        <v>37</v>
      </c>
      <c r="B6" s="7">
        <v>8</v>
      </c>
      <c r="C6" s="5" t="s">
        <v>38</v>
      </c>
    </row>
    <row r="7" spans="1:6" ht="15" customHeight="1" x14ac:dyDescent="0.3">
      <c r="A7" s="5" t="s">
        <v>39</v>
      </c>
      <c r="B7" s="8">
        <f>B5*B6</f>
        <v>56</v>
      </c>
      <c r="C7" s="5" t="s">
        <v>40</v>
      </c>
    </row>
    <row r="8" spans="1:6" ht="15" customHeight="1" x14ac:dyDescent="0.3">
      <c r="A8" s="5" t="s">
        <v>41</v>
      </c>
      <c r="B8" s="7" t="s">
        <v>42</v>
      </c>
      <c r="C8" s="5" t="s">
        <v>43</v>
      </c>
    </row>
    <row r="9" spans="1:6" ht="15" customHeight="1" x14ac:dyDescent="0.3">
      <c r="A9" s="5" t="s">
        <v>44</v>
      </c>
      <c r="B9" s="9">
        <v>0.2</v>
      </c>
      <c r="C9" s="5" t="s">
        <v>45</v>
      </c>
    </row>
    <row r="10" spans="1:6" ht="15" customHeight="1" x14ac:dyDescent="0.3">
      <c r="A10" s="5" t="s">
        <v>46</v>
      </c>
      <c r="B10" s="9">
        <v>0.85</v>
      </c>
      <c r="C10" s="5" t="s">
        <v>47</v>
      </c>
    </row>
    <row r="13" spans="1:6" ht="15" customHeight="1" x14ac:dyDescent="0.3">
      <c r="A13" s="2" t="s">
        <v>48</v>
      </c>
      <c r="E13" s="2" t="s">
        <v>49</v>
      </c>
    </row>
    <row r="14" spans="1:6" ht="15" customHeight="1" x14ac:dyDescent="0.3">
      <c r="A14" s="4" t="s">
        <v>50</v>
      </c>
      <c r="B14" s="4" t="s">
        <v>51</v>
      </c>
      <c r="C14" s="4" t="s">
        <v>52</v>
      </c>
      <c r="E14" s="10" t="s">
        <v>53</v>
      </c>
      <c r="F14" s="5" t="s">
        <v>54</v>
      </c>
    </row>
    <row r="15" spans="1:6" ht="15" customHeight="1" x14ac:dyDescent="0.3">
      <c r="A15" s="5">
        <v>1</v>
      </c>
      <c r="B15" s="11">
        <v>46076</v>
      </c>
      <c r="C15" s="11">
        <v>46082</v>
      </c>
      <c r="E15" s="12" t="s">
        <v>55</v>
      </c>
      <c r="F15" s="5" t="s">
        <v>56</v>
      </c>
    </row>
    <row r="16" spans="1:6" ht="15" customHeight="1" x14ac:dyDescent="0.3">
      <c r="A16" s="5">
        <v>2</v>
      </c>
      <c r="B16" s="11">
        <v>46083</v>
      </c>
      <c r="C16" s="11">
        <v>46089</v>
      </c>
      <c r="E16" s="13" t="s">
        <v>57</v>
      </c>
      <c r="F16" s="5" t="s">
        <v>58</v>
      </c>
    </row>
    <row r="17" spans="1:6" ht="15" customHeight="1" x14ac:dyDescent="0.3">
      <c r="A17" s="5">
        <v>3</v>
      </c>
      <c r="B17" s="11">
        <v>46090</v>
      </c>
      <c r="C17" s="11">
        <v>46096</v>
      </c>
      <c r="E17" s="14" t="s">
        <v>59</v>
      </c>
      <c r="F17" s="5" t="s">
        <v>60</v>
      </c>
    </row>
    <row r="18" spans="1:6" ht="15" customHeight="1" x14ac:dyDescent="0.3">
      <c r="A18" s="5">
        <v>4</v>
      </c>
      <c r="B18" s="11">
        <v>46097</v>
      </c>
      <c r="C18" s="11">
        <v>46103</v>
      </c>
      <c r="E18" s="15" t="s">
        <v>61</v>
      </c>
      <c r="F18" s="5" t="s">
        <v>62</v>
      </c>
    </row>
    <row r="19" spans="1:6" ht="15" customHeight="1" x14ac:dyDescent="0.3">
      <c r="A19" s="5">
        <v>5</v>
      </c>
      <c r="B19" s="11">
        <v>46104</v>
      </c>
      <c r="C19" s="11">
        <v>46110</v>
      </c>
      <c r="E19" s="15" t="s">
        <v>63</v>
      </c>
      <c r="F19" s="5" t="s">
        <v>64</v>
      </c>
    </row>
    <row r="20" spans="1:6" ht="15" customHeight="1" x14ac:dyDescent="0.3">
      <c r="A20" s="5">
        <v>6</v>
      </c>
      <c r="B20" s="11">
        <v>46111</v>
      </c>
      <c r="C20" s="11">
        <v>46117</v>
      </c>
    </row>
    <row r="21" spans="1:6" ht="15" customHeight="1" x14ac:dyDescent="0.3">
      <c r="A21" s="5">
        <v>7</v>
      </c>
      <c r="B21" s="11">
        <v>46118</v>
      </c>
      <c r="C21" s="11">
        <v>46124</v>
      </c>
    </row>
    <row r="22" spans="1:6" ht="15" customHeight="1" x14ac:dyDescent="0.3">
      <c r="A22" s="5">
        <v>8</v>
      </c>
      <c r="B22" s="11">
        <v>46125</v>
      </c>
      <c r="C22" s="11">
        <v>46131</v>
      </c>
    </row>
    <row r="23" spans="1:6" ht="15" customHeight="1" x14ac:dyDescent="0.3">
      <c r="A23" s="5">
        <v>9</v>
      </c>
      <c r="B23" s="11">
        <v>46132</v>
      </c>
      <c r="C23" s="11">
        <v>46138</v>
      </c>
    </row>
    <row r="24" spans="1:6" ht="15" customHeight="1" x14ac:dyDescent="0.3">
      <c r="A24" s="5">
        <v>10</v>
      </c>
      <c r="B24" s="11">
        <v>46139</v>
      </c>
      <c r="C24" s="11">
        <v>46145</v>
      </c>
    </row>
    <row r="25" spans="1:6" ht="15" customHeight="1" x14ac:dyDescent="0.3">
      <c r="A25" s="5">
        <v>11</v>
      </c>
      <c r="B25" s="11">
        <v>46146</v>
      </c>
      <c r="C25" s="11">
        <v>46152</v>
      </c>
    </row>
    <row r="26" spans="1:6" ht="15" customHeight="1" x14ac:dyDescent="0.3">
      <c r="A26" s="5">
        <v>12</v>
      </c>
      <c r="B26" s="11">
        <v>46153</v>
      </c>
      <c r="C26" s="11">
        <v>46159</v>
      </c>
    </row>
    <row r="27" spans="1:6" ht="15" customHeight="1" x14ac:dyDescent="0.3">
      <c r="A27" s="5">
        <v>13</v>
      </c>
      <c r="B27" s="11">
        <v>46160</v>
      </c>
      <c r="C27" s="11">
        <v>46166</v>
      </c>
    </row>
    <row r="28" spans="1:6" ht="15" customHeight="1" x14ac:dyDescent="0.3">
      <c r="A28" s="5">
        <v>14</v>
      </c>
      <c r="B28" s="11">
        <v>46167</v>
      </c>
      <c r="C28" s="11">
        <v>46173</v>
      </c>
    </row>
    <row r="29" spans="1:6" ht="15" customHeight="1" x14ac:dyDescent="0.3">
      <c r="A29" s="5">
        <v>15</v>
      </c>
      <c r="B29" s="11">
        <v>46174</v>
      </c>
      <c r="C29" s="11">
        <v>46180</v>
      </c>
    </row>
    <row r="30" spans="1:6" ht="15" customHeight="1" x14ac:dyDescent="0.3">
      <c r="A30" s="5">
        <v>16</v>
      </c>
      <c r="B30" s="11">
        <v>46181</v>
      </c>
      <c r="C30" s="11">
        <v>46187</v>
      </c>
    </row>
  </sheetData>
  <dataValidations count="1">
    <dataValidation type="list" sqref="B8" xr:uid="{00000000-0002-0000-0100-000000000000}">
      <formula1>"ON,OFF"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8"/>
  <sheetViews>
    <sheetView zoomScaleNormal="100" workbookViewId="0">
      <pane ySplit="1" topLeftCell="A2" activePane="bottomLeft" state="frozen"/>
      <selection pane="bottomLeft" activeCell="B8" sqref="B8"/>
    </sheetView>
  </sheetViews>
  <sheetFormatPr defaultColWidth="8.6640625" defaultRowHeight="14.4" x14ac:dyDescent="0.3"/>
  <cols>
    <col min="1" max="1" width="12" customWidth="1"/>
    <col min="2" max="3" width="18" customWidth="1"/>
    <col min="4" max="4" width="45" customWidth="1"/>
    <col min="5" max="5" width="28" customWidth="1"/>
    <col min="6" max="6" width="12" customWidth="1"/>
    <col min="7" max="8" width="14" customWidth="1"/>
    <col min="9" max="9" width="42" customWidth="1"/>
  </cols>
  <sheetData>
    <row r="1" spans="1:9" ht="15" customHeight="1" x14ac:dyDescent="0.3">
      <c r="A1" s="4" t="s">
        <v>65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4" t="s">
        <v>71</v>
      </c>
      <c r="H1" s="4" t="s">
        <v>72</v>
      </c>
      <c r="I1" s="4" t="s">
        <v>73</v>
      </c>
    </row>
    <row r="2" spans="1:9" ht="15" customHeight="1" x14ac:dyDescent="0.3">
      <c r="A2" s="16" t="s">
        <v>74</v>
      </c>
      <c r="B2" s="16" t="s">
        <v>549</v>
      </c>
      <c r="C2" s="16" t="s">
        <v>75</v>
      </c>
      <c r="D2" s="16" t="s">
        <v>76</v>
      </c>
      <c r="E2" s="16" t="s">
        <v>77</v>
      </c>
      <c r="F2" s="17">
        <v>0</v>
      </c>
      <c r="G2" s="16">
        <v>50</v>
      </c>
      <c r="H2" s="18">
        <v>1</v>
      </c>
      <c r="I2" s="16" t="s">
        <v>78</v>
      </c>
    </row>
    <row r="3" spans="1:9" ht="15" customHeight="1" x14ac:dyDescent="0.3">
      <c r="A3" s="19" t="s">
        <v>79</v>
      </c>
      <c r="B3" s="19" t="s">
        <v>80</v>
      </c>
      <c r="C3" s="19" t="s">
        <v>81</v>
      </c>
      <c r="D3" s="19" t="s">
        <v>82</v>
      </c>
      <c r="E3" s="19" t="s">
        <v>83</v>
      </c>
      <c r="F3" s="20">
        <v>19</v>
      </c>
      <c r="G3" s="19">
        <v>35</v>
      </c>
      <c r="H3" s="21">
        <v>1</v>
      </c>
      <c r="I3" s="19" t="s">
        <v>84</v>
      </c>
    </row>
    <row r="4" spans="1:9" ht="15" customHeight="1" x14ac:dyDescent="0.3">
      <c r="A4" s="22" t="s">
        <v>85</v>
      </c>
      <c r="B4" s="22" t="s">
        <v>86</v>
      </c>
      <c r="C4" s="22" t="s">
        <v>81</v>
      </c>
      <c r="D4" s="22" t="s">
        <v>87</v>
      </c>
      <c r="E4" s="22" t="s">
        <v>88</v>
      </c>
      <c r="F4" s="23">
        <v>19</v>
      </c>
      <c r="G4" s="22">
        <v>35</v>
      </c>
      <c r="H4" s="24">
        <v>1</v>
      </c>
      <c r="I4" s="22" t="s">
        <v>89</v>
      </c>
    </row>
    <row r="5" spans="1:9" ht="15" customHeight="1" x14ac:dyDescent="0.3">
      <c r="A5" s="19" t="s">
        <v>90</v>
      </c>
      <c r="B5" s="19" t="s">
        <v>91</v>
      </c>
      <c r="C5" s="19" t="s">
        <v>92</v>
      </c>
      <c r="D5" s="19" t="s">
        <v>93</v>
      </c>
      <c r="E5" s="19" t="s">
        <v>83</v>
      </c>
      <c r="F5" s="20">
        <v>17</v>
      </c>
      <c r="G5" s="19">
        <v>25</v>
      </c>
      <c r="H5" s="21">
        <v>1</v>
      </c>
      <c r="I5" s="19" t="s">
        <v>94</v>
      </c>
    </row>
    <row r="6" spans="1:9" ht="15" customHeight="1" x14ac:dyDescent="0.3">
      <c r="A6" s="22" t="s">
        <v>95</v>
      </c>
      <c r="B6" s="22" t="s">
        <v>96</v>
      </c>
      <c r="C6" s="22" t="s">
        <v>92</v>
      </c>
      <c r="D6" s="22" t="s">
        <v>97</v>
      </c>
      <c r="E6" s="22" t="s">
        <v>88</v>
      </c>
      <c r="F6" s="23">
        <v>17</v>
      </c>
      <c r="G6" s="22">
        <v>28</v>
      </c>
      <c r="H6" s="24">
        <v>1</v>
      </c>
      <c r="I6" s="22" t="s">
        <v>98</v>
      </c>
    </row>
    <row r="7" spans="1:9" ht="15" customHeight="1" x14ac:dyDescent="0.3">
      <c r="A7" s="19" t="s">
        <v>99</v>
      </c>
      <c r="B7" s="19" t="s">
        <v>100</v>
      </c>
      <c r="C7" s="19" t="s">
        <v>92</v>
      </c>
      <c r="D7" s="19" t="s">
        <v>101</v>
      </c>
      <c r="E7" s="19" t="s">
        <v>83</v>
      </c>
      <c r="F7" s="20">
        <v>16.5</v>
      </c>
      <c r="G7" s="19">
        <v>20</v>
      </c>
      <c r="H7" s="21">
        <v>1</v>
      </c>
      <c r="I7" s="19" t="s">
        <v>102</v>
      </c>
    </row>
    <row r="8" spans="1:9" ht="15" customHeight="1" x14ac:dyDescent="0.3">
      <c r="A8" s="25" t="s">
        <v>103</v>
      </c>
      <c r="B8" s="25" t="s">
        <v>104</v>
      </c>
      <c r="C8" s="25" t="s">
        <v>105</v>
      </c>
      <c r="D8" s="25" t="s">
        <v>106</v>
      </c>
      <c r="E8" s="25" t="s">
        <v>107</v>
      </c>
      <c r="F8" s="26">
        <v>17</v>
      </c>
      <c r="G8" s="25">
        <v>25</v>
      </c>
      <c r="H8" s="27">
        <v>0.8</v>
      </c>
      <c r="I8" s="25" t="s">
        <v>108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H8"/>
  <sheetViews>
    <sheetView zoomScaleNormal="100" workbookViewId="0">
      <pane ySplit="1" topLeftCell="A2" activePane="bottomLeft" state="frozen"/>
      <selection pane="bottomLeft" activeCell="G8" sqref="G8"/>
    </sheetView>
  </sheetViews>
  <sheetFormatPr defaultColWidth="8.6640625" defaultRowHeight="14.4" x14ac:dyDescent="0.3"/>
  <cols>
    <col min="1" max="1" width="12" customWidth="1"/>
    <col min="2" max="2" width="30" customWidth="1"/>
    <col min="3" max="3" width="10" customWidth="1"/>
    <col min="4" max="6" width="14" customWidth="1"/>
    <col min="7" max="7" width="18" customWidth="1"/>
    <col min="8" max="8" width="52" customWidth="1"/>
  </cols>
  <sheetData>
    <row r="1" spans="1:8" ht="15" customHeight="1" x14ac:dyDescent="0.3">
      <c r="A1" s="4" t="s">
        <v>109</v>
      </c>
      <c r="B1" s="4" t="s">
        <v>110</v>
      </c>
      <c r="C1" s="4" t="s">
        <v>111</v>
      </c>
      <c r="D1" s="4" t="s">
        <v>112</v>
      </c>
      <c r="E1" s="4" t="s">
        <v>113</v>
      </c>
      <c r="F1" s="4" t="s">
        <v>114</v>
      </c>
      <c r="G1" s="4" t="s">
        <v>115</v>
      </c>
      <c r="H1" s="4" t="s">
        <v>73</v>
      </c>
    </row>
    <row r="2" spans="1:8" ht="15" customHeight="1" x14ac:dyDescent="0.3">
      <c r="A2" s="28" t="s">
        <v>116</v>
      </c>
      <c r="B2" s="28" t="s">
        <v>117</v>
      </c>
      <c r="C2" s="28">
        <v>1</v>
      </c>
      <c r="D2" s="29">
        <v>46083</v>
      </c>
      <c r="E2" s="29">
        <v>46143</v>
      </c>
      <c r="F2" s="28" t="s">
        <v>118</v>
      </c>
      <c r="G2" s="28" t="s">
        <v>549</v>
      </c>
      <c r="H2" s="28" t="s">
        <v>119</v>
      </c>
    </row>
    <row r="3" spans="1:8" ht="15" customHeight="1" x14ac:dyDescent="0.3">
      <c r="A3" s="28" t="s">
        <v>120</v>
      </c>
      <c r="B3" s="28" t="s">
        <v>121</v>
      </c>
      <c r="C3" s="28">
        <v>1</v>
      </c>
      <c r="D3" s="29">
        <v>46090</v>
      </c>
      <c r="E3" s="29">
        <v>46157</v>
      </c>
      <c r="F3" s="28" t="s">
        <v>118</v>
      </c>
      <c r="G3" s="28" t="s">
        <v>549</v>
      </c>
      <c r="H3" s="28" t="s">
        <v>122</v>
      </c>
    </row>
    <row r="4" spans="1:8" ht="15" customHeight="1" x14ac:dyDescent="0.3">
      <c r="A4" s="19" t="s">
        <v>123</v>
      </c>
      <c r="B4" s="19" t="s">
        <v>124</v>
      </c>
      <c r="C4" s="19">
        <v>2</v>
      </c>
      <c r="D4" s="30">
        <v>46076</v>
      </c>
      <c r="E4" s="30">
        <v>46185</v>
      </c>
      <c r="F4" s="19" t="s">
        <v>125</v>
      </c>
      <c r="G4" s="19" t="s">
        <v>80</v>
      </c>
      <c r="H4" s="19" t="s">
        <v>126</v>
      </c>
    </row>
    <row r="5" spans="1:8" ht="15" customHeight="1" x14ac:dyDescent="0.3">
      <c r="A5" s="22" t="s">
        <v>127</v>
      </c>
      <c r="B5" s="22" t="s">
        <v>128</v>
      </c>
      <c r="C5" s="22">
        <v>2</v>
      </c>
      <c r="D5" s="31">
        <v>46076</v>
      </c>
      <c r="E5" s="31">
        <v>46185</v>
      </c>
      <c r="F5" s="22" t="s">
        <v>125</v>
      </c>
      <c r="G5" s="22" t="s">
        <v>86</v>
      </c>
      <c r="H5" s="22" t="s">
        <v>129</v>
      </c>
    </row>
    <row r="6" spans="1:8" ht="15" customHeight="1" x14ac:dyDescent="0.3">
      <c r="A6" s="22" t="s">
        <v>130</v>
      </c>
      <c r="B6" s="22" t="s">
        <v>131</v>
      </c>
      <c r="C6" s="22">
        <v>2</v>
      </c>
      <c r="D6" s="31">
        <v>46076</v>
      </c>
      <c r="E6" s="31">
        <v>46185</v>
      </c>
      <c r="F6" s="22" t="s">
        <v>125</v>
      </c>
      <c r="G6" s="22" t="s">
        <v>86</v>
      </c>
      <c r="H6" s="22" t="s">
        <v>132</v>
      </c>
    </row>
    <row r="7" spans="1:8" ht="15" customHeight="1" x14ac:dyDescent="0.3">
      <c r="A7" s="28" t="s">
        <v>133</v>
      </c>
      <c r="B7" s="28" t="s">
        <v>134</v>
      </c>
      <c r="C7" s="28">
        <v>3</v>
      </c>
      <c r="D7" s="29">
        <v>46083</v>
      </c>
      <c r="E7" s="29">
        <v>46129</v>
      </c>
      <c r="F7" s="28" t="s">
        <v>118</v>
      </c>
      <c r="G7" s="28" t="s">
        <v>549</v>
      </c>
      <c r="H7" s="28" t="s">
        <v>135</v>
      </c>
    </row>
    <row r="8" spans="1:8" ht="15" customHeight="1" x14ac:dyDescent="0.3">
      <c r="A8" s="28" t="s">
        <v>136</v>
      </c>
      <c r="B8" s="28" t="s">
        <v>137</v>
      </c>
      <c r="C8" s="28">
        <v>3</v>
      </c>
      <c r="D8" s="29">
        <v>46097</v>
      </c>
      <c r="E8" s="29">
        <v>46171</v>
      </c>
      <c r="F8" s="28" t="s">
        <v>138</v>
      </c>
      <c r="G8" s="28" t="s">
        <v>549</v>
      </c>
      <c r="H8" s="28" t="s">
        <v>139</v>
      </c>
    </row>
  </sheetData>
  <dataValidations count="2">
    <dataValidation type="list" sqref="F2:F8" xr:uid="{00000000-0002-0000-0300-000000000000}">
      <formula1>"Not Started,Planning,In Progress,On Hold,Complete"</formula1>
      <formula2>0</formula2>
    </dataValidation>
    <dataValidation type="list" sqref="C2:C8" xr:uid="{00000000-0002-0000-0300-000001000000}">
      <formula1>"1,2,3,4,5"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K30"/>
  <sheetViews>
    <sheetView topLeftCell="C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2" customWidth="1"/>
    <col min="3" max="3" width="38" customWidth="1"/>
    <col min="4" max="4" width="18" customWidth="1"/>
    <col min="5" max="5" width="40" customWidth="1"/>
    <col min="6" max="7" width="14" customWidth="1"/>
    <col min="8" max="8" width="12" customWidth="1"/>
    <col min="9" max="9" width="14" customWidth="1"/>
    <col min="10" max="10" width="12" customWidth="1"/>
    <col min="11" max="11" width="42" customWidth="1"/>
  </cols>
  <sheetData>
    <row r="1" spans="1:11" ht="23.25" customHeight="1" x14ac:dyDescent="0.3">
      <c r="A1" s="4" t="s">
        <v>140</v>
      </c>
      <c r="B1" s="4" t="s">
        <v>109</v>
      </c>
      <c r="C1" s="4" t="s">
        <v>141</v>
      </c>
      <c r="D1" s="4" t="s">
        <v>142</v>
      </c>
      <c r="E1" s="4" t="s">
        <v>143</v>
      </c>
      <c r="F1" s="4" t="s">
        <v>112</v>
      </c>
      <c r="G1" s="4" t="s">
        <v>113</v>
      </c>
      <c r="H1" s="4" t="s">
        <v>144</v>
      </c>
      <c r="I1" s="4" t="s">
        <v>145</v>
      </c>
      <c r="J1" s="4" t="s">
        <v>146</v>
      </c>
      <c r="K1" s="4" t="s">
        <v>73</v>
      </c>
    </row>
    <row r="2" spans="1:11" ht="15" customHeight="1" x14ac:dyDescent="0.3">
      <c r="A2" s="28" t="s">
        <v>147</v>
      </c>
      <c r="B2" s="28" t="s">
        <v>116</v>
      </c>
      <c r="C2" s="28" t="s">
        <v>148</v>
      </c>
      <c r="D2" s="28" t="s">
        <v>75</v>
      </c>
      <c r="E2" s="28" t="s">
        <v>149</v>
      </c>
      <c r="F2" s="29">
        <v>46083</v>
      </c>
      <c r="G2" s="29">
        <v>46101</v>
      </c>
      <c r="H2" s="28">
        <v>12</v>
      </c>
      <c r="I2" s="28" t="s">
        <v>74</v>
      </c>
      <c r="J2" s="28"/>
      <c r="K2" s="28" t="s">
        <v>150</v>
      </c>
    </row>
    <row r="3" spans="1:11" ht="15" customHeight="1" x14ac:dyDescent="0.3">
      <c r="A3" s="28" t="s">
        <v>151</v>
      </c>
      <c r="B3" s="28" t="s">
        <v>116</v>
      </c>
      <c r="C3" s="28" t="s">
        <v>152</v>
      </c>
      <c r="D3" s="28" t="s">
        <v>75</v>
      </c>
      <c r="E3" s="28" t="s">
        <v>153</v>
      </c>
      <c r="F3" s="29">
        <v>46090</v>
      </c>
      <c r="G3" s="29">
        <v>46108</v>
      </c>
      <c r="H3" s="28">
        <v>8</v>
      </c>
      <c r="I3" s="28" t="s">
        <v>74</v>
      </c>
      <c r="J3" s="28"/>
      <c r="K3" s="28" t="s">
        <v>154</v>
      </c>
    </row>
    <row r="4" spans="1:11" ht="15" customHeight="1" x14ac:dyDescent="0.3">
      <c r="A4" s="28" t="s">
        <v>155</v>
      </c>
      <c r="B4" s="28" t="s">
        <v>116</v>
      </c>
      <c r="C4" s="28" t="s">
        <v>156</v>
      </c>
      <c r="D4" s="28" t="s">
        <v>75</v>
      </c>
      <c r="E4" s="28" t="s">
        <v>157</v>
      </c>
      <c r="F4" s="29">
        <v>46104</v>
      </c>
      <c r="G4" s="29">
        <v>46115</v>
      </c>
      <c r="H4" s="28">
        <v>6</v>
      </c>
      <c r="I4" s="28" t="s">
        <v>74</v>
      </c>
      <c r="J4" s="28" t="s">
        <v>147</v>
      </c>
      <c r="K4" s="28" t="s">
        <v>158</v>
      </c>
    </row>
    <row r="5" spans="1:11" ht="15" customHeight="1" x14ac:dyDescent="0.3">
      <c r="A5" s="28" t="s">
        <v>159</v>
      </c>
      <c r="B5" s="28" t="s">
        <v>116</v>
      </c>
      <c r="C5" s="28" t="s">
        <v>160</v>
      </c>
      <c r="D5" s="28" t="s">
        <v>81</v>
      </c>
      <c r="E5" s="28" t="s">
        <v>161</v>
      </c>
      <c r="F5" s="29">
        <v>46111</v>
      </c>
      <c r="G5" s="29">
        <v>46122</v>
      </c>
      <c r="H5" s="28">
        <v>8</v>
      </c>
      <c r="I5" s="28" t="s">
        <v>79</v>
      </c>
      <c r="J5" s="28" t="s">
        <v>147</v>
      </c>
      <c r="K5" s="28" t="s">
        <v>162</v>
      </c>
    </row>
    <row r="6" spans="1:11" ht="15" customHeight="1" x14ac:dyDescent="0.3">
      <c r="A6" s="28" t="s">
        <v>163</v>
      </c>
      <c r="B6" s="28" t="s">
        <v>116</v>
      </c>
      <c r="C6" s="28" t="s">
        <v>164</v>
      </c>
      <c r="D6" s="28" t="s">
        <v>75</v>
      </c>
      <c r="E6" s="28" t="s">
        <v>165</v>
      </c>
      <c r="F6" s="29">
        <v>46118</v>
      </c>
      <c r="G6" s="29">
        <v>46129</v>
      </c>
      <c r="H6" s="28">
        <v>6</v>
      </c>
      <c r="I6" s="28" t="s">
        <v>74</v>
      </c>
      <c r="J6" s="28" t="s">
        <v>155</v>
      </c>
      <c r="K6" s="28" t="s">
        <v>166</v>
      </c>
    </row>
    <row r="7" spans="1:11" ht="15" customHeight="1" x14ac:dyDescent="0.3">
      <c r="A7" s="28" t="s">
        <v>167</v>
      </c>
      <c r="B7" s="28" t="s">
        <v>116</v>
      </c>
      <c r="C7" s="28" t="s">
        <v>168</v>
      </c>
      <c r="D7" s="28" t="s">
        <v>81</v>
      </c>
      <c r="E7" s="28" t="s">
        <v>169</v>
      </c>
      <c r="F7" s="29">
        <v>46132</v>
      </c>
      <c r="G7" s="29">
        <v>46143</v>
      </c>
      <c r="H7" s="28">
        <v>12</v>
      </c>
      <c r="I7" s="28" t="s">
        <v>79</v>
      </c>
      <c r="J7" s="28" t="s">
        <v>163</v>
      </c>
      <c r="K7" s="28" t="s">
        <v>170</v>
      </c>
    </row>
    <row r="8" spans="1:11" ht="15" customHeight="1" x14ac:dyDescent="0.3">
      <c r="A8" s="28" t="s">
        <v>171</v>
      </c>
      <c r="B8" s="28" t="s">
        <v>120</v>
      </c>
      <c r="C8" s="28" t="s">
        <v>172</v>
      </c>
      <c r="D8" s="28" t="s">
        <v>75</v>
      </c>
      <c r="E8" s="28" t="s">
        <v>173</v>
      </c>
      <c r="F8" s="29">
        <v>46090</v>
      </c>
      <c r="G8" s="29">
        <v>46108</v>
      </c>
      <c r="H8" s="28">
        <v>8</v>
      </c>
      <c r="I8" s="28" t="s">
        <v>74</v>
      </c>
      <c r="J8" s="28"/>
      <c r="K8" s="28" t="s">
        <v>174</v>
      </c>
    </row>
    <row r="9" spans="1:11" ht="15" customHeight="1" x14ac:dyDescent="0.3">
      <c r="A9" s="28" t="s">
        <v>175</v>
      </c>
      <c r="B9" s="28" t="s">
        <v>120</v>
      </c>
      <c r="C9" s="28" t="s">
        <v>176</v>
      </c>
      <c r="D9" s="28" t="s">
        <v>75</v>
      </c>
      <c r="E9" s="28" t="s">
        <v>173</v>
      </c>
      <c r="F9" s="29">
        <v>46111</v>
      </c>
      <c r="G9" s="29">
        <v>46122</v>
      </c>
      <c r="H9" s="28">
        <v>10</v>
      </c>
      <c r="I9" s="28" t="s">
        <v>74</v>
      </c>
      <c r="J9" s="28" t="s">
        <v>171</v>
      </c>
      <c r="K9" s="28" t="s">
        <v>177</v>
      </c>
    </row>
    <row r="10" spans="1:11" ht="15" customHeight="1" x14ac:dyDescent="0.3">
      <c r="A10" s="28" t="s">
        <v>178</v>
      </c>
      <c r="B10" s="28" t="s">
        <v>120</v>
      </c>
      <c r="C10" s="28" t="s">
        <v>179</v>
      </c>
      <c r="D10" s="28" t="s">
        <v>75</v>
      </c>
      <c r="E10" s="28" t="s">
        <v>173</v>
      </c>
      <c r="F10" s="29">
        <v>46125</v>
      </c>
      <c r="G10" s="29">
        <v>46136</v>
      </c>
      <c r="H10" s="28">
        <v>6</v>
      </c>
      <c r="I10" s="28" t="s">
        <v>74</v>
      </c>
      <c r="J10" s="28" t="s">
        <v>175</v>
      </c>
      <c r="K10" s="28"/>
    </row>
    <row r="11" spans="1:11" ht="15" customHeight="1" x14ac:dyDescent="0.3">
      <c r="A11" s="28" t="s">
        <v>180</v>
      </c>
      <c r="B11" s="28" t="s">
        <v>120</v>
      </c>
      <c r="C11" s="28" t="s">
        <v>181</v>
      </c>
      <c r="D11" s="28" t="s">
        <v>81</v>
      </c>
      <c r="E11" s="28" t="s">
        <v>182</v>
      </c>
      <c r="F11" s="29">
        <v>46132</v>
      </c>
      <c r="G11" s="29">
        <v>46150</v>
      </c>
      <c r="H11" s="28">
        <v>15</v>
      </c>
      <c r="I11" s="28" t="s">
        <v>79</v>
      </c>
      <c r="J11" s="28" t="s">
        <v>178</v>
      </c>
      <c r="K11" s="28" t="s">
        <v>183</v>
      </c>
    </row>
    <row r="12" spans="1:11" ht="15" customHeight="1" x14ac:dyDescent="0.3">
      <c r="A12" s="28" t="s">
        <v>184</v>
      </c>
      <c r="B12" s="28" t="s">
        <v>120</v>
      </c>
      <c r="C12" s="28" t="s">
        <v>185</v>
      </c>
      <c r="D12" s="28" t="s">
        <v>81</v>
      </c>
      <c r="E12" s="28" t="s">
        <v>186</v>
      </c>
      <c r="F12" s="29">
        <v>46132</v>
      </c>
      <c r="G12" s="29">
        <v>46157</v>
      </c>
      <c r="H12" s="28">
        <v>15</v>
      </c>
      <c r="I12" s="28" t="s">
        <v>85</v>
      </c>
      <c r="J12" s="28" t="s">
        <v>178</v>
      </c>
      <c r="K12" s="28" t="s">
        <v>187</v>
      </c>
    </row>
    <row r="13" spans="1:11" ht="15" customHeight="1" x14ac:dyDescent="0.3">
      <c r="A13" s="28" t="s">
        <v>188</v>
      </c>
      <c r="B13" s="28" t="s">
        <v>123</v>
      </c>
      <c r="C13" s="28" t="s">
        <v>189</v>
      </c>
      <c r="D13" s="28" t="s">
        <v>81</v>
      </c>
      <c r="E13" s="28" t="s">
        <v>190</v>
      </c>
      <c r="F13" s="29">
        <v>46076</v>
      </c>
      <c r="G13" s="29">
        <v>46185</v>
      </c>
      <c r="H13" s="28">
        <v>240</v>
      </c>
      <c r="I13" s="28" t="s">
        <v>79</v>
      </c>
      <c r="J13" s="28"/>
      <c r="K13" s="28" t="s">
        <v>191</v>
      </c>
    </row>
    <row r="14" spans="1:11" ht="15" customHeight="1" x14ac:dyDescent="0.3">
      <c r="A14" s="28" t="s">
        <v>192</v>
      </c>
      <c r="B14" s="28" t="s">
        <v>123</v>
      </c>
      <c r="C14" s="28" t="s">
        <v>193</v>
      </c>
      <c r="D14" s="28" t="s">
        <v>81</v>
      </c>
      <c r="E14" s="28" t="s">
        <v>194</v>
      </c>
      <c r="F14" s="29">
        <v>46076</v>
      </c>
      <c r="G14" s="29">
        <v>46185</v>
      </c>
      <c r="H14" s="28">
        <v>48</v>
      </c>
      <c r="I14" s="28" t="s">
        <v>79</v>
      </c>
      <c r="J14" s="28"/>
      <c r="K14" s="28" t="s">
        <v>195</v>
      </c>
    </row>
    <row r="15" spans="1:11" ht="15" customHeight="1" x14ac:dyDescent="0.3">
      <c r="A15" s="28" t="s">
        <v>196</v>
      </c>
      <c r="B15" s="28" t="s">
        <v>123</v>
      </c>
      <c r="C15" s="28" t="s">
        <v>197</v>
      </c>
      <c r="D15" s="28" t="s">
        <v>92</v>
      </c>
      <c r="E15" s="28" t="s">
        <v>198</v>
      </c>
      <c r="F15" s="29">
        <v>46076</v>
      </c>
      <c r="G15" s="29">
        <v>46185</v>
      </c>
      <c r="H15" s="28">
        <v>192</v>
      </c>
      <c r="I15" s="28" t="s">
        <v>90</v>
      </c>
      <c r="J15" s="28"/>
      <c r="K15" s="28" t="s">
        <v>199</v>
      </c>
    </row>
    <row r="16" spans="1:11" ht="15" customHeight="1" x14ac:dyDescent="0.3">
      <c r="A16" s="28" t="s">
        <v>200</v>
      </c>
      <c r="B16" s="28" t="s">
        <v>123</v>
      </c>
      <c r="C16" s="28" t="s">
        <v>201</v>
      </c>
      <c r="D16" s="28" t="s">
        <v>92</v>
      </c>
      <c r="E16" s="28" t="s">
        <v>202</v>
      </c>
      <c r="F16" s="29">
        <v>46076</v>
      </c>
      <c r="G16" s="29">
        <v>46185</v>
      </c>
      <c r="H16" s="28">
        <v>128</v>
      </c>
      <c r="I16" s="28" t="s">
        <v>99</v>
      </c>
      <c r="J16" s="28"/>
      <c r="K16" s="28" t="s">
        <v>203</v>
      </c>
    </row>
    <row r="17" spans="1:11" ht="15" customHeight="1" x14ac:dyDescent="0.3">
      <c r="A17" s="28" t="s">
        <v>204</v>
      </c>
      <c r="B17" s="28" t="s">
        <v>127</v>
      </c>
      <c r="C17" s="28" t="s">
        <v>205</v>
      </c>
      <c r="D17" s="28" t="s">
        <v>81</v>
      </c>
      <c r="E17" s="28" t="s">
        <v>190</v>
      </c>
      <c r="F17" s="29">
        <v>46076</v>
      </c>
      <c r="G17" s="29">
        <v>46185</v>
      </c>
      <c r="H17" s="28">
        <v>240</v>
      </c>
      <c r="I17" s="28" t="s">
        <v>85</v>
      </c>
      <c r="J17" s="28"/>
      <c r="K17" s="28" t="s">
        <v>206</v>
      </c>
    </row>
    <row r="18" spans="1:11" ht="15" customHeight="1" x14ac:dyDescent="0.3">
      <c r="A18" s="28" t="s">
        <v>207</v>
      </c>
      <c r="B18" s="28" t="s">
        <v>127</v>
      </c>
      <c r="C18" s="28" t="s">
        <v>208</v>
      </c>
      <c r="D18" s="28" t="s">
        <v>81</v>
      </c>
      <c r="E18" s="28" t="s">
        <v>194</v>
      </c>
      <c r="F18" s="29">
        <v>46076</v>
      </c>
      <c r="G18" s="29">
        <v>46185</v>
      </c>
      <c r="H18" s="28">
        <v>48</v>
      </c>
      <c r="I18" s="28" t="s">
        <v>85</v>
      </c>
      <c r="J18" s="28"/>
      <c r="K18" s="28" t="s">
        <v>209</v>
      </c>
    </row>
    <row r="19" spans="1:11" ht="15" customHeight="1" x14ac:dyDescent="0.3">
      <c r="A19" s="28" t="s">
        <v>210</v>
      </c>
      <c r="B19" s="28" t="s">
        <v>127</v>
      </c>
      <c r="C19" s="28" t="s">
        <v>211</v>
      </c>
      <c r="D19" s="28" t="s">
        <v>92</v>
      </c>
      <c r="E19" s="28" t="s">
        <v>212</v>
      </c>
      <c r="F19" s="29">
        <v>46076</v>
      </c>
      <c r="G19" s="29">
        <v>46185</v>
      </c>
      <c r="H19" s="28">
        <v>168</v>
      </c>
      <c r="I19" s="28" t="s">
        <v>95</v>
      </c>
      <c r="J19" s="28"/>
      <c r="K19" s="28" t="s">
        <v>213</v>
      </c>
    </row>
    <row r="20" spans="1:11" ht="15" customHeight="1" x14ac:dyDescent="0.3">
      <c r="A20" s="28" t="s">
        <v>214</v>
      </c>
      <c r="B20" s="28" t="s">
        <v>130</v>
      </c>
      <c r="C20" s="28" t="s">
        <v>215</v>
      </c>
      <c r="D20" s="28" t="s">
        <v>105</v>
      </c>
      <c r="E20" s="28" t="s">
        <v>216</v>
      </c>
      <c r="F20" s="29">
        <v>46076</v>
      </c>
      <c r="G20" s="29">
        <v>46185</v>
      </c>
      <c r="H20" s="28">
        <v>160</v>
      </c>
      <c r="I20" s="28" t="s">
        <v>103</v>
      </c>
      <c r="J20" s="28"/>
      <c r="K20" s="28" t="s">
        <v>217</v>
      </c>
    </row>
    <row r="21" spans="1:11" ht="15" customHeight="1" x14ac:dyDescent="0.3">
      <c r="A21" s="28" t="s">
        <v>218</v>
      </c>
      <c r="B21" s="28" t="s">
        <v>130</v>
      </c>
      <c r="C21" s="28" t="s">
        <v>219</v>
      </c>
      <c r="D21" s="28" t="s">
        <v>92</v>
      </c>
      <c r="E21" s="28" t="s">
        <v>216</v>
      </c>
      <c r="F21" s="29">
        <v>46076</v>
      </c>
      <c r="G21" s="29">
        <v>46185</v>
      </c>
      <c r="H21" s="28">
        <v>112</v>
      </c>
      <c r="I21" s="28" t="s">
        <v>95</v>
      </c>
      <c r="J21" s="28"/>
      <c r="K21" s="28" t="s">
        <v>220</v>
      </c>
    </row>
    <row r="22" spans="1:11" ht="15" customHeight="1" x14ac:dyDescent="0.3">
      <c r="A22" s="28" t="s">
        <v>221</v>
      </c>
      <c r="B22" s="28" t="s">
        <v>130</v>
      </c>
      <c r="C22" s="28" t="s">
        <v>222</v>
      </c>
      <c r="D22" s="28" t="s">
        <v>81</v>
      </c>
      <c r="E22" s="28" t="s">
        <v>223</v>
      </c>
      <c r="F22" s="29">
        <v>46076</v>
      </c>
      <c r="G22" s="29">
        <v>46185</v>
      </c>
      <c r="H22" s="28">
        <v>32</v>
      </c>
      <c r="I22" s="28" t="s">
        <v>85</v>
      </c>
      <c r="J22" s="28"/>
      <c r="K22" s="28" t="s">
        <v>224</v>
      </c>
    </row>
    <row r="23" spans="1:11" ht="15" customHeight="1" x14ac:dyDescent="0.3">
      <c r="A23" s="28" t="s">
        <v>225</v>
      </c>
      <c r="B23" s="28" t="s">
        <v>133</v>
      </c>
      <c r="C23" s="28" t="s">
        <v>226</v>
      </c>
      <c r="D23" s="28" t="s">
        <v>75</v>
      </c>
      <c r="E23" s="28" t="s">
        <v>227</v>
      </c>
      <c r="F23" s="29">
        <v>46083</v>
      </c>
      <c r="G23" s="29">
        <v>46094</v>
      </c>
      <c r="H23" s="28">
        <v>6</v>
      </c>
      <c r="I23" s="28" t="s">
        <v>74</v>
      </c>
      <c r="J23" s="28"/>
      <c r="K23" s="28" t="s">
        <v>228</v>
      </c>
    </row>
    <row r="24" spans="1:11" ht="15" customHeight="1" x14ac:dyDescent="0.3">
      <c r="A24" s="28" t="s">
        <v>229</v>
      </c>
      <c r="B24" s="28" t="s">
        <v>133</v>
      </c>
      <c r="C24" s="28" t="s">
        <v>230</v>
      </c>
      <c r="D24" s="28" t="s">
        <v>75</v>
      </c>
      <c r="E24" s="28" t="s">
        <v>157</v>
      </c>
      <c r="F24" s="29">
        <v>46097</v>
      </c>
      <c r="G24" s="29">
        <v>46108</v>
      </c>
      <c r="H24" s="28">
        <v>5</v>
      </c>
      <c r="I24" s="28" t="s">
        <v>74</v>
      </c>
      <c r="J24" s="28" t="s">
        <v>225</v>
      </c>
      <c r="K24" s="28" t="s">
        <v>231</v>
      </c>
    </row>
    <row r="25" spans="1:11" ht="15" customHeight="1" x14ac:dyDescent="0.3">
      <c r="A25" s="28" t="s">
        <v>232</v>
      </c>
      <c r="B25" s="28" t="s">
        <v>133</v>
      </c>
      <c r="C25" s="28" t="s">
        <v>233</v>
      </c>
      <c r="D25" s="28" t="s">
        <v>75</v>
      </c>
      <c r="E25" s="28" t="s">
        <v>157</v>
      </c>
      <c r="F25" s="29">
        <v>46111</v>
      </c>
      <c r="G25" s="29">
        <v>46129</v>
      </c>
      <c r="H25" s="28">
        <v>8</v>
      </c>
      <c r="I25" s="28" t="s">
        <v>74</v>
      </c>
      <c r="J25" s="28" t="s">
        <v>229</v>
      </c>
      <c r="K25" s="28" t="s">
        <v>234</v>
      </c>
    </row>
    <row r="26" spans="1:11" ht="15" customHeight="1" x14ac:dyDescent="0.3">
      <c r="A26" s="28" t="s">
        <v>235</v>
      </c>
      <c r="B26" s="28" t="s">
        <v>136</v>
      </c>
      <c r="C26" s="28" t="s">
        <v>236</v>
      </c>
      <c r="D26" s="28" t="s">
        <v>75</v>
      </c>
      <c r="E26" s="28" t="s">
        <v>237</v>
      </c>
      <c r="F26" s="29">
        <v>46097</v>
      </c>
      <c r="G26" s="29">
        <v>46108</v>
      </c>
      <c r="H26" s="28">
        <v>5</v>
      </c>
      <c r="I26" s="28" t="s">
        <v>74</v>
      </c>
      <c r="J26" s="28"/>
      <c r="K26" s="28" t="s">
        <v>238</v>
      </c>
    </row>
    <row r="27" spans="1:11" ht="15" customHeight="1" x14ac:dyDescent="0.3">
      <c r="A27" s="28" t="s">
        <v>239</v>
      </c>
      <c r="B27" s="28" t="s">
        <v>136</v>
      </c>
      <c r="C27" s="28" t="s">
        <v>240</v>
      </c>
      <c r="D27" s="28" t="s">
        <v>81</v>
      </c>
      <c r="E27" s="28" t="s">
        <v>241</v>
      </c>
      <c r="F27" s="29">
        <v>46111</v>
      </c>
      <c r="G27" s="29">
        <v>46129</v>
      </c>
      <c r="H27" s="28">
        <v>8</v>
      </c>
      <c r="I27" s="28" t="s">
        <v>85</v>
      </c>
      <c r="J27" s="28" t="s">
        <v>235</v>
      </c>
      <c r="K27" s="28" t="s">
        <v>242</v>
      </c>
    </row>
    <row r="28" spans="1:11" ht="15" customHeight="1" x14ac:dyDescent="0.3">
      <c r="A28" s="28" t="s">
        <v>243</v>
      </c>
      <c r="B28" s="28" t="s">
        <v>136</v>
      </c>
      <c r="C28" s="28" t="s">
        <v>244</v>
      </c>
      <c r="D28" s="28" t="s">
        <v>81</v>
      </c>
      <c r="E28" s="28" t="s">
        <v>241</v>
      </c>
      <c r="F28" s="29">
        <v>46118</v>
      </c>
      <c r="G28" s="29">
        <v>46143</v>
      </c>
      <c r="H28" s="28">
        <v>6</v>
      </c>
      <c r="I28" s="28" t="s">
        <v>79</v>
      </c>
      <c r="J28" s="28"/>
      <c r="K28" s="28" t="s">
        <v>245</v>
      </c>
    </row>
    <row r="29" spans="1:11" ht="15" customHeight="1" x14ac:dyDescent="0.3">
      <c r="A29" s="28" t="s">
        <v>246</v>
      </c>
      <c r="B29" s="28" t="s">
        <v>136</v>
      </c>
      <c r="C29" s="28" t="s">
        <v>247</v>
      </c>
      <c r="D29" s="28" t="s">
        <v>75</v>
      </c>
      <c r="E29" s="28" t="s">
        <v>248</v>
      </c>
      <c r="F29" s="29">
        <v>46125</v>
      </c>
      <c r="G29" s="29">
        <v>46157</v>
      </c>
      <c r="H29" s="28">
        <v>10</v>
      </c>
      <c r="I29" s="28" t="s">
        <v>74</v>
      </c>
      <c r="J29" s="28" t="s">
        <v>235</v>
      </c>
      <c r="K29" s="28" t="s">
        <v>249</v>
      </c>
    </row>
    <row r="30" spans="1:11" ht="15" customHeight="1" x14ac:dyDescent="0.3">
      <c r="A30" s="28" t="s">
        <v>250</v>
      </c>
      <c r="B30" s="28" t="s">
        <v>136</v>
      </c>
      <c r="C30" s="28" t="s">
        <v>251</v>
      </c>
      <c r="D30" s="28" t="s">
        <v>75</v>
      </c>
      <c r="E30" s="28" t="s">
        <v>237</v>
      </c>
      <c r="F30" s="29">
        <v>46146</v>
      </c>
      <c r="G30" s="29">
        <v>46171</v>
      </c>
      <c r="H30" s="28">
        <v>8</v>
      </c>
      <c r="I30" s="28" t="s">
        <v>74</v>
      </c>
      <c r="J30" s="28"/>
      <c r="K30" s="28" t="s">
        <v>252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214"/>
  <sheetViews>
    <sheetView tabSelected="1" zoomScaleNormal="100" workbookViewId="0">
      <pane ySplit="1" topLeftCell="A2" activePane="bottomLeft" state="frozen"/>
      <selection pane="bottomLeft" activeCell="O25" sqref="O25"/>
    </sheetView>
  </sheetViews>
  <sheetFormatPr defaultColWidth="8.6640625" defaultRowHeight="14.4" x14ac:dyDescent="0.3"/>
  <cols>
    <col min="1" max="1" width="14" customWidth="1"/>
    <col min="2" max="2" width="10" customWidth="1"/>
    <col min="3" max="3" width="12" customWidth="1"/>
    <col min="4" max="4" width="14" customWidth="1"/>
    <col min="5" max="5" width="12" customWidth="1"/>
    <col min="6" max="6" width="13" customWidth="1"/>
    <col min="7" max="7" width="12" customWidth="1"/>
    <col min="8" max="8" width="13" customWidth="1"/>
    <col min="9" max="9" width="12" customWidth="1"/>
    <col min="10" max="10" width="13" customWidth="1"/>
    <col min="11" max="11" width="14" customWidth="1"/>
  </cols>
  <sheetData>
    <row r="1" spans="1:11" ht="23.25" customHeight="1" x14ac:dyDescent="0.3">
      <c r="A1" s="4" t="s">
        <v>253</v>
      </c>
      <c r="B1" s="4" t="s">
        <v>140</v>
      </c>
      <c r="C1" s="4" t="s">
        <v>65</v>
      </c>
      <c r="D1" s="4" t="s">
        <v>51</v>
      </c>
      <c r="E1" s="4" t="s">
        <v>254</v>
      </c>
      <c r="F1" s="4" t="s">
        <v>114</v>
      </c>
      <c r="G1" s="4" t="s">
        <v>255</v>
      </c>
      <c r="H1" s="4" t="s">
        <v>256</v>
      </c>
      <c r="I1" s="4" t="s">
        <v>257</v>
      </c>
      <c r="J1" s="4" t="s">
        <v>258</v>
      </c>
      <c r="K1" s="4" t="s">
        <v>259</v>
      </c>
    </row>
    <row r="2" spans="1:11" ht="15" customHeight="1" x14ac:dyDescent="0.3">
      <c r="A2" s="5" t="s">
        <v>260</v>
      </c>
      <c r="B2" s="28" t="s">
        <v>147</v>
      </c>
      <c r="C2" s="28" t="s">
        <v>74</v>
      </c>
      <c r="D2" s="29">
        <v>46083</v>
      </c>
      <c r="E2" s="28">
        <v>4</v>
      </c>
      <c r="F2" s="28" t="s">
        <v>261</v>
      </c>
      <c r="G2" s="8">
        <f>IFERROR(VLOOKUP(B2,TASKS!A:K,8,FALSE()),"")</f>
        <v>12</v>
      </c>
      <c r="H2" s="8">
        <f t="shared" ref="H2:H65" si="0">IFERROR(SUMIF(B$2:B$214,B2,E$2:E$214),"")</f>
        <v>12</v>
      </c>
      <c r="I2" s="8">
        <f t="shared" ref="I2:I65" si="1">IFERROR(G2-H2,"")</f>
        <v>0</v>
      </c>
      <c r="J2" s="8" t="str">
        <f>IF(OR(B2="",C2=""),"",IF(IFERROR(VLOOKUP(C2,RESOURCES!A:C,3,FALSE()),"")=IFERROR(VLOOKUP(B2,TASKS!A:K,4,FALSE()),""),"OK","MISMATCH"))</f>
        <v>OK</v>
      </c>
      <c r="K2" s="8" t="str">
        <f>IF(OR(B2="",D2=""),"",IF(AND(D2&gt;=IFERROR(VLOOKUP(B2,TASKS!A:K,6,FALSE()),0),D2&lt;=IFERROR(VLOOKUP(B2,TASKS!A:K,7,FALSE()),99999)),"OK","OUT OF RANGE"))</f>
        <v>OK</v>
      </c>
    </row>
    <row r="3" spans="1:11" ht="15" customHeight="1" x14ac:dyDescent="0.3">
      <c r="A3" s="5" t="s">
        <v>262</v>
      </c>
      <c r="B3" s="28" t="s">
        <v>147</v>
      </c>
      <c r="C3" s="28" t="s">
        <v>74</v>
      </c>
      <c r="D3" s="29">
        <v>46090</v>
      </c>
      <c r="E3" s="28">
        <v>4</v>
      </c>
      <c r="F3" s="28" t="s">
        <v>261</v>
      </c>
      <c r="G3" s="8">
        <f>IFERROR(VLOOKUP(B3,TASKS!A:K,8,FALSE()),"")</f>
        <v>12</v>
      </c>
      <c r="H3" s="8">
        <f t="shared" si="0"/>
        <v>12</v>
      </c>
      <c r="I3" s="8">
        <f t="shared" si="1"/>
        <v>0</v>
      </c>
      <c r="J3" s="8" t="str">
        <f>IF(OR(B3="",C3=""),"",IF(IFERROR(VLOOKUP(C3,RESOURCES!A:C,3,FALSE()),"")=IFERROR(VLOOKUP(B3,TASKS!A:K,4,FALSE()),""),"OK","MISMATCH"))</f>
        <v>OK</v>
      </c>
      <c r="K3" s="8" t="str">
        <f>IF(OR(B3="",D3=""),"",IF(AND(D3&gt;=IFERROR(VLOOKUP(B3,TASKS!A:K,6,FALSE()),0),D3&lt;=IFERROR(VLOOKUP(B3,TASKS!A:K,7,FALSE()),99999)),"OK","OUT OF RANGE"))</f>
        <v>OK</v>
      </c>
    </row>
    <row r="4" spans="1:11" ht="15" customHeight="1" x14ac:dyDescent="0.3">
      <c r="A4" s="5" t="s">
        <v>263</v>
      </c>
      <c r="B4" s="28" t="s">
        <v>147</v>
      </c>
      <c r="C4" s="28" t="s">
        <v>74</v>
      </c>
      <c r="D4" s="29">
        <v>46097</v>
      </c>
      <c r="E4" s="28">
        <v>4</v>
      </c>
      <c r="F4" s="28" t="s">
        <v>261</v>
      </c>
      <c r="G4" s="8">
        <f>IFERROR(VLOOKUP(B4,TASKS!A:K,8,FALSE()),"")</f>
        <v>12</v>
      </c>
      <c r="H4" s="8">
        <f t="shared" si="0"/>
        <v>12</v>
      </c>
      <c r="I4" s="8">
        <f t="shared" si="1"/>
        <v>0</v>
      </c>
      <c r="J4" s="8" t="str">
        <f>IF(OR(B4="",C4=""),"",IF(IFERROR(VLOOKUP(C4,RESOURCES!A:C,3,FALSE()),"")=IFERROR(VLOOKUP(B4,TASKS!A:K,4,FALSE()),""),"OK","MISMATCH"))</f>
        <v>OK</v>
      </c>
      <c r="K4" s="8" t="str">
        <f>IF(OR(B4="",D4=""),"",IF(AND(D4&gt;=IFERROR(VLOOKUP(B4,TASKS!A:K,6,FALSE()),0),D4&lt;=IFERROR(VLOOKUP(B4,TASKS!A:K,7,FALSE()),99999)),"OK","OUT OF RANGE"))</f>
        <v>OK</v>
      </c>
    </row>
    <row r="5" spans="1:11" ht="15" customHeight="1" x14ac:dyDescent="0.3">
      <c r="A5" s="5" t="s">
        <v>264</v>
      </c>
      <c r="B5" s="28" t="s">
        <v>151</v>
      </c>
      <c r="C5" s="28" t="s">
        <v>74</v>
      </c>
      <c r="D5" s="29">
        <v>46090</v>
      </c>
      <c r="E5" s="28">
        <v>2.7</v>
      </c>
      <c r="F5" s="28" t="s">
        <v>261</v>
      </c>
      <c r="G5" s="8">
        <f>IFERROR(VLOOKUP(B5,TASKS!A:K,8,FALSE()),"")</f>
        <v>8</v>
      </c>
      <c r="H5" s="8">
        <f t="shared" si="0"/>
        <v>8</v>
      </c>
      <c r="I5" s="8">
        <f t="shared" si="1"/>
        <v>0</v>
      </c>
      <c r="J5" s="8" t="str">
        <f>IF(OR(B5="",C5=""),"",IF(IFERROR(VLOOKUP(C5,RESOURCES!A:C,3,FALSE()),"")=IFERROR(VLOOKUP(B5,TASKS!A:K,4,FALSE()),""),"OK","MISMATCH"))</f>
        <v>OK</v>
      </c>
      <c r="K5" s="8" t="str">
        <f>IF(OR(B5="",D5=""),"",IF(AND(D5&gt;=IFERROR(VLOOKUP(B5,TASKS!A:K,6,FALSE()),0),D5&lt;=IFERROR(VLOOKUP(B5,TASKS!A:K,7,FALSE()),99999)),"OK","OUT OF RANGE"))</f>
        <v>OK</v>
      </c>
    </row>
    <row r="6" spans="1:11" ht="15" customHeight="1" x14ac:dyDescent="0.3">
      <c r="A6" s="5" t="s">
        <v>265</v>
      </c>
      <c r="B6" s="28" t="s">
        <v>151</v>
      </c>
      <c r="C6" s="28" t="s">
        <v>74</v>
      </c>
      <c r="D6" s="29">
        <v>46097</v>
      </c>
      <c r="E6" s="28">
        <v>2.7</v>
      </c>
      <c r="F6" s="28" t="s">
        <v>261</v>
      </c>
      <c r="G6" s="8">
        <f>IFERROR(VLOOKUP(B6,TASKS!A:K,8,FALSE()),"")</f>
        <v>8</v>
      </c>
      <c r="H6" s="8">
        <f t="shared" si="0"/>
        <v>8</v>
      </c>
      <c r="I6" s="8">
        <f t="shared" si="1"/>
        <v>0</v>
      </c>
      <c r="J6" s="8" t="str">
        <f>IF(OR(B6="",C6=""),"",IF(IFERROR(VLOOKUP(C6,RESOURCES!A:C,3,FALSE()),"")=IFERROR(VLOOKUP(B6,TASKS!A:K,4,FALSE()),""),"OK","MISMATCH"))</f>
        <v>OK</v>
      </c>
      <c r="K6" s="8" t="str">
        <f>IF(OR(B6="",D6=""),"",IF(AND(D6&gt;=IFERROR(VLOOKUP(B6,TASKS!A:K,6,FALSE()),0),D6&lt;=IFERROR(VLOOKUP(B6,TASKS!A:K,7,FALSE()),99999)),"OK","OUT OF RANGE"))</f>
        <v>OK</v>
      </c>
    </row>
    <row r="7" spans="1:11" ht="15" customHeight="1" x14ac:dyDescent="0.3">
      <c r="A7" s="5" t="s">
        <v>266</v>
      </c>
      <c r="B7" s="28" t="s">
        <v>151</v>
      </c>
      <c r="C7" s="28" t="s">
        <v>74</v>
      </c>
      <c r="D7" s="29">
        <v>46104</v>
      </c>
      <c r="E7" s="28">
        <v>2.6</v>
      </c>
      <c r="F7" s="28" t="s">
        <v>261</v>
      </c>
      <c r="G7" s="8">
        <f>IFERROR(VLOOKUP(B7,TASKS!A:K,8,FALSE()),"")</f>
        <v>8</v>
      </c>
      <c r="H7" s="8">
        <f t="shared" si="0"/>
        <v>8</v>
      </c>
      <c r="I7" s="8">
        <f t="shared" si="1"/>
        <v>0</v>
      </c>
      <c r="J7" s="8" t="str">
        <f>IF(OR(B7="",C7=""),"",IF(IFERROR(VLOOKUP(C7,RESOURCES!A:C,3,FALSE()),"")=IFERROR(VLOOKUP(B7,TASKS!A:K,4,FALSE()),""),"OK","MISMATCH"))</f>
        <v>OK</v>
      </c>
      <c r="K7" s="8" t="str">
        <f>IF(OR(B7="",D7=""),"",IF(AND(D7&gt;=IFERROR(VLOOKUP(B7,TASKS!A:K,6,FALSE()),0),D7&lt;=IFERROR(VLOOKUP(B7,TASKS!A:K,7,FALSE()),99999)),"OK","OUT OF RANGE"))</f>
        <v>OK</v>
      </c>
    </row>
    <row r="8" spans="1:11" ht="15" customHeight="1" x14ac:dyDescent="0.3">
      <c r="A8" s="5" t="s">
        <v>267</v>
      </c>
      <c r="B8" s="28" t="s">
        <v>155</v>
      </c>
      <c r="C8" s="28" t="s">
        <v>74</v>
      </c>
      <c r="D8" s="29">
        <v>46104</v>
      </c>
      <c r="E8" s="28">
        <v>3</v>
      </c>
      <c r="F8" s="28" t="s">
        <v>261</v>
      </c>
      <c r="G8" s="8">
        <f>IFERROR(VLOOKUP(B8,TASKS!A:K,8,FALSE()),"")</f>
        <v>6</v>
      </c>
      <c r="H8" s="8">
        <f t="shared" si="0"/>
        <v>6</v>
      </c>
      <c r="I8" s="8">
        <f t="shared" si="1"/>
        <v>0</v>
      </c>
      <c r="J8" s="8" t="str">
        <f>IF(OR(B8="",C8=""),"",IF(IFERROR(VLOOKUP(C8,RESOURCES!A:C,3,FALSE()),"")=IFERROR(VLOOKUP(B8,TASKS!A:K,4,FALSE()),""),"OK","MISMATCH"))</f>
        <v>OK</v>
      </c>
      <c r="K8" s="8" t="str">
        <f>IF(OR(B8="",D8=""),"",IF(AND(D8&gt;=IFERROR(VLOOKUP(B8,TASKS!A:K,6,FALSE()),0),D8&lt;=IFERROR(VLOOKUP(B8,TASKS!A:K,7,FALSE()),99999)),"OK","OUT OF RANGE"))</f>
        <v>OK</v>
      </c>
    </row>
    <row r="9" spans="1:11" ht="15" customHeight="1" x14ac:dyDescent="0.3">
      <c r="A9" s="5" t="s">
        <v>268</v>
      </c>
      <c r="B9" s="28" t="s">
        <v>155</v>
      </c>
      <c r="C9" s="28" t="s">
        <v>74</v>
      </c>
      <c r="D9" s="29">
        <v>46111</v>
      </c>
      <c r="E9" s="28">
        <v>3</v>
      </c>
      <c r="F9" s="28" t="s">
        <v>261</v>
      </c>
      <c r="G9" s="8">
        <f>IFERROR(VLOOKUP(B9,TASKS!A:K,8,FALSE()),"")</f>
        <v>6</v>
      </c>
      <c r="H9" s="8">
        <f t="shared" si="0"/>
        <v>6</v>
      </c>
      <c r="I9" s="8">
        <f t="shared" si="1"/>
        <v>0</v>
      </c>
      <c r="J9" s="8" t="str">
        <f>IF(OR(B9="",C9=""),"",IF(IFERROR(VLOOKUP(C9,RESOURCES!A:C,3,FALSE()),"")=IFERROR(VLOOKUP(B9,TASKS!A:K,4,FALSE()),""),"OK","MISMATCH"))</f>
        <v>OK</v>
      </c>
      <c r="K9" s="8" t="str">
        <f>IF(OR(B9="",D9=""),"",IF(AND(D9&gt;=IFERROR(VLOOKUP(B9,TASKS!A:K,6,FALSE()),0),D9&lt;=IFERROR(VLOOKUP(B9,TASKS!A:K,7,FALSE()),99999)),"OK","OUT OF RANGE"))</f>
        <v>OK</v>
      </c>
    </row>
    <row r="10" spans="1:11" ht="15" customHeight="1" x14ac:dyDescent="0.3">
      <c r="A10" s="5" t="s">
        <v>269</v>
      </c>
      <c r="B10" s="28" t="s">
        <v>159</v>
      </c>
      <c r="C10" s="28" t="s">
        <v>79</v>
      </c>
      <c r="D10" s="29">
        <v>46111</v>
      </c>
      <c r="E10" s="28">
        <v>4</v>
      </c>
      <c r="F10" s="28" t="s">
        <v>261</v>
      </c>
      <c r="G10" s="8">
        <f>IFERROR(VLOOKUP(B10,TASKS!A:K,8,FALSE()),"")</f>
        <v>8</v>
      </c>
      <c r="H10" s="8">
        <f t="shared" si="0"/>
        <v>8</v>
      </c>
      <c r="I10" s="8">
        <f t="shared" si="1"/>
        <v>0</v>
      </c>
      <c r="J10" s="8" t="str">
        <f>IF(OR(B10="",C10=""),"",IF(IFERROR(VLOOKUP(C10,RESOURCES!A:C,3,FALSE()),"")=IFERROR(VLOOKUP(B10,TASKS!A:K,4,FALSE()),""),"OK","MISMATCH"))</f>
        <v>OK</v>
      </c>
      <c r="K10" s="8" t="str">
        <f>IF(OR(B10="",D10=""),"",IF(AND(D10&gt;=IFERROR(VLOOKUP(B10,TASKS!A:K,6,FALSE()),0),D10&lt;=IFERROR(VLOOKUP(B10,TASKS!A:K,7,FALSE()),99999)),"OK","OUT OF RANGE"))</f>
        <v>OK</v>
      </c>
    </row>
    <row r="11" spans="1:11" ht="15" customHeight="1" x14ac:dyDescent="0.3">
      <c r="A11" s="5" t="s">
        <v>270</v>
      </c>
      <c r="B11" s="28" t="s">
        <v>159</v>
      </c>
      <c r="C11" s="28" t="s">
        <v>79</v>
      </c>
      <c r="D11" s="29">
        <v>46118</v>
      </c>
      <c r="E11" s="28">
        <v>4</v>
      </c>
      <c r="F11" s="28" t="s">
        <v>261</v>
      </c>
      <c r="G11" s="8">
        <f>IFERROR(VLOOKUP(B11,TASKS!A:K,8,FALSE()),"")</f>
        <v>8</v>
      </c>
      <c r="H11" s="8">
        <f t="shared" si="0"/>
        <v>8</v>
      </c>
      <c r="I11" s="8">
        <f t="shared" si="1"/>
        <v>0</v>
      </c>
      <c r="J11" s="8" t="str">
        <f>IF(OR(B11="",C11=""),"",IF(IFERROR(VLOOKUP(C11,RESOURCES!A:C,3,FALSE()),"")=IFERROR(VLOOKUP(B11,TASKS!A:K,4,FALSE()),""),"OK","MISMATCH"))</f>
        <v>OK</v>
      </c>
      <c r="K11" s="8" t="str">
        <f>IF(OR(B11="",D11=""),"",IF(AND(D11&gt;=IFERROR(VLOOKUP(B11,TASKS!A:K,6,FALSE()),0),D11&lt;=IFERROR(VLOOKUP(B11,TASKS!A:K,7,FALSE()),99999)),"OK","OUT OF RANGE"))</f>
        <v>OK</v>
      </c>
    </row>
    <row r="12" spans="1:11" ht="15" customHeight="1" x14ac:dyDescent="0.3">
      <c r="A12" s="5" t="s">
        <v>271</v>
      </c>
      <c r="B12" s="28" t="s">
        <v>163</v>
      </c>
      <c r="C12" s="28" t="s">
        <v>74</v>
      </c>
      <c r="D12" s="29">
        <v>46118</v>
      </c>
      <c r="E12" s="28">
        <v>3</v>
      </c>
      <c r="F12" s="28" t="s">
        <v>261</v>
      </c>
      <c r="G12" s="8">
        <f>IFERROR(VLOOKUP(B12,TASKS!A:K,8,FALSE()),"")</f>
        <v>6</v>
      </c>
      <c r="H12" s="8">
        <f t="shared" si="0"/>
        <v>6</v>
      </c>
      <c r="I12" s="8">
        <f t="shared" si="1"/>
        <v>0</v>
      </c>
      <c r="J12" s="8" t="str">
        <f>IF(OR(B12="",C12=""),"",IF(IFERROR(VLOOKUP(C12,RESOURCES!A:C,3,FALSE()),"")=IFERROR(VLOOKUP(B12,TASKS!A:K,4,FALSE()),""),"OK","MISMATCH"))</f>
        <v>OK</v>
      </c>
      <c r="K12" s="8" t="str">
        <f>IF(OR(B12="",D12=""),"",IF(AND(D12&gt;=IFERROR(VLOOKUP(B12,TASKS!A:K,6,FALSE()),0),D12&lt;=IFERROR(VLOOKUP(B12,TASKS!A:K,7,FALSE()),99999)),"OK","OUT OF RANGE"))</f>
        <v>OK</v>
      </c>
    </row>
    <row r="13" spans="1:11" ht="15" customHeight="1" x14ac:dyDescent="0.3">
      <c r="A13" s="5" t="s">
        <v>272</v>
      </c>
      <c r="B13" s="28" t="s">
        <v>163</v>
      </c>
      <c r="C13" s="28" t="s">
        <v>74</v>
      </c>
      <c r="D13" s="29">
        <v>46125</v>
      </c>
      <c r="E13" s="28">
        <v>3</v>
      </c>
      <c r="F13" s="28" t="s">
        <v>261</v>
      </c>
      <c r="G13" s="8">
        <f>IFERROR(VLOOKUP(B13,TASKS!A:K,8,FALSE()),"")</f>
        <v>6</v>
      </c>
      <c r="H13" s="8">
        <f t="shared" si="0"/>
        <v>6</v>
      </c>
      <c r="I13" s="8">
        <f t="shared" si="1"/>
        <v>0</v>
      </c>
      <c r="J13" s="8" t="str">
        <f>IF(OR(B13="",C13=""),"",IF(IFERROR(VLOOKUP(C13,RESOURCES!A:C,3,FALSE()),"")=IFERROR(VLOOKUP(B13,TASKS!A:K,4,FALSE()),""),"OK","MISMATCH"))</f>
        <v>OK</v>
      </c>
      <c r="K13" s="8" t="str">
        <f>IF(OR(B13="",D13=""),"",IF(AND(D13&gt;=IFERROR(VLOOKUP(B13,TASKS!A:K,6,FALSE()),0),D13&lt;=IFERROR(VLOOKUP(B13,TASKS!A:K,7,FALSE()),99999)),"OK","OUT OF RANGE"))</f>
        <v>OK</v>
      </c>
    </row>
    <row r="14" spans="1:11" ht="15" customHeight="1" x14ac:dyDescent="0.3">
      <c r="A14" s="5" t="s">
        <v>273</v>
      </c>
      <c r="B14" s="28" t="s">
        <v>167</v>
      </c>
      <c r="C14" s="28" t="s">
        <v>79</v>
      </c>
      <c r="D14" s="29">
        <v>46132</v>
      </c>
      <c r="E14" s="28">
        <v>6</v>
      </c>
      <c r="F14" s="28" t="s">
        <v>261</v>
      </c>
      <c r="G14" s="8">
        <f>IFERROR(VLOOKUP(B14,TASKS!A:K,8,FALSE()),"")</f>
        <v>12</v>
      </c>
      <c r="H14" s="8">
        <f t="shared" si="0"/>
        <v>12</v>
      </c>
      <c r="I14" s="8">
        <f t="shared" si="1"/>
        <v>0</v>
      </c>
      <c r="J14" s="8" t="str">
        <f>IF(OR(B14="",C14=""),"",IF(IFERROR(VLOOKUP(C14,RESOURCES!A:C,3,FALSE()),"")=IFERROR(VLOOKUP(B14,TASKS!A:K,4,FALSE()),""),"OK","MISMATCH"))</f>
        <v>OK</v>
      </c>
      <c r="K14" s="8" t="str">
        <f>IF(OR(B14="",D14=""),"",IF(AND(D14&gt;=IFERROR(VLOOKUP(B14,TASKS!A:K,6,FALSE()),0),D14&lt;=IFERROR(VLOOKUP(B14,TASKS!A:K,7,FALSE()),99999)),"OK","OUT OF RANGE"))</f>
        <v>OK</v>
      </c>
    </row>
    <row r="15" spans="1:11" ht="15" customHeight="1" x14ac:dyDescent="0.3">
      <c r="A15" s="5" t="s">
        <v>274</v>
      </c>
      <c r="B15" s="28" t="s">
        <v>167</v>
      </c>
      <c r="C15" s="28" t="s">
        <v>79</v>
      </c>
      <c r="D15" s="29">
        <v>46139</v>
      </c>
      <c r="E15" s="28">
        <v>6</v>
      </c>
      <c r="F15" s="28" t="s">
        <v>261</v>
      </c>
      <c r="G15" s="8">
        <f>IFERROR(VLOOKUP(B15,TASKS!A:K,8,FALSE()),"")</f>
        <v>12</v>
      </c>
      <c r="H15" s="8">
        <f t="shared" si="0"/>
        <v>12</v>
      </c>
      <c r="I15" s="8">
        <f t="shared" si="1"/>
        <v>0</v>
      </c>
      <c r="J15" s="8" t="str">
        <f>IF(OR(B15="",C15=""),"",IF(IFERROR(VLOOKUP(C15,RESOURCES!A:C,3,FALSE()),"")=IFERROR(VLOOKUP(B15,TASKS!A:K,4,FALSE()),""),"OK","MISMATCH"))</f>
        <v>OK</v>
      </c>
      <c r="K15" s="8" t="str">
        <f>IF(OR(B15="",D15=""),"",IF(AND(D15&gt;=IFERROR(VLOOKUP(B15,TASKS!A:K,6,FALSE()),0),D15&lt;=IFERROR(VLOOKUP(B15,TASKS!A:K,7,FALSE()),99999)),"OK","OUT OF RANGE"))</f>
        <v>OK</v>
      </c>
    </row>
    <row r="16" spans="1:11" ht="15" customHeight="1" x14ac:dyDescent="0.3">
      <c r="A16" s="5" t="s">
        <v>275</v>
      </c>
      <c r="B16" s="28" t="s">
        <v>171</v>
      </c>
      <c r="C16" s="28" t="s">
        <v>74</v>
      </c>
      <c r="D16" s="29">
        <v>46090</v>
      </c>
      <c r="E16" s="28">
        <v>2.7</v>
      </c>
      <c r="F16" s="28" t="s">
        <v>261</v>
      </c>
      <c r="G16" s="8">
        <f>IFERROR(VLOOKUP(B16,TASKS!A:K,8,FALSE()),"")</f>
        <v>8</v>
      </c>
      <c r="H16" s="8">
        <f t="shared" si="0"/>
        <v>8</v>
      </c>
      <c r="I16" s="8">
        <f t="shared" si="1"/>
        <v>0</v>
      </c>
      <c r="J16" s="8" t="str">
        <f>IF(OR(B16="",C16=""),"",IF(IFERROR(VLOOKUP(C16,RESOURCES!A:C,3,FALSE()),"")=IFERROR(VLOOKUP(B16,TASKS!A:K,4,FALSE()),""),"OK","MISMATCH"))</f>
        <v>OK</v>
      </c>
      <c r="K16" s="8" t="str">
        <f>IF(OR(B16="",D16=""),"",IF(AND(D16&gt;=IFERROR(VLOOKUP(B16,TASKS!A:K,6,FALSE()),0),D16&lt;=IFERROR(VLOOKUP(B16,TASKS!A:K,7,FALSE()),99999)),"OK","OUT OF RANGE"))</f>
        <v>OK</v>
      </c>
    </row>
    <row r="17" spans="1:11" ht="15" customHeight="1" x14ac:dyDescent="0.3">
      <c r="A17" s="5" t="s">
        <v>276</v>
      </c>
      <c r="B17" s="28" t="s">
        <v>171</v>
      </c>
      <c r="C17" s="28" t="s">
        <v>74</v>
      </c>
      <c r="D17" s="29">
        <v>46097</v>
      </c>
      <c r="E17" s="28">
        <v>2.7</v>
      </c>
      <c r="F17" s="28" t="s">
        <v>261</v>
      </c>
      <c r="G17" s="8">
        <f>IFERROR(VLOOKUP(B17,TASKS!A:K,8,FALSE()),"")</f>
        <v>8</v>
      </c>
      <c r="H17" s="8">
        <f t="shared" si="0"/>
        <v>8</v>
      </c>
      <c r="I17" s="8">
        <f t="shared" si="1"/>
        <v>0</v>
      </c>
      <c r="J17" s="8" t="str">
        <f>IF(OR(B17="",C17=""),"",IF(IFERROR(VLOOKUP(C17,RESOURCES!A:C,3,FALSE()),"")=IFERROR(VLOOKUP(B17,TASKS!A:K,4,FALSE()),""),"OK","MISMATCH"))</f>
        <v>OK</v>
      </c>
      <c r="K17" s="8" t="str">
        <f>IF(OR(B17="",D17=""),"",IF(AND(D17&gt;=IFERROR(VLOOKUP(B17,TASKS!A:K,6,FALSE()),0),D17&lt;=IFERROR(VLOOKUP(B17,TASKS!A:K,7,FALSE()),99999)),"OK","OUT OF RANGE"))</f>
        <v>OK</v>
      </c>
    </row>
    <row r="18" spans="1:11" ht="15" customHeight="1" x14ac:dyDescent="0.3">
      <c r="A18" s="5" t="s">
        <v>277</v>
      </c>
      <c r="B18" s="28" t="s">
        <v>171</v>
      </c>
      <c r="C18" s="28" t="s">
        <v>74</v>
      </c>
      <c r="D18" s="29">
        <v>46104</v>
      </c>
      <c r="E18" s="28">
        <v>2.6</v>
      </c>
      <c r="F18" s="28" t="s">
        <v>261</v>
      </c>
      <c r="G18" s="8">
        <f>IFERROR(VLOOKUP(B18,TASKS!A:K,8,FALSE()),"")</f>
        <v>8</v>
      </c>
      <c r="H18" s="8">
        <f t="shared" si="0"/>
        <v>8</v>
      </c>
      <c r="I18" s="8">
        <f t="shared" si="1"/>
        <v>0</v>
      </c>
      <c r="J18" s="8" t="str">
        <f>IF(OR(B18="",C18=""),"",IF(IFERROR(VLOOKUP(C18,RESOURCES!A:C,3,FALSE()),"")=IFERROR(VLOOKUP(B18,TASKS!A:K,4,FALSE()),""),"OK","MISMATCH"))</f>
        <v>OK</v>
      </c>
      <c r="K18" s="8" t="str">
        <f>IF(OR(B18="",D18=""),"",IF(AND(D18&gt;=IFERROR(VLOOKUP(B18,TASKS!A:K,6,FALSE()),0),D18&lt;=IFERROR(VLOOKUP(B18,TASKS!A:K,7,FALSE()),99999)),"OK","OUT OF RANGE"))</f>
        <v>OK</v>
      </c>
    </row>
    <row r="19" spans="1:11" ht="15" customHeight="1" x14ac:dyDescent="0.3">
      <c r="A19" s="5" t="s">
        <v>278</v>
      </c>
      <c r="B19" s="28" t="s">
        <v>175</v>
      </c>
      <c r="C19" s="28" t="s">
        <v>74</v>
      </c>
      <c r="D19" s="29">
        <v>46111</v>
      </c>
      <c r="E19" s="28">
        <v>5</v>
      </c>
      <c r="F19" s="28" t="s">
        <v>261</v>
      </c>
      <c r="G19" s="8">
        <f>IFERROR(VLOOKUP(B19,TASKS!A:K,8,FALSE()),"")</f>
        <v>10</v>
      </c>
      <c r="H19" s="8">
        <f t="shared" si="0"/>
        <v>10</v>
      </c>
      <c r="I19" s="8">
        <f t="shared" si="1"/>
        <v>0</v>
      </c>
      <c r="J19" s="8" t="str">
        <f>IF(OR(B19="",C19=""),"",IF(IFERROR(VLOOKUP(C19,RESOURCES!A:C,3,FALSE()),"")=IFERROR(VLOOKUP(B19,TASKS!A:K,4,FALSE()),""),"OK","MISMATCH"))</f>
        <v>OK</v>
      </c>
      <c r="K19" s="8" t="str">
        <f>IF(OR(B19="",D19=""),"",IF(AND(D19&gt;=IFERROR(VLOOKUP(B19,TASKS!A:K,6,FALSE()),0),D19&lt;=IFERROR(VLOOKUP(B19,TASKS!A:K,7,FALSE()),99999)),"OK","OUT OF RANGE"))</f>
        <v>OK</v>
      </c>
    </row>
    <row r="20" spans="1:11" ht="15" customHeight="1" x14ac:dyDescent="0.3">
      <c r="A20" s="5" t="s">
        <v>279</v>
      </c>
      <c r="B20" s="28" t="s">
        <v>175</v>
      </c>
      <c r="C20" s="28" t="s">
        <v>74</v>
      </c>
      <c r="D20" s="29">
        <v>46118</v>
      </c>
      <c r="E20" s="28">
        <v>5</v>
      </c>
      <c r="F20" s="28" t="s">
        <v>261</v>
      </c>
      <c r="G20" s="8">
        <f>IFERROR(VLOOKUP(B20,TASKS!A:K,8,FALSE()),"")</f>
        <v>10</v>
      </c>
      <c r="H20" s="8">
        <f t="shared" si="0"/>
        <v>10</v>
      </c>
      <c r="I20" s="8">
        <f t="shared" si="1"/>
        <v>0</v>
      </c>
      <c r="J20" s="8" t="str">
        <f>IF(OR(B20="",C20=""),"",IF(IFERROR(VLOOKUP(C20,RESOURCES!A:C,3,FALSE()),"")=IFERROR(VLOOKUP(B20,TASKS!A:K,4,FALSE()),""),"OK","MISMATCH"))</f>
        <v>OK</v>
      </c>
      <c r="K20" s="8" t="str">
        <f>IF(OR(B20="",D20=""),"",IF(AND(D20&gt;=IFERROR(VLOOKUP(B20,TASKS!A:K,6,FALSE()),0),D20&lt;=IFERROR(VLOOKUP(B20,TASKS!A:K,7,FALSE()),99999)),"OK","OUT OF RANGE"))</f>
        <v>OK</v>
      </c>
    </row>
    <row r="21" spans="1:11" ht="15" customHeight="1" x14ac:dyDescent="0.3">
      <c r="A21" s="5" t="s">
        <v>280</v>
      </c>
      <c r="B21" s="28" t="s">
        <v>178</v>
      </c>
      <c r="C21" s="28" t="s">
        <v>74</v>
      </c>
      <c r="D21" s="29">
        <v>46125</v>
      </c>
      <c r="E21" s="28">
        <v>3</v>
      </c>
      <c r="F21" s="28" t="s">
        <v>261</v>
      </c>
      <c r="G21" s="8">
        <f>IFERROR(VLOOKUP(B21,TASKS!A:K,8,FALSE()),"")</f>
        <v>6</v>
      </c>
      <c r="H21" s="8">
        <f t="shared" si="0"/>
        <v>6</v>
      </c>
      <c r="I21" s="8">
        <f>IFERROR(G21-H21,"")</f>
        <v>0</v>
      </c>
      <c r="J21" s="8" t="str">
        <f>IF(OR(B21="",C21=""),"",IF(IFERROR(VLOOKUP(C21,RESOURCES!A:C,3,FALSE()),"")=IFERROR(VLOOKUP(B21,TASKS!A:K,4,FALSE()),""),"OK","MISMATCH"))</f>
        <v>OK</v>
      </c>
      <c r="K21" s="8" t="str">
        <f>IF(OR(B21="",D21=""),"",IF(AND(D21&gt;=IFERROR(VLOOKUP(B21,TASKS!A:K,6,FALSE()),0),D21&lt;=IFERROR(VLOOKUP(B21,TASKS!A:K,7,FALSE()),99999)),"OK","OUT OF RANGE"))</f>
        <v>OK</v>
      </c>
    </row>
    <row r="22" spans="1:11" ht="15" customHeight="1" x14ac:dyDescent="0.3">
      <c r="A22" s="5" t="s">
        <v>281</v>
      </c>
      <c r="B22" s="28" t="s">
        <v>178</v>
      </c>
      <c r="C22" s="28" t="s">
        <v>74</v>
      </c>
      <c r="D22" s="29">
        <v>46132</v>
      </c>
      <c r="E22" s="28">
        <v>3</v>
      </c>
      <c r="F22" s="28" t="s">
        <v>261</v>
      </c>
      <c r="G22" s="8">
        <f>IFERROR(VLOOKUP(B22,TASKS!A:K,8,FALSE()),"")</f>
        <v>6</v>
      </c>
      <c r="H22" s="8">
        <f t="shared" si="0"/>
        <v>6</v>
      </c>
      <c r="I22" s="8">
        <f t="shared" si="1"/>
        <v>0</v>
      </c>
      <c r="J22" s="8" t="str">
        <f>IF(OR(B22="",C22=""),"",IF(IFERROR(VLOOKUP(C22,RESOURCES!A:C,3,FALSE()),"")=IFERROR(VLOOKUP(B22,TASKS!A:K,4,FALSE()),""),"OK","MISMATCH"))</f>
        <v>OK</v>
      </c>
      <c r="K22" s="8" t="str">
        <f>IF(OR(B22="",D22=""),"",IF(AND(D22&gt;=IFERROR(VLOOKUP(B22,TASKS!A:K,6,FALSE()),0),D22&lt;=IFERROR(VLOOKUP(B22,TASKS!A:K,7,FALSE()),99999)),"OK","OUT OF RANGE"))</f>
        <v>OK</v>
      </c>
    </row>
    <row r="23" spans="1:11" ht="15" customHeight="1" x14ac:dyDescent="0.3">
      <c r="A23" s="5" t="s">
        <v>282</v>
      </c>
      <c r="B23" s="28" t="s">
        <v>180</v>
      </c>
      <c r="C23" s="28" t="s">
        <v>79</v>
      </c>
      <c r="D23" s="29">
        <v>46132</v>
      </c>
      <c r="E23" s="28">
        <v>5</v>
      </c>
      <c r="F23" s="28" t="s">
        <v>261</v>
      </c>
      <c r="G23" s="8">
        <f>IFERROR(VLOOKUP(B23,TASKS!A:K,8,FALSE()),"")</f>
        <v>15</v>
      </c>
      <c r="H23" s="8">
        <f t="shared" si="0"/>
        <v>15</v>
      </c>
      <c r="I23" s="8">
        <f>IFERROR(G23-H23,"")</f>
        <v>0</v>
      </c>
      <c r="J23" s="8" t="str">
        <f>IF(OR(B23="",C23=""),"",IF(IFERROR(VLOOKUP(C23,RESOURCES!A:C,3,FALSE()),"")=IFERROR(VLOOKUP(B23,TASKS!A:K,4,FALSE()),""),"OK","MISMATCH"))</f>
        <v>OK</v>
      </c>
      <c r="K23" s="8" t="str">
        <f>IF(OR(B23="",D23=""),"",IF(AND(D23&gt;=IFERROR(VLOOKUP(B23,TASKS!A:K,6,FALSE()),0),D23&lt;=IFERROR(VLOOKUP(B23,TASKS!A:K,7,FALSE()),99999)),"OK","OUT OF RANGE"))</f>
        <v>OK</v>
      </c>
    </row>
    <row r="24" spans="1:11" ht="15" customHeight="1" x14ac:dyDescent="0.3">
      <c r="A24" s="5" t="s">
        <v>283</v>
      </c>
      <c r="B24" s="28" t="s">
        <v>180</v>
      </c>
      <c r="C24" s="28" t="s">
        <v>79</v>
      </c>
      <c r="D24" s="29">
        <v>46139</v>
      </c>
      <c r="E24" s="28">
        <v>5</v>
      </c>
      <c r="F24" s="28" t="s">
        <v>261</v>
      </c>
      <c r="G24" s="8">
        <f>IFERROR(VLOOKUP(B24,TASKS!A:K,8,FALSE()),"")</f>
        <v>15</v>
      </c>
      <c r="H24" s="8">
        <f t="shared" si="0"/>
        <v>15</v>
      </c>
      <c r="I24" s="8">
        <f>IFERROR(G24-H24,"")</f>
        <v>0</v>
      </c>
      <c r="J24" s="8" t="str">
        <f>IF(OR(B24="",C24=""),"",IF(IFERROR(VLOOKUP(C24,RESOURCES!A:C,3,FALSE()),"")=IFERROR(VLOOKUP(B24,TASKS!A:K,4,FALSE()),""),"OK","MISMATCH"))</f>
        <v>OK</v>
      </c>
      <c r="K24" s="8" t="str">
        <f>IF(OR(B24="",D24=""),"",IF(AND(D24&gt;=IFERROR(VLOOKUP(B24,TASKS!A:K,6,FALSE()),0),D24&lt;=IFERROR(VLOOKUP(B24,TASKS!A:K,7,FALSE()),99999)),"OK","OUT OF RANGE"))</f>
        <v>OK</v>
      </c>
    </row>
    <row r="25" spans="1:11" ht="15" customHeight="1" x14ac:dyDescent="0.3">
      <c r="A25" s="5" t="s">
        <v>284</v>
      </c>
      <c r="B25" s="28" t="s">
        <v>180</v>
      </c>
      <c r="C25" s="28" t="s">
        <v>79</v>
      </c>
      <c r="D25" s="29">
        <v>46146</v>
      </c>
      <c r="E25" s="28">
        <v>5</v>
      </c>
      <c r="F25" s="28" t="s">
        <v>261</v>
      </c>
      <c r="G25" s="8">
        <f>IFERROR(VLOOKUP(B25,TASKS!A:K,8,FALSE()),"")</f>
        <v>15</v>
      </c>
      <c r="H25" s="8">
        <f t="shared" si="0"/>
        <v>15</v>
      </c>
      <c r="I25" s="8">
        <f>IFERROR(G25-H25,"")</f>
        <v>0</v>
      </c>
      <c r="J25" s="8" t="str">
        <f>IF(OR(B25="",C25=""),"",IF(IFERROR(VLOOKUP(C25,RESOURCES!A:C,3,FALSE()),"")=IFERROR(VLOOKUP(B25,TASKS!A:K,4,FALSE()),""),"OK","MISMATCH"))</f>
        <v>OK</v>
      </c>
      <c r="K25" s="8" t="str">
        <f>IF(OR(B25="",D25=""),"",IF(AND(D25&gt;=IFERROR(VLOOKUP(B25,TASKS!A:K,6,FALSE()),0),D25&lt;=IFERROR(VLOOKUP(B25,TASKS!A:K,7,FALSE()),99999)),"OK","OUT OF RANGE"))</f>
        <v>OK</v>
      </c>
    </row>
    <row r="26" spans="1:11" ht="15" customHeight="1" x14ac:dyDescent="0.3">
      <c r="A26" s="5" t="s">
        <v>285</v>
      </c>
      <c r="B26" s="28" t="s">
        <v>184</v>
      </c>
      <c r="C26" s="28" t="s">
        <v>85</v>
      </c>
      <c r="D26" s="29">
        <v>46132</v>
      </c>
      <c r="E26" s="28">
        <v>3.8</v>
      </c>
      <c r="F26" s="28" t="s">
        <v>261</v>
      </c>
      <c r="G26" s="8">
        <f>IFERROR(VLOOKUP(B26,TASKS!A:K,8,FALSE()),"")</f>
        <v>15</v>
      </c>
      <c r="H26" s="8">
        <f t="shared" si="0"/>
        <v>14.999999999999998</v>
      </c>
      <c r="I26" s="8">
        <f>IFERROR(G26-H26,"")</f>
        <v>1.7763568394002505E-15</v>
      </c>
      <c r="J26" s="8" t="str">
        <f>IF(OR(B26="",C26=""),"",IF(IFERROR(VLOOKUP(C26,RESOURCES!A:C,3,FALSE()),"")=IFERROR(VLOOKUP(B26,TASKS!A:K,4,FALSE()),""),"OK","MISMATCH"))</f>
        <v>OK</v>
      </c>
      <c r="K26" s="8" t="str">
        <f>IF(OR(B26="",D26=""),"",IF(AND(D26&gt;=IFERROR(VLOOKUP(B26,TASKS!A:K,6,FALSE()),0),D26&lt;=IFERROR(VLOOKUP(B26,TASKS!A:K,7,FALSE()),99999)),"OK","OUT OF RANGE"))</f>
        <v>OK</v>
      </c>
    </row>
    <row r="27" spans="1:11" ht="15" customHeight="1" x14ac:dyDescent="0.3">
      <c r="A27" s="5" t="s">
        <v>286</v>
      </c>
      <c r="B27" s="28" t="s">
        <v>184</v>
      </c>
      <c r="C27" s="28" t="s">
        <v>85</v>
      </c>
      <c r="D27" s="29">
        <v>46139</v>
      </c>
      <c r="E27" s="28">
        <v>3.8</v>
      </c>
      <c r="F27" s="28" t="s">
        <v>261</v>
      </c>
      <c r="G27" s="8">
        <f>IFERROR(VLOOKUP(B27,TASKS!A:K,8,FALSE()),"")</f>
        <v>15</v>
      </c>
      <c r="H27" s="8">
        <f t="shared" si="0"/>
        <v>14.999999999999998</v>
      </c>
      <c r="I27" s="8">
        <f>IFERROR(G27-H27,"")</f>
        <v>1.7763568394002505E-15</v>
      </c>
      <c r="J27" s="8" t="str">
        <f>IF(OR(B27="",C27=""),"",IF(IFERROR(VLOOKUP(C27,RESOURCES!A:C,3,FALSE()),"")=IFERROR(VLOOKUP(B27,TASKS!A:K,4,FALSE()),""),"OK","MISMATCH"))</f>
        <v>OK</v>
      </c>
      <c r="K27" s="8" t="str">
        <f>IF(OR(B27="",D27=""),"",IF(AND(D27&gt;=IFERROR(VLOOKUP(B27,TASKS!A:K,6,FALSE()),0),D27&lt;=IFERROR(VLOOKUP(B27,TASKS!A:K,7,FALSE()),99999)),"OK","OUT OF RANGE"))</f>
        <v>OK</v>
      </c>
    </row>
    <row r="28" spans="1:11" ht="15" customHeight="1" x14ac:dyDescent="0.3">
      <c r="A28" s="5" t="s">
        <v>287</v>
      </c>
      <c r="B28" s="28" t="s">
        <v>184</v>
      </c>
      <c r="C28" s="28" t="s">
        <v>85</v>
      </c>
      <c r="D28" s="29">
        <v>46146</v>
      </c>
      <c r="E28" s="28">
        <v>3.8</v>
      </c>
      <c r="F28" s="28" t="s">
        <v>261</v>
      </c>
      <c r="G28" s="8">
        <f>IFERROR(VLOOKUP(B28,TASKS!A:K,8,FALSE()),"")</f>
        <v>15</v>
      </c>
      <c r="H28" s="8">
        <f t="shared" si="0"/>
        <v>14.999999999999998</v>
      </c>
      <c r="I28" s="8">
        <f t="shared" si="1"/>
        <v>1.7763568394002505E-15</v>
      </c>
      <c r="J28" s="8" t="str">
        <f>IF(OR(B28="",C28=""),"",IF(IFERROR(VLOOKUP(C28,RESOURCES!A:C,3,FALSE()),"")=IFERROR(VLOOKUP(B28,TASKS!A:K,4,FALSE()),""),"OK","MISMATCH"))</f>
        <v>OK</v>
      </c>
      <c r="K28" s="8" t="str">
        <f>IF(OR(B28="",D28=""),"",IF(AND(D28&gt;=IFERROR(VLOOKUP(B28,TASKS!A:K,6,FALSE()),0),D28&lt;=IFERROR(VLOOKUP(B28,TASKS!A:K,7,FALSE()),99999)),"OK","OUT OF RANGE"))</f>
        <v>OK</v>
      </c>
    </row>
    <row r="29" spans="1:11" ht="15" customHeight="1" x14ac:dyDescent="0.3">
      <c r="A29" s="5" t="s">
        <v>288</v>
      </c>
      <c r="B29" s="28" t="s">
        <v>184</v>
      </c>
      <c r="C29" s="28" t="s">
        <v>85</v>
      </c>
      <c r="D29" s="29">
        <v>46153</v>
      </c>
      <c r="E29" s="28">
        <v>3.6</v>
      </c>
      <c r="F29" s="28" t="s">
        <v>261</v>
      </c>
      <c r="G29" s="8">
        <f>IFERROR(VLOOKUP(B29,TASKS!A:K,8,FALSE()),"")</f>
        <v>15</v>
      </c>
      <c r="H29" s="8">
        <f t="shared" si="0"/>
        <v>14.999999999999998</v>
      </c>
      <c r="I29" s="8">
        <f>IFERROR(G29-H29,"")</f>
        <v>1.7763568394002505E-15</v>
      </c>
      <c r="J29" s="8" t="str">
        <f>IF(OR(B29="",C29=""),"",IF(IFERROR(VLOOKUP(C29,RESOURCES!A:C,3,FALSE()),"")=IFERROR(VLOOKUP(B29,TASKS!A:K,4,FALSE()),""),"OK","MISMATCH"))</f>
        <v>OK</v>
      </c>
      <c r="K29" s="8" t="str">
        <f>IF(OR(B29="",D29=""),"",IF(AND(D29&gt;=IFERROR(VLOOKUP(B29,TASKS!A:K,6,FALSE()),0),D29&lt;=IFERROR(VLOOKUP(B29,TASKS!A:K,7,FALSE()),99999)),"OK","OUT OF RANGE"))</f>
        <v>OK</v>
      </c>
    </row>
    <row r="30" spans="1:11" ht="15" customHeight="1" x14ac:dyDescent="0.3">
      <c r="A30" s="5" t="s">
        <v>289</v>
      </c>
      <c r="B30" s="28" t="s">
        <v>188</v>
      </c>
      <c r="C30" s="28" t="s">
        <v>79</v>
      </c>
      <c r="D30" s="29">
        <v>46076</v>
      </c>
      <c r="E30" s="28">
        <v>15</v>
      </c>
      <c r="F30" s="28" t="s">
        <v>125</v>
      </c>
      <c r="G30" s="8">
        <f>IFERROR(VLOOKUP(B30,TASKS!A:K,8,FALSE()),"")</f>
        <v>240</v>
      </c>
      <c r="H30" s="8">
        <f t="shared" si="0"/>
        <v>240</v>
      </c>
      <c r="I30" s="8">
        <f t="shared" si="1"/>
        <v>0</v>
      </c>
      <c r="J30" s="8" t="str">
        <f>IF(OR(B30="",C30=""),"",IF(IFERROR(VLOOKUP(C30,RESOURCES!A:C,3,FALSE()),"")=IFERROR(VLOOKUP(B30,TASKS!A:K,4,FALSE()),""),"OK","MISMATCH"))</f>
        <v>OK</v>
      </c>
      <c r="K30" s="8" t="str">
        <f>IF(OR(B30="",D30=""),"",IF(AND(D30&gt;=IFERROR(VLOOKUP(B30,TASKS!A:K,6,FALSE()),0),D30&lt;=IFERROR(VLOOKUP(B30,TASKS!A:K,7,FALSE()),99999)),"OK","OUT OF RANGE"))</f>
        <v>OK</v>
      </c>
    </row>
    <row r="31" spans="1:11" ht="15" customHeight="1" x14ac:dyDescent="0.3">
      <c r="A31" s="5" t="s">
        <v>290</v>
      </c>
      <c r="B31" s="28" t="s">
        <v>188</v>
      </c>
      <c r="C31" s="28" t="s">
        <v>79</v>
      </c>
      <c r="D31" s="29">
        <v>46083</v>
      </c>
      <c r="E31" s="28">
        <v>15</v>
      </c>
      <c r="F31" s="28" t="s">
        <v>261</v>
      </c>
      <c r="G31" s="8">
        <f>IFERROR(VLOOKUP(B31,TASKS!A:K,8,FALSE()),"")</f>
        <v>240</v>
      </c>
      <c r="H31" s="8">
        <f t="shared" si="0"/>
        <v>240</v>
      </c>
      <c r="I31" s="8">
        <f t="shared" si="1"/>
        <v>0</v>
      </c>
      <c r="J31" s="8" t="str">
        <f>IF(OR(B31="",C31=""),"",IF(IFERROR(VLOOKUP(C31,RESOURCES!A:C,3,FALSE()),"")=IFERROR(VLOOKUP(B31,TASKS!A:K,4,FALSE()),""),"OK","MISMATCH"))</f>
        <v>OK</v>
      </c>
      <c r="K31" s="8" t="str">
        <f>IF(OR(B31="",D31=""),"",IF(AND(D31&gt;=IFERROR(VLOOKUP(B31,TASKS!A:K,6,FALSE()),0),D31&lt;=IFERROR(VLOOKUP(B31,TASKS!A:K,7,FALSE()),99999)),"OK","OUT OF RANGE"))</f>
        <v>OK</v>
      </c>
    </row>
    <row r="32" spans="1:11" ht="15" customHeight="1" x14ac:dyDescent="0.3">
      <c r="A32" s="5" t="s">
        <v>291</v>
      </c>
      <c r="B32" s="28" t="s">
        <v>188</v>
      </c>
      <c r="C32" s="28" t="s">
        <v>79</v>
      </c>
      <c r="D32" s="29">
        <v>46090</v>
      </c>
      <c r="E32" s="28">
        <v>15</v>
      </c>
      <c r="F32" s="28" t="s">
        <v>261</v>
      </c>
      <c r="G32" s="8">
        <f>IFERROR(VLOOKUP(B32,TASKS!A:K,8,FALSE()),"")</f>
        <v>240</v>
      </c>
      <c r="H32" s="8">
        <f t="shared" si="0"/>
        <v>240</v>
      </c>
      <c r="I32" s="8">
        <f t="shared" si="1"/>
        <v>0</v>
      </c>
      <c r="J32" s="8" t="str">
        <f>IF(OR(B32="",C32=""),"",IF(IFERROR(VLOOKUP(C32,RESOURCES!A:C,3,FALSE()),"")=IFERROR(VLOOKUP(B32,TASKS!A:K,4,FALSE()),""),"OK","MISMATCH"))</f>
        <v>OK</v>
      </c>
      <c r="K32" s="8" t="str">
        <f>IF(OR(B32="",D32=""),"",IF(AND(D32&gt;=IFERROR(VLOOKUP(B32,TASKS!A:K,6,FALSE()),0),D32&lt;=IFERROR(VLOOKUP(B32,TASKS!A:K,7,FALSE()),99999)),"OK","OUT OF RANGE"))</f>
        <v>OK</v>
      </c>
    </row>
    <row r="33" spans="1:11" ht="15" customHeight="1" x14ac:dyDescent="0.3">
      <c r="A33" s="5" t="s">
        <v>292</v>
      </c>
      <c r="B33" s="28" t="s">
        <v>188</v>
      </c>
      <c r="C33" s="28" t="s">
        <v>79</v>
      </c>
      <c r="D33" s="29">
        <v>46097</v>
      </c>
      <c r="E33" s="28">
        <v>15</v>
      </c>
      <c r="F33" s="28" t="s">
        <v>261</v>
      </c>
      <c r="G33" s="8">
        <f>IFERROR(VLOOKUP(B33,TASKS!A:K,8,FALSE()),"")</f>
        <v>240</v>
      </c>
      <c r="H33" s="8">
        <f t="shared" si="0"/>
        <v>240</v>
      </c>
      <c r="I33" s="8">
        <f t="shared" si="1"/>
        <v>0</v>
      </c>
      <c r="J33" s="8" t="str">
        <f>IF(OR(B33="",C33=""),"",IF(IFERROR(VLOOKUP(C33,RESOURCES!A:C,3,FALSE()),"")=IFERROR(VLOOKUP(B33,TASKS!A:K,4,FALSE()),""),"OK","MISMATCH"))</f>
        <v>OK</v>
      </c>
      <c r="K33" s="8" t="str">
        <f>IF(OR(B33="",D33=""),"",IF(AND(D33&gt;=IFERROR(VLOOKUP(B33,TASKS!A:K,6,FALSE()),0),D33&lt;=IFERROR(VLOOKUP(B33,TASKS!A:K,7,FALSE()),99999)),"OK","OUT OF RANGE"))</f>
        <v>OK</v>
      </c>
    </row>
    <row r="34" spans="1:11" ht="15" customHeight="1" x14ac:dyDescent="0.3">
      <c r="A34" s="5" t="s">
        <v>293</v>
      </c>
      <c r="B34" s="28" t="s">
        <v>188</v>
      </c>
      <c r="C34" s="28" t="s">
        <v>79</v>
      </c>
      <c r="D34" s="29">
        <v>46104</v>
      </c>
      <c r="E34" s="28">
        <v>15</v>
      </c>
      <c r="F34" s="28" t="s">
        <v>261</v>
      </c>
      <c r="G34" s="8">
        <f>IFERROR(VLOOKUP(B34,TASKS!A:K,8,FALSE()),"")</f>
        <v>240</v>
      </c>
      <c r="H34" s="8">
        <f t="shared" si="0"/>
        <v>240</v>
      </c>
      <c r="I34" s="8">
        <f t="shared" si="1"/>
        <v>0</v>
      </c>
      <c r="J34" s="8" t="str">
        <f>IF(OR(B34="",C34=""),"",IF(IFERROR(VLOOKUP(C34,RESOURCES!A:C,3,FALSE()),"")=IFERROR(VLOOKUP(B34,TASKS!A:K,4,FALSE()),""),"OK","MISMATCH"))</f>
        <v>OK</v>
      </c>
      <c r="K34" s="8" t="str">
        <f>IF(OR(B34="",D34=""),"",IF(AND(D34&gt;=IFERROR(VLOOKUP(B34,TASKS!A:K,6,FALSE()),0),D34&lt;=IFERROR(VLOOKUP(B34,TASKS!A:K,7,FALSE()),99999)),"OK","OUT OF RANGE"))</f>
        <v>OK</v>
      </c>
    </row>
    <row r="35" spans="1:11" ht="15" customHeight="1" x14ac:dyDescent="0.3">
      <c r="A35" s="5" t="s">
        <v>294</v>
      </c>
      <c r="B35" s="28" t="s">
        <v>188</v>
      </c>
      <c r="C35" s="28" t="s">
        <v>79</v>
      </c>
      <c r="D35" s="29">
        <v>46111</v>
      </c>
      <c r="E35" s="28">
        <v>15</v>
      </c>
      <c r="F35" s="28" t="s">
        <v>261</v>
      </c>
      <c r="G35" s="8">
        <f>IFERROR(VLOOKUP(B35,TASKS!A:K,8,FALSE()),"")</f>
        <v>240</v>
      </c>
      <c r="H35" s="8">
        <f t="shared" si="0"/>
        <v>240</v>
      </c>
      <c r="I35" s="8">
        <f t="shared" si="1"/>
        <v>0</v>
      </c>
      <c r="J35" s="8" t="str">
        <f>IF(OR(B35="",C35=""),"",IF(IFERROR(VLOOKUP(C35,RESOURCES!A:C,3,FALSE()),"")=IFERROR(VLOOKUP(B35,TASKS!A:K,4,FALSE()),""),"OK","MISMATCH"))</f>
        <v>OK</v>
      </c>
      <c r="K35" s="8" t="str">
        <f>IF(OR(B35="",D35=""),"",IF(AND(D35&gt;=IFERROR(VLOOKUP(B35,TASKS!A:K,6,FALSE()),0),D35&lt;=IFERROR(VLOOKUP(B35,TASKS!A:K,7,FALSE()),99999)),"OK","OUT OF RANGE"))</f>
        <v>OK</v>
      </c>
    </row>
    <row r="36" spans="1:11" ht="15" customHeight="1" x14ac:dyDescent="0.3">
      <c r="A36" s="5" t="s">
        <v>295</v>
      </c>
      <c r="B36" s="28" t="s">
        <v>188</v>
      </c>
      <c r="C36" s="28" t="s">
        <v>79</v>
      </c>
      <c r="D36" s="29">
        <v>46118</v>
      </c>
      <c r="E36" s="28">
        <v>15</v>
      </c>
      <c r="F36" s="28" t="s">
        <v>261</v>
      </c>
      <c r="G36" s="8">
        <f>IFERROR(VLOOKUP(B36,TASKS!A:K,8,FALSE()),"")</f>
        <v>240</v>
      </c>
      <c r="H36" s="8">
        <f t="shared" si="0"/>
        <v>240</v>
      </c>
      <c r="I36" s="8">
        <f t="shared" si="1"/>
        <v>0</v>
      </c>
      <c r="J36" s="8" t="str">
        <f>IF(OR(B36="",C36=""),"",IF(IFERROR(VLOOKUP(C36,RESOURCES!A:C,3,FALSE()),"")=IFERROR(VLOOKUP(B36,TASKS!A:K,4,FALSE()),""),"OK","MISMATCH"))</f>
        <v>OK</v>
      </c>
      <c r="K36" s="8" t="str">
        <f>IF(OR(B36="",D36=""),"",IF(AND(D36&gt;=IFERROR(VLOOKUP(B36,TASKS!A:K,6,FALSE()),0),D36&lt;=IFERROR(VLOOKUP(B36,TASKS!A:K,7,FALSE()),99999)),"OK","OUT OF RANGE"))</f>
        <v>OK</v>
      </c>
    </row>
    <row r="37" spans="1:11" ht="15" customHeight="1" x14ac:dyDescent="0.3">
      <c r="A37" s="5" t="s">
        <v>296</v>
      </c>
      <c r="B37" s="28" t="s">
        <v>188</v>
      </c>
      <c r="C37" s="28" t="s">
        <v>79</v>
      </c>
      <c r="D37" s="29">
        <v>46125</v>
      </c>
      <c r="E37" s="28">
        <v>15</v>
      </c>
      <c r="F37" s="28" t="s">
        <v>261</v>
      </c>
      <c r="G37" s="8">
        <f>IFERROR(VLOOKUP(B37,TASKS!A:K,8,FALSE()),"")</f>
        <v>240</v>
      </c>
      <c r="H37" s="8">
        <f t="shared" si="0"/>
        <v>240</v>
      </c>
      <c r="I37" s="8">
        <f t="shared" si="1"/>
        <v>0</v>
      </c>
      <c r="J37" s="8" t="str">
        <f>IF(OR(B37="",C37=""),"",IF(IFERROR(VLOOKUP(C37,RESOURCES!A:C,3,FALSE()),"")=IFERROR(VLOOKUP(B37,TASKS!A:K,4,FALSE()),""),"OK","MISMATCH"))</f>
        <v>OK</v>
      </c>
      <c r="K37" s="8" t="str">
        <f>IF(OR(B37="",D37=""),"",IF(AND(D37&gt;=IFERROR(VLOOKUP(B37,TASKS!A:K,6,FALSE()),0),D37&lt;=IFERROR(VLOOKUP(B37,TASKS!A:K,7,FALSE()),99999)),"OK","OUT OF RANGE"))</f>
        <v>OK</v>
      </c>
    </row>
    <row r="38" spans="1:11" ht="15" customHeight="1" x14ac:dyDescent="0.3">
      <c r="A38" s="5" t="s">
        <v>297</v>
      </c>
      <c r="B38" s="28" t="s">
        <v>188</v>
      </c>
      <c r="C38" s="28" t="s">
        <v>79</v>
      </c>
      <c r="D38" s="29">
        <v>46132</v>
      </c>
      <c r="E38" s="28">
        <v>15</v>
      </c>
      <c r="F38" s="28" t="s">
        <v>261</v>
      </c>
      <c r="G38" s="8">
        <f>IFERROR(VLOOKUP(B38,TASKS!A:K,8,FALSE()),"")</f>
        <v>240</v>
      </c>
      <c r="H38" s="8">
        <f t="shared" si="0"/>
        <v>240</v>
      </c>
      <c r="I38" s="8">
        <f t="shared" si="1"/>
        <v>0</v>
      </c>
      <c r="J38" s="8" t="str">
        <f>IF(OR(B38="",C38=""),"",IF(IFERROR(VLOOKUP(C38,RESOURCES!A:C,3,FALSE()),"")=IFERROR(VLOOKUP(B38,TASKS!A:K,4,FALSE()),""),"OK","MISMATCH"))</f>
        <v>OK</v>
      </c>
      <c r="K38" s="8" t="str">
        <f>IF(OR(B38="",D38=""),"",IF(AND(D38&gt;=IFERROR(VLOOKUP(B38,TASKS!A:K,6,FALSE()),0),D38&lt;=IFERROR(VLOOKUP(B38,TASKS!A:K,7,FALSE()),99999)),"OK","OUT OF RANGE"))</f>
        <v>OK</v>
      </c>
    </row>
    <row r="39" spans="1:11" ht="15" customHeight="1" x14ac:dyDescent="0.3">
      <c r="A39" s="5" t="s">
        <v>298</v>
      </c>
      <c r="B39" s="28" t="s">
        <v>188</v>
      </c>
      <c r="C39" s="28" t="s">
        <v>79</v>
      </c>
      <c r="D39" s="29">
        <v>46139</v>
      </c>
      <c r="E39" s="28">
        <v>15</v>
      </c>
      <c r="F39" s="28" t="s">
        <v>261</v>
      </c>
      <c r="G39" s="8">
        <f>IFERROR(VLOOKUP(B39,TASKS!A:K,8,FALSE()),"")</f>
        <v>240</v>
      </c>
      <c r="H39" s="8">
        <f t="shared" si="0"/>
        <v>240</v>
      </c>
      <c r="I39" s="8">
        <f t="shared" si="1"/>
        <v>0</v>
      </c>
      <c r="J39" s="8" t="str">
        <f>IF(OR(B39="",C39=""),"",IF(IFERROR(VLOOKUP(C39,RESOURCES!A:C,3,FALSE()),"")=IFERROR(VLOOKUP(B39,TASKS!A:K,4,FALSE()),""),"OK","MISMATCH"))</f>
        <v>OK</v>
      </c>
      <c r="K39" s="8" t="str">
        <f>IF(OR(B39="",D39=""),"",IF(AND(D39&gt;=IFERROR(VLOOKUP(B39,TASKS!A:K,6,FALSE()),0),D39&lt;=IFERROR(VLOOKUP(B39,TASKS!A:K,7,FALSE()),99999)),"OK","OUT OF RANGE"))</f>
        <v>OK</v>
      </c>
    </row>
    <row r="40" spans="1:11" ht="15" customHeight="1" x14ac:dyDescent="0.3">
      <c r="A40" s="5" t="s">
        <v>299</v>
      </c>
      <c r="B40" s="28" t="s">
        <v>188</v>
      </c>
      <c r="C40" s="28" t="s">
        <v>79</v>
      </c>
      <c r="D40" s="29">
        <v>46146</v>
      </c>
      <c r="E40" s="28">
        <v>15</v>
      </c>
      <c r="F40" s="28" t="s">
        <v>261</v>
      </c>
      <c r="G40" s="8">
        <f>IFERROR(VLOOKUP(B40,TASKS!A:K,8,FALSE()),"")</f>
        <v>240</v>
      </c>
      <c r="H40" s="8">
        <f t="shared" si="0"/>
        <v>240</v>
      </c>
      <c r="I40" s="8">
        <f t="shared" si="1"/>
        <v>0</v>
      </c>
      <c r="J40" s="8" t="str">
        <f>IF(OR(B40="",C40=""),"",IF(IFERROR(VLOOKUP(C40,RESOURCES!A:C,3,FALSE()),"")=IFERROR(VLOOKUP(B40,TASKS!A:K,4,FALSE()),""),"OK","MISMATCH"))</f>
        <v>OK</v>
      </c>
      <c r="K40" s="8" t="str">
        <f>IF(OR(B40="",D40=""),"",IF(AND(D40&gt;=IFERROR(VLOOKUP(B40,TASKS!A:K,6,FALSE()),0),D40&lt;=IFERROR(VLOOKUP(B40,TASKS!A:K,7,FALSE()),99999)),"OK","OUT OF RANGE"))</f>
        <v>OK</v>
      </c>
    </row>
    <row r="41" spans="1:11" ht="15" customHeight="1" x14ac:dyDescent="0.3">
      <c r="A41" s="5" t="s">
        <v>300</v>
      </c>
      <c r="B41" s="28" t="s">
        <v>188</v>
      </c>
      <c r="C41" s="28" t="s">
        <v>79</v>
      </c>
      <c r="D41" s="29">
        <v>46153</v>
      </c>
      <c r="E41" s="28">
        <v>15</v>
      </c>
      <c r="F41" s="28" t="s">
        <v>261</v>
      </c>
      <c r="G41" s="8">
        <f>IFERROR(VLOOKUP(B41,TASKS!A:K,8,FALSE()),"")</f>
        <v>240</v>
      </c>
      <c r="H41" s="8">
        <f t="shared" si="0"/>
        <v>240</v>
      </c>
      <c r="I41" s="8">
        <f t="shared" si="1"/>
        <v>0</v>
      </c>
      <c r="J41" s="8" t="str">
        <f>IF(OR(B41="",C41=""),"",IF(IFERROR(VLOOKUP(C41,RESOURCES!A:C,3,FALSE()),"")=IFERROR(VLOOKUP(B41,TASKS!A:K,4,FALSE()),""),"OK","MISMATCH"))</f>
        <v>OK</v>
      </c>
      <c r="K41" s="8" t="str">
        <f>IF(OR(B41="",D41=""),"",IF(AND(D41&gt;=IFERROR(VLOOKUP(B41,TASKS!A:K,6,FALSE()),0),D41&lt;=IFERROR(VLOOKUP(B41,TASKS!A:K,7,FALSE()),99999)),"OK","OUT OF RANGE"))</f>
        <v>OK</v>
      </c>
    </row>
    <row r="42" spans="1:11" ht="15" customHeight="1" x14ac:dyDescent="0.3">
      <c r="A42" s="5" t="s">
        <v>301</v>
      </c>
      <c r="B42" s="28" t="s">
        <v>188</v>
      </c>
      <c r="C42" s="28" t="s">
        <v>79</v>
      </c>
      <c r="D42" s="29">
        <v>46160</v>
      </c>
      <c r="E42" s="28">
        <v>15</v>
      </c>
      <c r="F42" s="28" t="s">
        <v>261</v>
      </c>
      <c r="G42" s="8">
        <f>IFERROR(VLOOKUP(B42,TASKS!A:K,8,FALSE()),"")</f>
        <v>240</v>
      </c>
      <c r="H42" s="8">
        <f t="shared" si="0"/>
        <v>240</v>
      </c>
      <c r="I42" s="8">
        <f t="shared" si="1"/>
        <v>0</v>
      </c>
      <c r="J42" s="8" t="str">
        <f>IF(OR(B42="",C42=""),"",IF(IFERROR(VLOOKUP(C42,RESOURCES!A:C,3,FALSE()),"")=IFERROR(VLOOKUP(B42,TASKS!A:K,4,FALSE()),""),"OK","MISMATCH"))</f>
        <v>OK</v>
      </c>
      <c r="K42" s="8" t="str">
        <f>IF(OR(B42="",D42=""),"",IF(AND(D42&gt;=IFERROR(VLOOKUP(B42,TASKS!A:K,6,FALSE()),0),D42&lt;=IFERROR(VLOOKUP(B42,TASKS!A:K,7,FALSE()),99999)),"OK","OUT OF RANGE"))</f>
        <v>OK</v>
      </c>
    </row>
    <row r="43" spans="1:11" ht="15" customHeight="1" x14ac:dyDescent="0.3">
      <c r="A43" s="5" t="s">
        <v>302</v>
      </c>
      <c r="B43" s="28" t="s">
        <v>188</v>
      </c>
      <c r="C43" s="28" t="s">
        <v>79</v>
      </c>
      <c r="D43" s="29">
        <v>46167</v>
      </c>
      <c r="E43" s="28">
        <v>15</v>
      </c>
      <c r="F43" s="28" t="s">
        <v>261</v>
      </c>
      <c r="G43" s="8">
        <f>IFERROR(VLOOKUP(B43,TASKS!A:K,8,FALSE()),"")</f>
        <v>240</v>
      </c>
      <c r="H43" s="8">
        <f t="shared" si="0"/>
        <v>240</v>
      </c>
      <c r="I43" s="8">
        <f t="shared" si="1"/>
        <v>0</v>
      </c>
      <c r="J43" s="8" t="str">
        <f>IF(OR(B43="",C43=""),"",IF(IFERROR(VLOOKUP(C43,RESOURCES!A:C,3,FALSE()),"")=IFERROR(VLOOKUP(B43,TASKS!A:K,4,FALSE()),""),"OK","MISMATCH"))</f>
        <v>OK</v>
      </c>
      <c r="K43" s="8" t="str">
        <f>IF(OR(B43="",D43=""),"",IF(AND(D43&gt;=IFERROR(VLOOKUP(B43,TASKS!A:K,6,FALSE()),0),D43&lt;=IFERROR(VLOOKUP(B43,TASKS!A:K,7,FALSE()),99999)),"OK","OUT OF RANGE"))</f>
        <v>OK</v>
      </c>
    </row>
    <row r="44" spans="1:11" ht="15" customHeight="1" x14ac:dyDescent="0.3">
      <c r="A44" s="5" t="s">
        <v>303</v>
      </c>
      <c r="B44" s="28" t="s">
        <v>188</v>
      </c>
      <c r="C44" s="28" t="s">
        <v>79</v>
      </c>
      <c r="D44" s="29">
        <v>46174</v>
      </c>
      <c r="E44" s="28">
        <v>15</v>
      </c>
      <c r="F44" s="28" t="s">
        <v>261</v>
      </c>
      <c r="G44" s="8">
        <f>IFERROR(VLOOKUP(B44,TASKS!A:K,8,FALSE()),"")</f>
        <v>240</v>
      </c>
      <c r="H44" s="8">
        <f t="shared" si="0"/>
        <v>240</v>
      </c>
      <c r="I44" s="8">
        <f t="shared" si="1"/>
        <v>0</v>
      </c>
      <c r="J44" s="8" t="str">
        <f>IF(OR(B44="",C44=""),"",IF(IFERROR(VLOOKUP(C44,RESOURCES!A:C,3,FALSE()),"")=IFERROR(VLOOKUP(B44,TASKS!A:K,4,FALSE()),""),"OK","MISMATCH"))</f>
        <v>OK</v>
      </c>
      <c r="K44" s="8" t="str">
        <f>IF(OR(B44="",D44=""),"",IF(AND(D44&gt;=IFERROR(VLOOKUP(B44,TASKS!A:K,6,FALSE()),0),D44&lt;=IFERROR(VLOOKUP(B44,TASKS!A:K,7,FALSE()),99999)),"OK","OUT OF RANGE"))</f>
        <v>OK</v>
      </c>
    </row>
    <row r="45" spans="1:11" ht="15" customHeight="1" x14ac:dyDescent="0.3">
      <c r="A45" s="5" t="s">
        <v>304</v>
      </c>
      <c r="B45" s="28" t="s">
        <v>188</v>
      </c>
      <c r="C45" s="28" t="s">
        <v>79</v>
      </c>
      <c r="D45" s="29">
        <v>46181</v>
      </c>
      <c r="E45" s="28">
        <v>15</v>
      </c>
      <c r="F45" s="28" t="s">
        <v>261</v>
      </c>
      <c r="G45" s="8">
        <f>IFERROR(VLOOKUP(B45,TASKS!A:K,8,FALSE()),"")</f>
        <v>240</v>
      </c>
      <c r="H45" s="8">
        <f t="shared" si="0"/>
        <v>240</v>
      </c>
      <c r="I45" s="8">
        <f t="shared" si="1"/>
        <v>0</v>
      </c>
      <c r="J45" s="8" t="str">
        <f>IF(OR(B45="",C45=""),"",IF(IFERROR(VLOOKUP(C45,RESOURCES!A:C,3,FALSE()),"")=IFERROR(VLOOKUP(B45,TASKS!A:K,4,FALSE()),""),"OK","MISMATCH"))</f>
        <v>OK</v>
      </c>
      <c r="K45" s="8" t="str">
        <f>IF(OR(B45="",D45=""),"",IF(AND(D45&gt;=IFERROR(VLOOKUP(B45,TASKS!A:K,6,FALSE()),0),D45&lt;=IFERROR(VLOOKUP(B45,TASKS!A:K,7,FALSE()),99999)),"OK","OUT OF RANGE"))</f>
        <v>OK</v>
      </c>
    </row>
    <row r="46" spans="1:11" ht="15" customHeight="1" x14ac:dyDescent="0.3">
      <c r="A46" s="5" t="s">
        <v>305</v>
      </c>
      <c r="B46" s="28" t="s">
        <v>192</v>
      </c>
      <c r="C46" s="28" t="s">
        <v>79</v>
      </c>
      <c r="D46" s="29">
        <v>46076</v>
      </c>
      <c r="E46" s="28">
        <v>3</v>
      </c>
      <c r="F46" s="28" t="s">
        <v>125</v>
      </c>
      <c r="G46" s="8">
        <f>IFERROR(VLOOKUP(B46,TASKS!A:K,8,FALSE()),"")</f>
        <v>48</v>
      </c>
      <c r="H46" s="8">
        <f t="shared" si="0"/>
        <v>48</v>
      </c>
      <c r="I46" s="8">
        <f t="shared" si="1"/>
        <v>0</v>
      </c>
      <c r="J46" s="8" t="str">
        <f>IF(OR(B46="",C46=""),"",IF(IFERROR(VLOOKUP(C46,RESOURCES!A:C,3,FALSE()),"")=IFERROR(VLOOKUP(B46,TASKS!A:K,4,FALSE()),""),"OK","MISMATCH"))</f>
        <v>OK</v>
      </c>
      <c r="K46" s="8" t="str">
        <f>IF(OR(B46="",D46=""),"",IF(AND(D46&gt;=IFERROR(VLOOKUP(B46,TASKS!A:K,6,FALSE()),0),D46&lt;=IFERROR(VLOOKUP(B46,TASKS!A:K,7,FALSE()),99999)),"OK","OUT OF RANGE"))</f>
        <v>OK</v>
      </c>
    </row>
    <row r="47" spans="1:11" ht="15" customHeight="1" x14ac:dyDescent="0.3">
      <c r="A47" s="5" t="s">
        <v>306</v>
      </c>
      <c r="B47" s="28" t="s">
        <v>192</v>
      </c>
      <c r="C47" s="28" t="s">
        <v>79</v>
      </c>
      <c r="D47" s="29">
        <v>46083</v>
      </c>
      <c r="E47" s="28">
        <v>3</v>
      </c>
      <c r="F47" s="28" t="s">
        <v>261</v>
      </c>
      <c r="G47" s="8">
        <f>IFERROR(VLOOKUP(B47,TASKS!A:K,8,FALSE()),"")</f>
        <v>48</v>
      </c>
      <c r="H47" s="8">
        <f t="shared" si="0"/>
        <v>48</v>
      </c>
      <c r="I47" s="8">
        <f t="shared" si="1"/>
        <v>0</v>
      </c>
      <c r="J47" s="8" t="str">
        <f>IF(OR(B47="",C47=""),"",IF(IFERROR(VLOOKUP(C47,RESOURCES!A:C,3,FALSE()),"")=IFERROR(VLOOKUP(B47,TASKS!A:K,4,FALSE()),""),"OK","MISMATCH"))</f>
        <v>OK</v>
      </c>
      <c r="K47" s="8" t="str">
        <f>IF(OR(B47="",D47=""),"",IF(AND(D47&gt;=IFERROR(VLOOKUP(B47,TASKS!A:K,6,FALSE()),0),D47&lt;=IFERROR(VLOOKUP(B47,TASKS!A:K,7,FALSE()),99999)),"OK","OUT OF RANGE"))</f>
        <v>OK</v>
      </c>
    </row>
    <row r="48" spans="1:11" ht="15" customHeight="1" x14ac:dyDescent="0.3">
      <c r="A48" s="5" t="s">
        <v>307</v>
      </c>
      <c r="B48" s="28" t="s">
        <v>192</v>
      </c>
      <c r="C48" s="28" t="s">
        <v>79</v>
      </c>
      <c r="D48" s="29">
        <v>46090</v>
      </c>
      <c r="E48" s="28">
        <v>3</v>
      </c>
      <c r="F48" s="28" t="s">
        <v>261</v>
      </c>
      <c r="G48" s="8">
        <f>IFERROR(VLOOKUP(B48,TASKS!A:K,8,FALSE()),"")</f>
        <v>48</v>
      </c>
      <c r="H48" s="8">
        <f t="shared" si="0"/>
        <v>48</v>
      </c>
      <c r="I48" s="8">
        <f t="shared" si="1"/>
        <v>0</v>
      </c>
      <c r="J48" s="8" t="str">
        <f>IF(OR(B48="",C48=""),"",IF(IFERROR(VLOOKUP(C48,RESOURCES!A:C,3,FALSE()),"")=IFERROR(VLOOKUP(B48,TASKS!A:K,4,FALSE()),""),"OK","MISMATCH"))</f>
        <v>OK</v>
      </c>
      <c r="K48" s="8" t="str">
        <f>IF(OR(B48="",D48=""),"",IF(AND(D48&gt;=IFERROR(VLOOKUP(B48,TASKS!A:K,6,FALSE()),0),D48&lt;=IFERROR(VLOOKUP(B48,TASKS!A:K,7,FALSE()),99999)),"OK","OUT OF RANGE"))</f>
        <v>OK</v>
      </c>
    </row>
    <row r="49" spans="1:11" ht="15" customHeight="1" x14ac:dyDescent="0.3">
      <c r="A49" s="5" t="s">
        <v>308</v>
      </c>
      <c r="B49" s="28" t="s">
        <v>192</v>
      </c>
      <c r="C49" s="28" t="s">
        <v>79</v>
      </c>
      <c r="D49" s="29">
        <v>46097</v>
      </c>
      <c r="E49" s="28">
        <v>3</v>
      </c>
      <c r="F49" s="28" t="s">
        <v>261</v>
      </c>
      <c r="G49" s="8">
        <f>IFERROR(VLOOKUP(B49,TASKS!A:K,8,FALSE()),"")</f>
        <v>48</v>
      </c>
      <c r="H49" s="8">
        <f t="shared" si="0"/>
        <v>48</v>
      </c>
      <c r="I49" s="8">
        <f t="shared" si="1"/>
        <v>0</v>
      </c>
      <c r="J49" s="8" t="str">
        <f>IF(OR(B49="",C49=""),"",IF(IFERROR(VLOOKUP(C49,RESOURCES!A:C,3,FALSE()),"")=IFERROR(VLOOKUP(B49,TASKS!A:K,4,FALSE()),""),"OK","MISMATCH"))</f>
        <v>OK</v>
      </c>
      <c r="K49" s="8" t="str">
        <f>IF(OR(B49="",D49=""),"",IF(AND(D49&gt;=IFERROR(VLOOKUP(B49,TASKS!A:K,6,FALSE()),0),D49&lt;=IFERROR(VLOOKUP(B49,TASKS!A:K,7,FALSE()),99999)),"OK","OUT OF RANGE"))</f>
        <v>OK</v>
      </c>
    </row>
    <row r="50" spans="1:11" ht="15" customHeight="1" x14ac:dyDescent="0.3">
      <c r="A50" s="5" t="s">
        <v>309</v>
      </c>
      <c r="B50" s="28" t="s">
        <v>192</v>
      </c>
      <c r="C50" s="28" t="s">
        <v>79</v>
      </c>
      <c r="D50" s="29">
        <v>46104</v>
      </c>
      <c r="E50" s="28">
        <v>3</v>
      </c>
      <c r="F50" s="28" t="s">
        <v>261</v>
      </c>
      <c r="G50" s="8">
        <f>IFERROR(VLOOKUP(B50,TASKS!A:K,8,FALSE()),"")</f>
        <v>48</v>
      </c>
      <c r="H50" s="8">
        <f t="shared" si="0"/>
        <v>48</v>
      </c>
      <c r="I50" s="8">
        <f t="shared" si="1"/>
        <v>0</v>
      </c>
      <c r="J50" s="8" t="str">
        <f>IF(OR(B50="",C50=""),"",IF(IFERROR(VLOOKUP(C50,RESOURCES!A:C,3,FALSE()),"")=IFERROR(VLOOKUP(B50,TASKS!A:K,4,FALSE()),""),"OK","MISMATCH"))</f>
        <v>OK</v>
      </c>
      <c r="K50" s="8" t="str">
        <f>IF(OR(B50="",D50=""),"",IF(AND(D50&gt;=IFERROR(VLOOKUP(B50,TASKS!A:K,6,FALSE()),0),D50&lt;=IFERROR(VLOOKUP(B50,TASKS!A:K,7,FALSE()),99999)),"OK","OUT OF RANGE"))</f>
        <v>OK</v>
      </c>
    </row>
    <row r="51" spans="1:11" ht="15" customHeight="1" x14ac:dyDescent="0.3">
      <c r="A51" s="5" t="s">
        <v>310</v>
      </c>
      <c r="B51" s="28" t="s">
        <v>192</v>
      </c>
      <c r="C51" s="28" t="s">
        <v>79</v>
      </c>
      <c r="D51" s="29">
        <v>46111</v>
      </c>
      <c r="E51" s="28">
        <v>3</v>
      </c>
      <c r="F51" s="28" t="s">
        <v>261</v>
      </c>
      <c r="G51" s="8">
        <f>IFERROR(VLOOKUP(B51,TASKS!A:K,8,FALSE()),"")</f>
        <v>48</v>
      </c>
      <c r="H51" s="8">
        <f t="shared" si="0"/>
        <v>48</v>
      </c>
      <c r="I51" s="8">
        <f t="shared" si="1"/>
        <v>0</v>
      </c>
      <c r="J51" s="8" t="str">
        <f>IF(OR(B51="",C51=""),"",IF(IFERROR(VLOOKUP(C51,RESOURCES!A:C,3,FALSE()),"")=IFERROR(VLOOKUP(B51,TASKS!A:K,4,FALSE()),""),"OK","MISMATCH"))</f>
        <v>OK</v>
      </c>
      <c r="K51" s="8" t="str">
        <f>IF(OR(B51="",D51=""),"",IF(AND(D51&gt;=IFERROR(VLOOKUP(B51,TASKS!A:K,6,FALSE()),0),D51&lt;=IFERROR(VLOOKUP(B51,TASKS!A:K,7,FALSE()),99999)),"OK","OUT OF RANGE"))</f>
        <v>OK</v>
      </c>
    </row>
    <row r="52" spans="1:11" ht="15" customHeight="1" x14ac:dyDescent="0.3">
      <c r="A52" s="5" t="s">
        <v>311</v>
      </c>
      <c r="B52" s="28" t="s">
        <v>192</v>
      </c>
      <c r="C52" s="28" t="s">
        <v>79</v>
      </c>
      <c r="D52" s="29">
        <v>46118</v>
      </c>
      <c r="E52" s="28">
        <v>3</v>
      </c>
      <c r="F52" s="28" t="s">
        <v>261</v>
      </c>
      <c r="G52" s="8">
        <f>IFERROR(VLOOKUP(B52,TASKS!A:K,8,FALSE()),"")</f>
        <v>48</v>
      </c>
      <c r="H52" s="8">
        <f t="shared" si="0"/>
        <v>48</v>
      </c>
      <c r="I52" s="8">
        <f t="shared" si="1"/>
        <v>0</v>
      </c>
      <c r="J52" s="8" t="str">
        <f>IF(OR(B52="",C52=""),"",IF(IFERROR(VLOOKUP(C52,RESOURCES!A:C,3,FALSE()),"")=IFERROR(VLOOKUP(B52,TASKS!A:K,4,FALSE()),""),"OK","MISMATCH"))</f>
        <v>OK</v>
      </c>
      <c r="K52" s="8" t="str">
        <f>IF(OR(B52="",D52=""),"",IF(AND(D52&gt;=IFERROR(VLOOKUP(B52,TASKS!A:K,6,FALSE()),0),D52&lt;=IFERROR(VLOOKUP(B52,TASKS!A:K,7,FALSE()),99999)),"OK","OUT OF RANGE"))</f>
        <v>OK</v>
      </c>
    </row>
    <row r="53" spans="1:11" ht="15" customHeight="1" x14ac:dyDescent="0.3">
      <c r="A53" s="5" t="s">
        <v>312</v>
      </c>
      <c r="B53" s="28" t="s">
        <v>192</v>
      </c>
      <c r="C53" s="28" t="s">
        <v>79</v>
      </c>
      <c r="D53" s="29">
        <v>46125</v>
      </c>
      <c r="E53" s="28">
        <v>3</v>
      </c>
      <c r="F53" s="28" t="s">
        <v>261</v>
      </c>
      <c r="G53" s="8">
        <f>IFERROR(VLOOKUP(B53,TASKS!A:K,8,FALSE()),"")</f>
        <v>48</v>
      </c>
      <c r="H53" s="8">
        <f t="shared" si="0"/>
        <v>48</v>
      </c>
      <c r="I53" s="8">
        <f t="shared" si="1"/>
        <v>0</v>
      </c>
      <c r="J53" s="8" t="str">
        <f>IF(OR(B53="",C53=""),"",IF(IFERROR(VLOOKUP(C53,RESOURCES!A:C,3,FALSE()),"")=IFERROR(VLOOKUP(B53,TASKS!A:K,4,FALSE()),""),"OK","MISMATCH"))</f>
        <v>OK</v>
      </c>
      <c r="K53" s="8" t="str">
        <f>IF(OR(B53="",D53=""),"",IF(AND(D53&gt;=IFERROR(VLOOKUP(B53,TASKS!A:K,6,FALSE()),0),D53&lt;=IFERROR(VLOOKUP(B53,TASKS!A:K,7,FALSE()),99999)),"OK","OUT OF RANGE"))</f>
        <v>OK</v>
      </c>
    </row>
    <row r="54" spans="1:11" ht="15" customHeight="1" x14ac:dyDescent="0.3">
      <c r="A54" s="5" t="s">
        <v>313</v>
      </c>
      <c r="B54" s="28" t="s">
        <v>192</v>
      </c>
      <c r="C54" s="28" t="s">
        <v>79</v>
      </c>
      <c r="D54" s="29">
        <v>46132</v>
      </c>
      <c r="E54" s="28">
        <v>3</v>
      </c>
      <c r="F54" s="28" t="s">
        <v>261</v>
      </c>
      <c r="G54" s="8">
        <f>IFERROR(VLOOKUP(B54,TASKS!A:K,8,FALSE()),"")</f>
        <v>48</v>
      </c>
      <c r="H54" s="8">
        <f t="shared" si="0"/>
        <v>48</v>
      </c>
      <c r="I54" s="8">
        <f t="shared" si="1"/>
        <v>0</v>
      </c>
      <c r="J54" s="8" t="str">
        <f>IF(OR(B54="",C54=""),"",IF(IFERROR(VLOOKUP(C54,RESOURCES!A:C,3,FALSE()),"")=IFERROR(VLOOKUP(B54,TASKS!A:K,4,FALSE()),""),"OK","MISMATCH"))</f>
        <v>OK</v>
      </c>
      <c r="K54" s="8" t="str">
        <f>IF(OR(B54="",D54=""),"",IF(AND(D54&gt;=IFERROR(VLOOKUP(B54,TASKS!A:K,6,FALSE()),0),D54&lt;=IFERROR(VLOOKUP(B54,TASKS!A:K,7,FALSE()),99999)),"OK","OUT OF RANGE"))</f>
        <v>OK</v>
      </c>
    </row>
    <row r="55" spans="1:11" ht="15" customHeight="1" x14ac:dyDescent="0.3">
      <c r="A55" s="5" t="s">
        <v>314</v>
      </c>
      <c r="B55" s="28" t="s">
        <v>192</v>
      </c>
      <c r="C55" s="28" t="s">
        <v>79</v>
      </c>
      <c r="D55" s="29">
        <v>46139</v>
      </c>
      <c r="E55" s="28">
        <v>3</v>
      </c>
      <c r="F55" s="28" t="s">
        <v>261</v>
      </c>
      <c r="G55" s="8">
        <f>IFERROR(VLOOKUP(B55,TASKS!A:K,8,FALSE()),"")</f>
        <v>48</v>
      </c>
      <c r="H55" s="8">
        <f t="shared" si="0"/>
        <v>48</v>
      </c>
      <c r="I55" s="8">
        <f t="shared" si="1"/>
        <v>0</v>
      </c>
      <c r="J55" s="8" t="str">
        <f>IF(OR(B55="",C55=""),"",IF(IFERROR(VLOOKUP(C55,RESOURCES!A:C,3,FALSE()),"")=IFERROR(VLOOKUP(B55,TASKS!A:K,4,FALSE()),""),"OK","MISMATCH"))</f>
        <v>OK</v>
      </c>
      <c r="K55" s="8" t="str">
        <f>IF(OR(B55="",D55=""),"",IF(AND(D55&gt;=IFERROR(VLOOKUP(B55,TASKS!A:K,6,FALSE()),0),D55&lt;=IFERROR(VLOOKUP(B55,TASKS!A:K,7,FALSE()),99999)),"OK","OUT OF RANGE"))</f>
        <v>OK</v>
      </c>
    </row>
    <row r="56" spans="1:11" ht="15" customHeight="1" x14ac:dyDescent="0.3">
      <c r="A56" s="5" t="s">
        <v>315</v>
      </c>
      <c r="B56" s="28" t="s">
        <v>192</v>
      </c>
      <c r="C56" s="28" t="s">
        <v>79</v>
      </c>
      <c r="D56" s="29">
        <v>46146</v>
      </c>
      <c r="E56" s="28">
        <v>3</v>
      </c>
      <c r="F56" s="28" t="s">
        <v>261</v>
      </c>
      <c r="G56" s="8">
        <f>IFERROR(VLOOKUP(B56,TASKS!A:K,8,FALSE()),"")</f>
        <v>48</v>
      </c>
      <c r="H56" s="8">
        <f t="shared" si="0"/>
        <v>48</v>
      </c>
      <c r="I56" s="8">
        <f t="shared" si="1"/>
        <v>0</v>
      </c>
      <c r="J56" s="8" t="str">
        <f>IF(OR(B56="",C56=""),"",IF(IFERROR(VLOOKUP(C56,RESOURCES!A:C,3,FALSE()),"")=IFERROR(VLOOKUP(B56,TASKS!A:K,4,FALSE()),""),"OK","MISMATCH"))</f>
        <v>OK</v>
      </c>
      <c r="K56" s="8" t="str">
        <f>IF(OR(B56="",D56=""),"",IF(AND(D56&gt;=IFERROR(VLOOKUP(B56,TASKS!A:K,6,FALSE()),0),D56&lt;=IFERROR(VLOOKUP(B56,TASKS!A:K,7,FALSE()),99999)),"OK","OUT OF RANGE"))</f>
        <v>OK</v>
      </c>
    </row>
    <row r="57" spans="1:11" ht="15" customHeight="1" x14ac:dyDescent="0.3">
      <c r="A57" s="5" t="s">
        <v>316</v>
      </c>
      <c r="B57" s="28" t="s">
        <v>192</v>
      </c>
      <c r="C57" s="28" t="s">
        <v>79</v>
      </c>
      <c r="D57" s="29">
        <v>46153</v>
      </c>
      <c r="E57" s="28">
        <v>3</v>
      </c>
      <c r="F57" s="28" t="s">
        <v>261</v>
      </c>
      <c r="G57" s="8">
        <f>IFERROR(VLOOKUP(B57,TASKS!A:K,8,FALSE()),"")</f>
        <v>48</v>
      </c>
      <c r="H57" s="8">
        <f t="shared" si="0"/>
        <v>48</v>
      </c>
      <c r="I57" s="8">
        <f t="shared" si="1"/>
        <v>0</v>
      </c>
      <c r="J57" s="8" t="str">
        <f>IF(OR(B57="",C57=""),"",IF(IFERROR(VLOOKUP(C57,RESOURCES!A:C,3,FALSE()),"")=IFERROR(VLOOKUP(B57,TASKS!A:K,4,FALSE()),""),"OK","MISMATCH"))</f>
        <v>OK</v>
      </c>
      <c r="K57" s="8" t="str">
        <f>IF(OR(B57="",D57=""),"",IF(AND(D57&gt;=IFERROR(VLOOKUP(B57,TASKS!A:K,6,FALSE()),0),D57&lt;=IFERROR(VLOOKUP(B57,TASKS!A:K,7,FALSE()),99999)),"OK","OUT OF RANGE"))</f>
        <v>OK</v>
      </c>
    </row>
    <row r="58" spans="1:11" ht="15" customHeight="1" x14ac:dyDescent="0.3">
      <c r="A58" s="5" t="s">
        <v>317</v>
      </c>
      <c r="B58" s="28" t="s">
        <v>192</v>
      </c>
      <c r="C58" s="28" t="s">
        <v>79</v>
      </c>
      <c r="D58" s="29">
        <v>46160</v>
      </c>
      <c r="E58" s="28">
        <v>3</v>
      </c>
      <c r="F58" s="28" t="s">
        <v>261</v>
      </c>
      <c r="G58" s="8">
        <f>IFERROR(VLOOKUP(B58,TASKS!A:K,8,FALSE()),"")</f>
        <v>48</v>
      </c>
      <c r="H58" s="8">
        <f t="shared" si="0"/>
        <v>48</v>
      </c>
      <c r="I58" s="8">
        <f t="shared" si="1"/>
        <v>0</v>
      </c>
      <c r="J58" s="8" t="str">
        <f>IF(OR(B58="",C58=""),"",IF(IFERROR(VLOOKUP(C58,RESOURCES!A:C,3,FALSE()),"")=IFERROR(VLOOKUP(B58,TASKS!A:K,4,FALSE()),""),"OK","MISMATCH"))</f>
        <v>OK</v>
      </c>
      <c r="K58" s="8" t="str">
        <f>IF(OR(B58="",D58=""),"",IF(AND(D58&gt;=IFERROR(VLOOKUP(B58,TASKS!A:K,6,FALSE()),0),D58&lt;=IFERROR(VLOOKUP(B58,TASKS!A:K,7,FALSE()),99999)),"OK","OUT OF RANGE"))</f>
        <v>OK</v>
      </c>
    </row>
    <row r="59" spans="1:11" ht="15" customHeight="1" x14ac:dyDescent="0.3">
      <c r="A59" s="5" t="s">
        <v>318</v>
      </c>
      <c r="B59" s="28" t="s">
        <v>192</v>
      </c>
      <c r="C59" s="28" t="s">
        <v>79</v>
      </c>
      <c r="D59" s="29">
        <v>46167</v>
      </c>
      <c r="E59" s="28">
        <v>3</v>
      </c>
      <c r="F59" s="28" t="s">
        <v>261</v>
      </c>
      <c r="G59" s="8">
        <f>IFERROR(VLOOKUP(B59,TASKS!A:K,8,FALSE()),"")</f>
        <v>48</v>
      </c>
      <c r="H59" s="8">
        <f t="shared" si="0"/>
        <v>48</v>
      </c>
      <c r="I59" s="8">
        <f t="shared" si="1"/>
        <v>0</v>
      </c>
      <c r="J59" s="8" t="str">
        <f>IF(OR(B59="",C59=""),"",IF(IFERROR(VLOOKUP(C59,RESOURCES!A:C,3,FALSE()),"")=IFERROR(VLOOKUP(B59,TASKS!A:K,4,FALSE()),""),"OK","MISMATCH"))</f>
        <v>OK</v>
      </c>
      <c r="K59" s="8" t="str">
        <f>IF(OR(B59="",D59=""),"",IF(AND(D59&gt;=IFERROR(VLOOKUP(B59,TASKS!A:K,6,FALSE()),0),D59&lt;=IFERROR(VLOOKUP(B59,TASKS!A:K,7,FALSE()),99999)),"OK","OUT OF RANGE"))</f>
        <v>OK</v>
      </c>
    </row>
    <row r="60" spans="1:11" ht="15" customHeight="1" x14ac:dyDescent="0.3">
      <c r="A60" s="5" t="s">
        <v>319</v>
      </c>
      <c r="B60" s="28" t="s">
        <v>192</v>
      </c>
      <c r="C60" s="28" t="s">
        <v>79</v>
      </c>
      <c r="D60" s="29">
        <v>46174</v>
      </c>
      <c r="E60" s="28">
        <v>3</v>
      </c>
      <c r="F60" s="28" t="s">
        <v>261</v>
      </c>
      <c r="G60" s="8">
        <f>IFERROR(VLOOKUP(B60,TASKS!A:K,8,FALSE()),"")</f>
        <v>48</v>
      </c>
      <c r="H60" s="8">
        <f t="shared" si="0"/>
        <v>48</v>
      </c>
      <c r="I60" s="8">
        <f t="shared" si="1"/>
        <v>0</v>
      </c>
      <c r="J60" s="8" t="str">
        <f>IF(OR(B60="",C60=""),"",IF(IFERROR(VLOOKUP(C60,RESOURCES!A:C,3,FALSE()),"")=IFERROR(VLOOKUP(B60,TASKS!A:K,4,FALSE()),""),"OK","MISMATCH"))</f>
        <v>OK</v>
      </c>
      <c r="K60" s="8" t="str">
        <f>IF(OR(B60="",D60=""),"",IF(AND(D60&gt;=IFERROR(VLOOKUP(B60,TASKS!A:K,6,FALSE()),0),D60&lt;=IFERROR(VLOOKUP(B60,TASKS!A:K,7,FALSE()),99999)),"OK","OUT OF RANGE"))</f>
        <v>OK</v>
      </c>
    </row>
    <row r="61" spans="1:11" ht="15" customHeight="1" x14ac:dyDescent="0.3">
      <c r="A61" s="5" t="s">
        <v>320</v>
      </c>
      <c r="B61" s="28" t="s">
        <v>192</v>
      </c>
      <c r="C61" s="28" t="s">
        <v>79</v>
      </c>
      <c r="D61" s="29">
        <v>46181</v>
      </c>
      <c r="E61" s="28">
        <v>3</v>
      </c>
      <c r="F61" s="28" t="s">
        <v>261</v>
      </c>
      <c r="G61" s="8">
        <f>IFERROR(VLOOKUP(B61,TASKS!A:K,8,FALSE()),"")</f>
        <v>48</v>
      </c>
      <c r="H61" s="8">
        <f t="shared" si="0"/>
        <v>48</v>
      </c>
      <c r="I61" s="8">
        <f t="shared" si="1"/>
        <v>0</v>
      </c>
      <c r="J61" s="8" t="str">
        <f>IF(OR(B61="",C61=""),"",IF(IFERROR(VLOOKUP(C61,RESOURCES!A:C,3,FALSE()),"")=IFERROR(VLOOKUP(B61,TASKS!A:K,4,FALSE()),""),"OK","MISMATCH"))</f>
        <v>OK</v>
      </c>
      <c r="K61" s="8" t="str">
        <f>IF(OR(B61="",D61=""),"",IF(AND(D61&gt;=IFERROR(VLOOKUP(B61,TASKS!A:K,6,FALSE()),0),D61&lt;=IFERROR(VLOOKUP(B61,TASKS!A:K,7,FALSE()),99999)),"OK","OUT OF RANGE"))</f>
        <v>OK</v>
      </c>
    </row>
    <row r="62" spans="1:11" ht="15" customHeight="1" x14ac:dyDescent="0.3">
      <c r="A62" s="5" t="s">
        <v>321</v>
      </c>
      <c r="B62" s="28" t="s">
        <v>196</v>
      </c>
      <c r="C62" s="28" t="s">
        <v>90</v>
      </c>
      <c r="D62" s="29">
        <v>46076</v>
      </c>
      <c r="E62" s="28">
        <v>12</v>
      </c>
      <c r="F62" s="28" t="s">
        <v>125</v>
      </c>
      <c r="G62" s="8">
        <f>IFERROR(VLOOKUP(B62,TASKS!A:K,8,FALSE()),"")</f>
        <v>192</v>
      </c>
      <c r="H62" s="8">
        <f t="shared" si="0"/>
        <v>192</v>
      </c>
      <c r="I62" s="8">
        <f t="shared" si="1"/>
        <v>0</v>
      </c>
      <c r="J62" s="8" t="str">
        <f>IF(OR(B62="",C62=""),"",IF(IFERROR(VLOOKUP(C62,RESOURCES!A:C,3,FALSE()),"")=IFERROR(VLOOKUP(B62,TASKS!A:K,4,FALSE()),""),"OK","MISMATCH"))</f>
        <v>OK</v>
      </c>
      <c r="K62" s="8" t="str">
        <f>IF(OR(B62="",D62=""),"",IF(AND(D62&gt;=IFERROR(VLOOKUP(B62,TASKS!A:K,6,FALSE()),0),D62&lt;=IFERROR(VLOOKUP(B62,TASKS!A:K,7,FALSE()),99999)),"OK","OUT OF RANGE"))</f>
        <v>OK</v>
      </c>
    </row>
    <row r="63" spans="1:11" ht="15" customHeight="1" x14ac:dyDescent="0.3">
      <c r="A63" s="5" t="s">
        <v>322</v>
      </c>
      <c r="B63" s="28" t="s">
        <v>196</v>
      </c>
      <c r="C63" s="28" t="s">
        <v>90</v>
      </c>
      <c r="D63" s="29">
        <v>46083</v>
      </c>
      <c r="E63" s="28">
        <v>12</v>
      </c>
      <c r="F63" s="28" t="s">
        <v>261</v>
      </c>
      <c r="G63" s="8">
        <f>IFERROR(VLOOKUP(B63,TASKS!A:K,8,FALSE()),"")</f>
        <v>192</v>
      </c>
      <c r="H63" s="8">
        <f t="shared" si="0"/>
        <v>192</v>
      </c>
      <c r="I63" s="8">
        <f t="shared" si="1"/>
        <v>0</v>
      </c>
      <c r="J63" s="8" t="str">
        <f>IF(OR(B63="",C63=""),"",IF(IFERROR(VLOOKUP(C63,RESOURCES!A:C,3,FALSE()),"")=IFERROR(VLOOKUP(B63,TASKS!A:K,4,FALSE()),""),"OK","MISMATCH"))</f>
        <v>OK</v>
      </c>
      <c r="K63" s="8" t="str">
        <f>IF(OR(B63="",D63=""),"",IF(AND(D63&gt;=IFERROR(VLOOKUP(B63,TASKS!A:K,6,FALSE()),0),D63&lt;=IFERROR(VLOOKUP(B63,TASKS!A:K,7,FALSE()),99999)),"OK","OUT OF RANGE"))</f>
        <v>OK</v>
      </c>
    </row>
    <row r="64" spans="1:11" ht="15" customHeight="1" x14ac:dyDescent="0.3">
      <c r="A64" s="5" t="s">
        <v>323</v>
      </c>
      <c r="B64" s="28" t="s">
        <v>196</v>
      </c>
      <c r="C64" s="28" t="s">
        <v>90</v>
      </c>
      <c r="D64" s="29">
        <v>46090</v>
      </c>
      <c r="E64" s="28">
        <v>12</v>
      </c>
      <c r="F64" s="28" t="s">
        <v>261</v>
      </c>
      <c r="G64" s="8">
        <f>IFERROR(VLOOKUP(B64,TASKS!A:K,8,FALSE()),"")</f>
        <v>192</v>
      </c>
      <c r="H64" s="8">
        <f t="shared" si="0"/>
        <v>192</v>
      </c>
      <c r="I64" s="8">
        <f t="shared" si="1"/>
        <v>0</v>
      </c>
      <c r="J64" s="8" t="str">
        <f>IF(OR(B64="",C64=""),"",IF(IFERROR(VLOOKUP(C64,RESOURCES!A:C,3,FALSE()),"")=IFERROR(VLOOKUP(B64,TASKS!A:K,4,FALSE()),""),"OK","MISMATCH"))</f>
        <v>OK</v>
      </c>
      <c r="K64" s="8" t="str">
        <f>IF(OR(B64="",D64=""),"",IF(AND(D64&gt;=IFERROR(VLOOKUP(B64,TASKS!A:K,6,FALSE()),0),D64&lt;=IFERROR(VLOOKUP(B64,TASKS!A:K,7,FALSE()),99999)),"OK","OUT OF RANGE"))</f>
        <v>OK</v>
      </c>
    </row>
    <row r="65" spans="1:11" ht="15" customHeight="1" x14ac:dyDescent="0.3">
      <c r="A65" s="5" t="s">
        <v>324</v>
      </c>
      <c r="B65" s="28" t="s">
        <v>196</v>
      </c>
      <c r="C65" s="28" t="s">
        <v>90</v>
      </c>
      <c r="D65" s="29">
        <v>46097</v>
      </c>
      <c r="E65" s="28">
        <v>12</v>
      </c>
      <c r="F65" s="28" t="s">
        <v>261</v>
      </c>
      <c r="G65" s="8">
        <f>IFERROR(VLOOKUP(B65,TASKS!A:K,8,FALSE()),"")</f>
        <v>192</v>
      </c>
      <c r="H65" s="8">
        <f t="shared" si="0"/>
        <v>192</v>
      </c>
      <c r="I65" s="8">
        <f t="shared" si="1"/>
        <v>0</v>
      </c>
      <c r="J65" s="8" t="str">
        <f>IF(OR(B65="",C65=""),"",IF(IFERROR(VLOOKUP(C65,RESOURCES!A:C,3,FALSE()),"")=IFERROR(VLOOKUP(B65,TASKS!A:K,4,FALSE()),""),"OK","MISMATCH"))</f>
        <v>OK</v>
      </c>
      <c r="K65" s="8" t="str">
        <f>IF(OR(B65="",D65=""),"",IF(AND(D65&gt;=IFERROR(VLOOKUP(B65,TASKS!A:K,6,FALSE()),0),D65&lt;=IFERROR(VLOOKUP(B65,TASKS!A:K,7,FALSE()),99999)),"OK","OUT OF RANGE"))</f>
        <v>OK</v>
      </c>
    </row>
    <row r="66" spans="1:11" ht="15" customHeight="1" x14ac:dyDescent="0.3">
      <c r="A66" s="5" t="s">
        <v>325</v>
      </c>
      <c r="B66" s="28" t="s">
        <v>196</v>
      </c>
      <c r="C66" s="28" t="s">
        <v>90</v>
      </c>
      <c r="D66" s="29">
        <v>46104</v>
      </c>
      <c r="E66" s="28">
        <v>12</v>
      </c>
      <c r="F66" s="28" t="s">
        <v>261</v>
      </c>
      <c r="G66" s="8">
        <f>IFERROR(VLOOKUP(B66,TASKS!A:K,8,FALSE()),"")</f>
        <v>192</v>
      </c>
      <c r="H66" s="8">
        <f t="shared" ref="H66:H129" si="2">IFERROR(SUMIF(B$2:B$214,B66,E$2:E$214),"")</f>
        <v>192</v>
      </c>
      <c r="I66" s="8">
        <f t="shared" ref="I66:I129" si="3">IFERROR(G66-H66,"")</f>
        <v>0</v>
      </c>
      <c r="J66" s="8" t="str">
        <f>IF(OR(B66="",C66=""),"",IF(IFERROR(VLOOKUP(C66,RESOURCES!A:C,3,FALSE()),"")=IFERROR(VLOOKUP(B66,TASKS!A:K,4,FALSE()),""),"OK","MISMATCH"))</f>
        <v>OK</v>
      </c>
      <c r="K66" s="8" t="str">
        <f>IF(OR(B66="",D66=""),"",IF(AND(D66&gt;=IFERROR(VLOOKUP(B66,TASKS!A:K,6,FALSE()),0),D66&lt;=IFERROR(VLOOKUP(B66,TASKS!A:K,7,FALSE()),99999)),"OK","OUT OF RANGE"))</f>
        <v>OK</v>
      </c>
    </row>
    <row r="67" spans="1:11" ht="15" customHeight="1" x14ac:dyDescent="0.3">
      <c r="A67" s="5" t="s">
        <v>326</v>
      </c>
      <c r="B67" s="28" t="s">
        <v>196</v>
      </c>
      <c r="C67" s="28" t="s">
        <v>90</v>
      </c>
      <c r="D67" s="29">
        <v>46111</v>
      </c>
      <c r="E67" s="28">
        <v>12</v>
      </c>
      <c r="F67" s="28" t="s">
        <v>261</v>
      </c>
      <c r="G67" s="8">
        <f>IFERROR(VLOOKUP(B67,TASKS!A:K,8,FALSE()),"")</f>
        <v>192</v>
      </c>
      <c r="H67" s="8">
        <f t="shared" si="2"/>
        <v>192</v>
      </c>
      <c r="I67" s="8">
        <f t="shared" si="3"/>
        <v>0</v>
      </c>
      <c r="J67" s="8" t="str">
        <f>IF(OR(B67="",C67=""),"",IF(IFERROR(VLOOKUP(C67,RESOURCES!A:C,3,FALSE()),"")=IFERROR(VLOOKUP(B67,TASKS!A:K,4,FALSE()),""),"OK","MISMATCH"))</f>
        <v>OK</v>
      </c>
      <c r="K67" s="8" t="str">
        <f>IF(OR(B67="",D67=""),"",IF(AND(D67&gt;=IFERROR(VLOOKUP(B67,TASKS!A:K,6,FALSE()),0),D67&lt;=IFERROR(VLOOKUP(B67,TASKS!A:K,7,FALSE()),99999)),"OK","OUT OF RANGE"))</f>
        <v>OK</v>
      </c>
    </row>
    <row r="68" spans="1:11" ht="15" customHeight="1" x14ac:dyDescent="0.3">
      <c r="A68" s="5" t="s">
        <v>327</v>
      </c>
      <c r="B68" s="28" t="s">
        <v>196</v>
      </c>
      <c r="C68" s="28" t="s">
        <v>90</v>
      </c>
      <c r="D68" s="29">
        <v>46118</v>
      </c>
      <c r="E68" s="28">
        <v>12</v>
      </c>
      <c r="F68" s="28" t="s">
        <v>261</v>
      </c>
      <c r="G68" s="8">
        <f>IFERROR(VLOOKUP(B68,TASKS!A:K,8,FALSE()),"")</f>
        <v>192</v>
      </c>
      <c r="H68" s="8">
        <f t="shared" si="2"/>
        <v>192</v>
      </c>
      <c r="I68" s="8">
        <f t="shared" si="3"/>
        <v>0</v>
      </c>
      <c r="J68" s="8" t="str">
        <f>IF(OR(B68="",C68=""),"",IF(IFERROR(VLOOKUP(C68,RESOURCES!A:C,3,FALSE()),"")=IFERROR(VLOOKUP(B68,TASKS!A:K,4,FALSE()),""),"OK","MISMATCH"))</f>
        <v>OK</v>
      </c>
      <c r="K68" s="8" t="str">
        <f>IF(OR(B68="",D68=""),"",IF(AND(D68&gt;=IFERROR(VLOOKUP(B68,TASKS!A:K,6,FALSE()),0),D68&lt;=IFERROR(VLOOKUP(B68,TASKS!A:K,7,FALSE()),99999)),"OK","OUT OF RANGE"))</f>
        <v>OK</v>
      </c>
    </row>
    <row r="69" spans="1:11" ht="15" customHeight="1" x14ac:dyDescent="0.3">
      <c r="A69" s="5" t="s">
        <v>328</v>
      </c>
      <c r="B69" s="28" t="s">
        <v>196</v>
      </c>
      <c r="C69" s="28" t="s">
        <v>90</v>
      </c>
      <c r="D69" s="29">
        <v>46125</v>
      </c>
      <c r="E69" s="28">
        <v>12</v>
      </c>
      <c r="F69" s="28" t="s">
        <v>261</v>
      </c>
      <c r="G69" s="8">
        <f>IFERROR(VLOOKUP(B69,TASKS!A:K,8,FALSE()),"")</f>
        <v>192</v>
      </c>
      <c r="H69" s="8">
        <f t="shared" si="2"/>
        <v>192</v>
      </c>
      <c r="I69" s="8">
        <f t="shared" si="3"/>
        <v>0</v>
      </c>
      <c r="J69" s="8" t="str">
        <f>IF(OR(B69="",C69=""),"",IF(IFERROR(VLOOKUP(C69,RESOURCES!A:C,3,FALSE()),"")=IFERROR(VLOOKUP(B69,TASKS!A:K,4,FALSE()),""),"OK","MISMATCH"))</f>
        <v>OK</v>
      </c>
      <c r="K69" s="8" t="str">
        <f>IF(OR(B69="",D69=""),"",IF(AND(D69&gt;=IFERROR(VLOOKUP(B69,TASKS!A:K,6,FALSE()),0),D69&lt;=IFERROR(VLOOKUP(B69,TASKS!A:K,7,FALSE()),99999)),"OK","OUT OF RANGE"))</f>
        <v>OK</v>
      </c>
    </row>
    <row r="70" spans="1:11" ht="15" customHeight="1" x14ac:dyDescent="0.3">
      <c r="A70" s="5" t="s">
        <v>329</v>
      </c>
      <c r="B70" s="28" t="s">
        <v>196</v>
      </c>
      <c r="C70" s="28" t="s">
        <v>90</v>
      </c>
      <c r="D70" s="29">
        <v>46132</v>
      </c>
      <c r="E70" s="28">
        <v>12</v>
      </c>
      <c r="F70" s="28" t="s">
        <v>261</v>
      </c>
      <c r="G70" s="8">
        <f>IFERROR(VLOOKUP(B70,TASKS!A:K,8,FALSE()),"")</f>
        <v>192</v>
      </c>
      <c r="H70" s="8">
        <f t="shared" si="2"/>
        <v>192</v>
      </c>
      <c r="I70" s="8">
        <f t="shared" si="3"/>
        <v>0</v>
      </c>
      <c r="J70" s="8" t="str">
        <f>IF(OR(B70="",C70=""),"",IF(IFERROR(VLOOKUP(C70,RESOURCES!A:C,3,FALSE()),"")=IFERROR(VLOOKUP(B70,TASKS!A:K,4,FALSE()),""),"OK","MISMATCH"))</f>
        <v>OK</v>
      </c>
      <c r="K70" s="8" t="str">
        <f>IF(OR(B70="",D70=""),"",IF(AND(D70&gt;=IFERROR(VLOOKUP(B70,TASKS!A:K,6,FALSE()),0),D70&lt;=IFERROR(VLOOKUP(B70,TASKS!A:K,7,FALSE()),99999)),"OK","OUT OF RANGE"))</f>
        <v>OK</v>
      </c>
    </row>
    <row r="71" spans="1:11" ht="15" customHeight="1" x14ac:dyDescent="0.3">
      <c r="A71" s="5" t="s">
        <v>330</v>
      </c>
      <c r="B71" s="28" t="s">
        <v>196</v>
      </c>
      <c r="C71" s="28" t="s">
        <v>90</v>
      </c>
      <c r="D71" s="29">
        <v>46139</v>
      </c>
      <c r="E71" s="28">
        <v>12</v>
      </c>
      <c r="F71" s="28" t="s">
        <v>261</v>
      </c>
      <c r="G71" s="8">
        <f>IFERROR(VLOOKUP(B71,TASKS!A:K,8,FALSE()),"")</f>
        <v>192</v>
      </c>
      <c r="H71" s="8">
        <f t="shared" si="2"/>
        <v>192</v>
      </c>
      <c r="I71" s="8">
        <f t="shared" si="3"/>
        <v>0</v>
      </c>
      <c r="J71" s="8" t="str">
        <f>IF(OR(B71="",C71=""),"",IF(IFERROR(VLOOKUP(C71,RESOURCES!A:C,3,FALSE()),"")=IFERROR(VLOOKUP(B71,TASKS!A:K,4,FALSE()),""),"OK","MISMATCH"))</f>
        <v>OK</v>
      </c>
      <c r="K71" s="8" t="str">
        <f>IF(OR(B71="",D71=""),"",IF(AND(D71&gt;=IFERROR(VLOOKUP(B71,TASKS!A:K,6,FALSE()),0),D71&lt;=IFERROR(VLOOKUP(B71,TASKS!A:K,7,FALSE()),99999)),"OK","OUT OF RANGE"))</f>
        <v>OK</v>
      </c>
    </row>
    <row r="72" spans="1:11" ht="15" customHeight="1" x14ac:dyDescent="0.3">
      <c r="A72" s="5" t="s">
        <v>331</v>
      </c>
      <c r="B72" s="28" t="s">
        <v>196</v>
      </c>
      <c r="C72" s="28" t="s">
        <v>90</v>
      </c>
      <c r="D72" s="29">
        <v>46146</v>
      </c>
      <c r="E72" s="28">
        <v>12</v>
      </c>
      <c r="F72" s="28" t="s">
        <v>261</v>
      </c>
      <c r="G72" s="8">
        <f>IFERROR(VLOOKUP(B72,TASKS!A:K,8,FALSE()),"")</f>
        <v>192</v>
      </c>
      <c r="H72" s="8">
        <f t="shared" si="2"/>
        <v>192</v>
      </c>
      <c r="I72" s="8">
        <f t="shared" si="3"/>
        <v>0</v>
      </c>
      <c r="J72" s="8" t="str">
        <f>IF(OR(B72="",C72=""),"",IF(IFERROR(VLOOKUP(C72,RESOURCES!A:C,3,FALSE()),"")=IFERROR(VLOOKUP(B72,TASKS!A:K,4,FALSE()),""),"OK","MISMATCH"))</f>
        <v>OK</v>
      </c>
      <c r="K72" s="8" t="str">
        <f>IF(OR(B72="",D72=""),"",IF(AND(D72&gt;=IFERROR(VLOOKUP(B72,TASKS!A:K,6,FALSE()),0),D72&lt;=IFERROR(VLOOKUP(B72,TASKS!A:K,7,FALSE()),99999)),"OK","OUT OF RANGE"))</f>
        <v>OK</v>
      </c>
    </row>
    <row r="73" spans="1:11" ht="15" customHeight="1" x14ac:dyDescent="0.3">
      <c r="A73" s="5" t="s">
        <v>332</v>
      </c>
      <c r="B73" s="28" t="s">
        <v>196</v>
      </c>
      <c r="C73" s="28" t="s">
        <v>90</v>
      </c>
      <c r="D73" s="29">
        <v>46153</v>
      </c>
      <c r="E73" s="28">
        <v>12</v>
      </c>
      <c r="F73" s="28" t="s">
        <v>261</v>
      </c>
      <c r="G73" s="8">
        <f>IFERROR(VLOOKUP(B73,TASKS!A:K,8,FALSE()),"")</f>
        <v>192</v>
      </c>
      <c r="H73" s="8">
        <f t="shared" si="2"/>
        <v>192</v>
      </c>
      <c r="I73" s="8">
        <f t="shared" si="3"/>
        <v>0</v>
      </c>
      <c r="J73" s="8" t="str">
        <f>IF(OR(B73="",C73=""),"",IF(IFERROR(VLOOKUP(C73,RESOURCES!A:C,3,FALSE()),"")=IFERROR(VLOOKUP(B73,TASKS!A:K,4,FALSE()),""),"OK","MISMATCH"))</f>
        <v>OK</v>
      </c>
      <c r="K73" s="8" t="str">
        <f>IF(OR(B73="",D73=""),"",IF(AND(D73&gt;=IFERROR(VLOOKUP(B73,TASKS!A:K,6,FALSE()),0),D73&lt;=IFERROR(VLOOKUP(B73,TASKS!A:K,7,FALSE()),99999)),"OK","OUT OF RANGE"))</f>
        <v>OK</v>
      </c>
    </row>
    <row r="74" spans="1:11" ht="15" customHeight="1" x14ac:dyDescent="0.3">
      <c r="A74" s="5" t="s">
        <v>333</v>
      </c>
      <c r="B74" s="28" t="s">
        <v>196</v>
      </c>
      <c r="C74" s="28" t="s">
        <v>90</v>
      </c>
      <c r="D74" s="29">
        <v>46160</v>
      </c>
      <c r="E74" s="28">
        <v>12</v>
      </c>
      <c r="F74" s="28" t="s">
        <v>261</v>
      </c>
      <c r="G74" s="8">
        <f>IFERROR(VLOOKUP(B74,TASKS!A:K,8,FALSE()),"")</f>
        <v>192</v>
      </c>
      <c r="H74" s="8">
        <f t="shared" si="2"/>
        <v>192</v>
      </c>
      <c r="I74" s="8">
        <f t="shared" si="3"/>
        <v>0</v>
      </c>
      <c r="J74" s="8" t="str">
        <f>IF(OR(B74="",C74=""),"",IF(IFERROR(VLOOKUP(C74,RESOURCES!A:C,3,FALSE()),"")=IFERROR(VLOOKUP(B74,TASKS!A:K,4,FALSE()),""),"OK","MISMATCH"))</f>
        <v>OK</v>
      </c>
      <c r="K74" s="8" t="str">
        <f>IF(OR(B74="",D74=""),"",IF(AND(D74&gt;=IFERROR(VLOOKUP(B74,TASKS!A:K,6,FALSE()),0),D74&lt;=IFERROR(VLOOKUP(B74,TASKS!A:K,7,FALSE()),99999)),"OK","OUT OF RANGE"))</f>
        <v>OK</v>
      </c>
    </row>
    <row r="75" spans="1:11" ht="15" customHeight="1" x14ac:dyDescent="0.3">
      <c r="A75" s="5" t="s">
        <v>334</v>
      </c>
      <c r="B75" s="28" t="s">
        <v>196</v>
      </c>
      <c r="C75" s="28" t="s">
        <v>90</v>
      </c>
      <c r="D75" s="29">
        <v>46167</v>
      </c>
      <c r="E75" s="28">
        <v>12</v>
      </c>
      <c r="F75" s="28" t="s">
        <v>261</v>
      </c>
      <c r="G75" s="8">
        <f>IFERROR(VLOOKUP(B75,TASKS!A:K,8,FALSE()),"")</f>
        <v>192</v>
      </c>
      <c r="H75" s="8">
        <f t="shared" si="2"/>
        <v>192</v>
      </c>
      <c r="I75" s="8">
        <f t="shared" si="3"/>
        <v>0</v>
      </c>
      <c r="J75" s="8" t="str">
        <f>IF(OR(B75="",C75=""),"",IF(IFERROR(VLOOKUP(C75,RESOURCES!A:C,3,FALSE()),"")=IFERROR(VLOOKUP(B75,TASKS!A:K,4,FALSE()),""),"OK","MISMATCH"))</f>
        <v>OK</v>
      </c>
      <c r="K75" s="8" t="str">
        <f>IF(OR(B75="",D75=""),"",IF(AND(D75&gt;=IFERROR(VLOOKUP(B75,TASKS!A:K,6,FALSE()),0),D75&lt;=IFERROR(VLOOKUP(B75,TASKS!A:K,7,FALSE()),99999)),"OK","OUT OF RANGE"))</f>
        <v>OK</v>
      </c>
    </row>
    <row r="76" spans="1:11" ht="15" customHeight="1" x14ac:dyDescent="0.3">
      <c r="A76" s="5" t="s">
        <v>335</v>
      </c>
      <c r="B76" s="28" t="s">
        <v>196</v>
      </c>
      <c r="C76" s="28" t="s">
        <v>90</v>
      </c>
      <c r="D76" s="29">
        <v>46174</v>
      </c>
      <c r="E76" s="28">
        <v>12</v>
      </c>
      <c r="F76" s="28" t="s">
        <v>261</v>
      </c>
      <c r="G76" s="8">
        <f>IFERROR(VLOOKUP(B76,TASKS!A:K,8,FALSE()),"")</f>
        <v>192</v>
      </c>
      <c r="H76" s="8">
        <f t="shared" si="2"/>
        <v>192</v>
      </c>
      <c r="I76" s="8">
        <f t="shared" si="3"/>
        <v>0</v>
      </c>
      <c r="J76" s="8" t="str">
        <f>IF(OR(B76="",C76=""),"",IF(IFERROR(VLOOKUP(C76,RESOURCES!A:C,3,FALSE()),"")=IFERROR(VLOOKUP(B76,TASKS!A:K,4,FALSE()),""),"OK","MISMATCH"))</f>
        <v>OK</v>
      </c>
      <c r="K76" s="8" t="str">
        <f>IF(OR(B76="",D76=""),"",IF(AND(D76&gt;=IFERROR(VLOOKUP(B76,TASKS!A:K,6,FALSE()),0),D76&lt;=IFERROR(VLOOKUP(B76,TASKS!A:K,7,FALSE()),99999)),"OK","OUT OF RANGE"))</f>
        <v>OK</v>
      </c>
    </row>
    <row r="77" spans="1:11" ht="15" customHeight="1" x14ac:dyDescent="0.3">
      <c r="A77" s="5" t="s">
        <v>336</v>
      </c>
      <c r="B77" s="28" t="s">
        <v>196</v>
      </c>
      <c r="C77" s="28" t="s">
        <v>90</v>
      </c>
      <c r="D77" s="29">
        <v>46181</v>
      </c>
      <c r="E77" s="28">
        <v>12</v>
      </c>
      <c r="F77" s="28" t="s">
        <v>261</v>
      </c>
      <c r="G77" s="8">
        <f>IFERROR(VLOOKUP(B77,TASKS!A:K,8,FALSE()),"")</f>
        <v>192</v>
      </c>
      <c r="H77" s="8">
        <f t="shared" si="2"/>
        <v>192</v>
      </c>
      <c r="I77" s="8">
        <f t="shared" si="3"/>
        <v>0</v>
      </c>
      <c r="J77" s="8" t="str">
        <f>IF(OR(B77="",C77=""),"",IF(IFERROR(VLOOKUP(C77,RESOURCES!A:C,3,FALSE()),"")=IFERROR(VLOOKUP(B77,TASKS!A:K,4,FALSE()),""),"OK","MISMATCH"))</f>
        <v>OK</v>
      </c>
      <c r="K77" s="8" t="str">
        <f>IF(OR(B77="",D77=""),"",IF(AND(D77&gt;=IFERROR(VLOOKUP(B77,TASKS!A:K,6,FALSE()),0),D77&lt;=IFERROR(VLOOKUP(B77,TASKS!A:K,7,FALSE()),99999)),"OK","OUT OF RANGE"))</f>
        <v>OK</v>
      </c>
    </row>
    <row r="78" spans="1:11" ht="15" customHeight="1" x14ac:dyDescent="0.3">
      <c r="A78" s="5" t="s">
        <v>337</v>
      </c>
      <c r="B78" s="28" t="s">
        <v>200</v>
      </c>
      <c r="C78" s="28" t="s">
        <v>99</v>
      </c>
      <c r="D78" s="29">
        <v>46076</v>
      </c>
      <c r="E78" s="28">
        <v>8</v>
      </c>
      <c r="F78" s="28" t="s">
        <v>125</v>
      </c>
      <c r="G78" s="8">
        <f>IFERROR(VLOOKUP(B78,TASKS!A:K,8,FALSE()),"")</f>
        <v>128</v>
      </c>
      <c r="H78" s="8">
        <f t="shared" si="2"/>
        <v>128</v>
      </c>
      <c r="I78" s="8">
        <f t="shared" si="3"/>
        <v>0</v>
      </c>
      <c r="J78" s="8" t="str">
        <f>IF(OR(B78="",C78=""),"",IF(IFERROR(VLOOKUP(C78,RESOURCES!A:C,3,FALSE()),"")=IFERROR(VLOOKUP(B78,TASKS!A:K,4,FALSE()),""),"OK","MISMATCH"))</f>
        <v>OK</v>
      </c>
      <c r="K78" s="8" t="str">
        <f>IF(OR(B78="",D78=""),"",IF(AND(D78&gt;=IFERROR(VLOOKUP(B78,TASKS!A:K,6,FALSE()),0),D78&lt;=IFERROR(VLOOKUP(B78,TASKS!A:K,7,FALSE()),99999)),"OK","OUT OF RANGE"))</f>
        <v>OK</v>
      </c>
    </row>
    <row r="79" spans="1:11" ht="15" customHeight="1" x14ac:dyDescent="0.3">
      <c r="A79" s="5" t="s">
        <v>338</v>
      </c>
      <c r="B79" s="28" t="s">
        <v>200</v>
      </c>
      <c r="C79" s="28" t="s">
        <v>99</v>
      </c>
      <c r="D79" s="29">
        <v>46083</v>
      </c>
      <c r="E79" s="28">
        <v>8</v>
      </c>
      <c r="F79" s="28" t="s">
        <v>261</v>
      </c>
      <c r="G79" s="8">
        <f>IFERROR(VLOOKUP(B79,TASKS!A:K,8,FALSE()),"")</f>
        <v>128</v>
      </c>
      <c r="H79" s="8">
        <f t="shared" si="2"/>
        <v>128</v>
      </c>
      <c r="I79" s="8">
        <f t="shared" si="3"/>
        <v>0</v>
      </c>
      <c r="J79" s="8" t="str">
        <f>IF(OR(B79="",C79=""),"",IF(IFERROR(VLOOKUP(C79,RESOURCES!A:C,3,FALSE()),"")=IFERROR(VLOOKUP(B79,TASKS!A:K,4,FALSE()),""),"OK","MISMATCH"))</f>
        <v>OK</v>
      </c>
      <c r="K79" s="8" t="str">
        <f>IF(OR(B79="",D79=""),"",IF(AND(D79&gt;=IFERROR(VLOOKUP(B79,TASKS!A:K,6,FALSE()),0),D79&lt;=IFERROR(VLOOKUP(B79,TASKS!A:K,7,FALSE()),99999)),"OK","OUT OF RANGE"))</f>
        <v>OK</v>
      </c>
    </row>
    <row r="80" spans="1:11" ht="15" customHeight="1" x14ac:dyDescent="0.3">
      <c r="A80" s="5" t="s">
        <v>339</v>
      </c>
      <c r="B80" s="28" t="s">
        <v>200</v>
      </c>
      <c r="C80" s="28" t="s">
        <v>99</v>
      </c>
      <c r="D80" s="29">
        <v>46090</v>
      </c>
      <c r="E80" s="28">
        <v>8</v>
      </c>
      <c r="F80" s="28" t="s">
        <v>261</v>
      </c>
      <c r="G80" s="8">
        <f>IFERROR(VLOOKUP(B80,TASKS!A:K,8,FALSE()),"")</f>
        <v>128</v>
      </c>
      <c r="H80" s="8">
        <f t="shared" si="2"/>
        <v>128</v>
      </c>
      <c r="I80" s="8">
        <f t="shared" si="3"/>
        <v>0</v>
      </c>
      <c r="J80" s="8" t="str">
        <f>IF(OR(B80="",C80=""),"",IF(IFERROR(VLOOKUP(C80,RESOURCES!A:C,3,FALSE()),"")=IFERROR(VLOOKUP(B80,TASKS!A:K,4,FALSE()),""),"OK","MISMATCH"))</f>
        <v>OK</v>
      </c>
      <c r="K80" s="8" t="str">
        <f>IF(OR(B80="",D80=""),"",IF(AND(D80&gt;=IFERROR(VLOOKUP(B80,TASKS!A:K,6,FALSE()),0),D80&lt;=IFERROR(VLOOKUP(B80,TASKS!A:K,7,FALSE()),99999)),"OK","OUT OF RANGE"))</f>
        <v>OK</v>
      </c>
    </row>
    <row r="81" spans="1:11" ht="15" customHeight="1" x14ac:dyDescent="0.3">
      <c r="A81" s="5" t="s">
        <v>340</v>
      </c>
      <c r="B81" s="28" t="s">
        <v>200</v>
      </c>
      <c r="C81" s="28" t="s">
        <v>99</v>
      </c>
      <c r="D81" s="29">
        <v>46097</v>
      </c>
      <c r="E81" s="28">
        <v>8</v>
      </c>
      <c r="F81" s="28" t="s">
        <v>261</v>
      </c>
      <c r="G81" s="8">
        <f>IFERROR(VLOOKUP(B81,TASKS!A:K,8,FALSE()),"")</f>
        <v>128</v>
      </c>
      <c r="H81" s="8">
        <f t="shared" si="2"/>
        <v>128</v>
      </c>
      <c r="I81" s="8">
        <f t="shared" si="3"/>
        <v>0</v>
      </c>
      <c r="J81" s="8" t="str">
        <f>IF(OR(B81="",C81=""),"",IF(IFERROR(VLOOKUP(C81,RESOURCES!A:C,3,FALSE()),"")=IFERROR(VLOOKUP(B81,TASKS!A:K,4,FALSE()),""),"OK","MISMATCH"))</f>
        <v>OK</v>
      </c>
      <c r="K81" s="8" t="str">
        <f>IF(OR(B81="",D81=""),"",IF(AND(D81&gt;=IFERROR(VLOOKUP(B81,TASKS!A:K,6,FALSE()),0),D81&lt;=IFERROR(VLOOKUP(B81,TASKS!A:K,7,FALSE()),99999)),"OK","OUT OF RANGE"))</f>
        <v>OK</v>
      </c>
    </row>
    <row r="82" spans="1:11" ht="15" customHeight="1" x14ac:dyDescent="0.3">
      <c r="A82" s="5" t="s">
        <v>341</v>
      </c>
      <c r="B82" s="28" t="s">
        <v>200</v>
      </c>
      <c r="C82" s="28" t="s">
        <v>99</v>
      </c>
      <c r="D82" s="29">
        <v>46104</v>
      </c>
      <c r="E82" s="28">
        <v>8</v>
      </c>
      <c r="F82" s="28" t="s">
        <v>261</v>
      </c>
      <c r="G82" s="8">
        <f>IFERROR(VLOOKUP(B82,TASKS!A:K,8,FALSE()),"")</f>
        <v>128</v>
      </c>
      <c r="H82" s="8">
        <f t="shared" si="2"/>
        <v>128</v>
      </c>
      <c r="I82" s="8">
        <f t="shared" si="3"/>
        <v>0</v>
      </c>
      <c r="J82" s="8" t="str">
        <f>IF(OR(B82="",C82=""),"",IF(IFERROR(VLOOKUP(C82,RESOURCES!A:C,3,FALSE()),"")=IFERROR(VLOOKUP(B82,TASKS!A:K,4,FALSE()),""),"OK","MISMATCH"))</f>
        <v>OK</v>
      </c>
      <c r="K82" s="8" t="str">
        <f>IF(OR(B82="",D82=""),"",IF(AND(D82&gt;=IFERROR(VLOOKUP(B82,TASKS!A:K,6,FALSE()),0),D82&lt;=IFERROR(VLOOKUP(B82,TASKS!A:K,7,FALSE()),99999)),"OK","OUT OF RANGE"))</f>
        <v>OK</v>
      </c>
    </row>
    <row r="83" spans="1:11" ht="15" customHeight="1" x14ac:dyDescent="0.3">
      <c r="A83" s="5" t="s">
        <v>342</v>
      </c>
      <c r="B83" s="28" t="s">
        <v>200</v>
      </c>
      <c r="C83" s="28" t="s">
        <v>99</v>
      </c>
      <c r="D83" s="29">
        <v>46111</v>
      </c>
      <c r="E83" s="28">
        <v>8</v>
      </c>
      <c r="F83" s="28" t="s">
        <v>261</v>
      </c>
      <c r="G83" s="8">
        <f>IFERROR(VLOOKUP(B83,TASKS!A:K,8,FALSE()),"")</f>
        <v>128</v>
      </c>
      <c r="H83" s="8">
        <f t="shared" si="2"/>
        <v>128</v>
      </c>
      <c r="I83" s="8">
        <f t="shared" si="3"/>
        <v>0</v>
      </c>
      <c r="J83" s="8" t="str">
        <f>IF(OR(B83="",C83=""),"",IF(IFERROR(VLOOKUP(C83,RESOURCES!A:C,3,FALSE()),"")=IFERROR(VLOOKUP(B83,TASKS!A:K,4,FALSE()),""),"OK","MISMATCH"))</f>
        <v>OK</v>
      </c>
      <c r="K83" s="8" t="str">
        <f>IF(OR(B83="",D83=""),"",IF(AND(D83&gt;=IFERROR(VLOOKUP(B83,TASKS!A:K,6,FALSE()),0),D83&lt;=IFERROR(VLOOKUP(B83,TASKS!A:K,7,FALSE()),99999)),"OK","OUT OF RANGE"))</f>
        <v>OK</v>
      </c>
    </row>
    <row r="84" spans="1:11" ht="15" customHeight="1" x14ac:dyDescent="0.3">
      <c r="A84" s="5" t="s">
        <v>343</v>
      </c>
      <c r="B84" s="28" t="s">
        <v>200</v>
      </c>
      <c r="C84" s="28" t="s">
        <v>99</v>
      </c>
      <c r="D84" s="29">
        <v>46118</v>
      </c>
      <c r="E84" s="28">
        <v>8</v>
      </c>
      <c r="F84" s="28" t="s">
        <v>261</v>
      </c>
      <c r="G84" s="8">
        <f>IFERROR(VLOOKUP(B84,TASKS!A:K,8,FALSE()),"")</f>
        <v>128</v>
      </c>
      <c r="H84" s="8">
        <f t="shared" si="2"/>
        <v>128</v>
      </c>
      <c r="I84" s="8">
        <f t="shared" si="3"/>
        <v>0</v>
      </c>
      <c r="J84" s="8" t="str">
        <f>IF(OR(B84="",C84=""),"",IF(IFERROR(VLOOKUP(C84,RESOURCES!A:C,3,FALSE()),"")=IFERROR(VLOOKUP(B84,TASKS!A:K,4,FALSE()),""),"OK","MISMATCH"))</f>
        <v>OK</v>
      </c>
      <c r="K84" s="8" t="str">
        <f>IF(OR(B84="",D84=""),"",IF(AND(D84&gt;=IFERROR(VLOOKUP(B84,TASKS!A:K,6,FALSE()),0),D84&lt;=IFERROR(VLOOKUP(B84,TASKS!A:K,7,FALSE()),99999)),"OK","OUT OF RANGE"))</f>
        <v>OK</v>
      </c>
    </row>
    <row r="85" spans="1:11" ht="15" customHeight="1" x14ac:dyDescent="0.3">
      <c r="A85" s="5" t="s">
        <v>344</v>
      </c>
      <c r="B85" s="28" t="s">
        <v>200</v>
      </c>
      <c r="C85" s="28" t="s">
        <v>99</v>
      </c>
      <c r="D85" s="29">
        <v>46125</v>
      </c>
      <c r="E85" s="28">
        <v>8</v>
      </c>
      <c r="F85" s="28" t="s">
        <v>261</v>
      </c>
      <c r="G85" s="8">
        <f>IFERROR(VLOOKUP(B85,TASKS!A:K,8,FALSE()),"")</f>
        <v>128</v>
      </c>
      <c r="H85" s="8">
        <f t="shared" si="2"/>
        <v>128</v>
      </c>
      <c r="I85" s="8">
        <f t="shared" si="3"/>
        <v>0</v>
      </c>
      <c r="J85" s="8" t="str">
        <f>IF(OR(B85="",C85=""),"",IF(IFERROR(VLOOKUP(C85,RESOURCES!A:C,3,FALSE()),"")=IFERROR(VLOOKUP(B85,TASKS!A:K,4,FALSE()),""),"OK","MISMATCH"))</f>
        <v>OK</v>
      </c>
      <c r="K85" s="8" t="str">
        <f>IF(OR(B85="",D85=""),"",IF(AND(D85&gt;=IFERROR(VLOOKUP(B85,TASKS!A:K,6,FALSE()),0),D85&lt;=IFERROR(VLOOKUP(B85,TASKS!A:K,7,FALSE()),99999)),"OK","OUT OF RANGE"))</f>
        <v>OK</v>
      </c>
    </row>
    <row r="86" spans="1:11" ht="15" customHeight="1" x14ac:dyDescent="0.3">
      <c r="A86" s="5" t="s">
        <v>345</v>
      </c>
      <c r="B86" s="28" t="s">
        <v>200</v>
      </c>
      <c r="C86" s="28" t="s">
        <v>99</v>
      </c>
      <c r="D86" s="29">
        <v>46132</v>
      </c>
      <c r="E86" s="28">
        <v>8</v>
      </c>
      <c r="F86" s="28" t="s">
        <v>261</v>
      </c>
      <c r="G86" s="8">
        <f>IFERROR(VLOOKUP(B86,TASKS!A:K,8,FALSE()),"")</f>
        <v>128</v>
      </c>
      <c r="H86" s="8">
        <f t="shared" si="2"/>
        <v>128</v>
      </c>
      <c r="I86" s="8">
        <f t="shared" si="3"/>
        <v>0</v>
      </c>
      <c r="J86" s="8" t="str">
        <f>IF(OR(B86="",C86=""),"",IF(IFERROR(VLOOKUP(C86,RESOURCES!A:C,3,FALSE()),"")=IFERROR(VLOOKUP(B86,TASKS!A:K,4,FALSE()),""),"OK","MISMATCH"))</f>
        <v>OK</v>
      </c>
      <c r="K86" s="8" t="str">
        <f>IF(OR(B86="",D86=""),"",IF(AND(D86&gt;=IFERROR(VLOOKUP(B86,TASKS!A:K,6,FALSE()),0),D86&lt;=IFERROR(VLOOKUP(B86,TASKS!A:K,7,FALSE()),99999)),"OK","OUT OF RANGE"))</f>
        <v>OK</v>
      </c>
    </row>
    <row r="87" spans="1:11" ht="15" customHeight="1" x14ac:dyDescent="0.3">
      <c r="A87" s="5" t="s">
        <v>346</v>
      </c>
      <c r="B87" s="28" t="s">
        <v>200</v>
      </c>
      <c r="C87" s="28" t="s">
        <v>99</v>
      </c>
      <c r="D87" s="29">
        <v>46139</v>
      </c>
      <c r="E87" s="28">
        <v>8</v>
      </c>
      <c r="F87" s="28" t="s">
        <v>261</v>
      </c>
      <c r="G87" s="8">
        <f>IFERROR(VLOOKUP(B87,TASKS!A:K,8,FALSE()),"")</f>
        <v>128</v>
      </c>
      <c r="H87" s="8">
        <f t="shared" si="2"/>
        <v>128</v>
      </c>
      <c r="I87" s="8">
        <f t="shared" si="3"/>
        <v>0</v>
      </c>
      <c r="J87" s="8" t="str">
        <f>IF(OR(B87="",C87=""),"",IF(IFERROR(VLOOKUP(C87,RESOURCES!A:C,3,FALSE()),"")=IFERROR(VLOOKUP(B87,TASKS!A:K,4,FALSE()),""),"OK","MISMATCH"))</f>
        <v>OK</v>
      </c>
      <c r="K87" s="8" t="str">
        <f>IF(OR(B87="",D87=""),"",IF(AND(D87&gt;=IFERROR(VLOOKUP(B87,TASKS!A:K,6,FALSE()),0),D87&lt;=IFERROR(VLOOKUP(B87,TASKS!A:K,7,FALSE()),99999)),"OK","OUT OF RANGE"))</f>
        <v>OK</v>
      </c>
    </row>
    <row r="88" spans="1:11" ht="15" customHeight="1" x14ac:dyDescent="0.3">
      <c r="A88" s="5" t="s">
        <v>347</v>
      </c>
      <c r="B88" s="28" t="s">
        <v>200</v>
      </c>
      <c r="C88" s="28" t="s">
        <v>99</v>
      </c>
      <c r="D88" s="29">
        <v>46146</v>
      </c>
      <c r="E88" s="28">
        <v>8</v>
      </c>
      <c r="F88" s="28" t="s">
        <v>261</v>
      </c>
      <c r="G88" s="8">
        <f>IFERROR(VLOOKUP(B88,TASKS!A:K,8,FALSE()),"")</f>
        <v>128</v>
      </c>
      <c r="H88" s="8">
        <f t="shared" si="2"/>
        <v>128</v>
      </c>
      <c r="I88" s="8">
        <f t="shared" si="3"/>
        <v>0</v>
      </c>
      <c r="J88" s="8" t="str">
        <f>IF(OR(B88="",C88=""),"",IF(IFERROR(VLOOKUP(C88,RESOURCES!A:C,3,FALSE()),"")=IFERROR(VLOOKUP(B88,TASKS!A:K,4,FALSE()),""),"OK","MISMATCH"))</f>
        <v>OK</v>
      </c>
      <c r="K88" s="8" t="str">
        <f>IF(OR(B88="",D88=""),"",IF(AND(D88&gt;=IFERROR(VLOOKUP(B88,TASKS!A:K,6,FALSE()),0),D88&lt;=IFERROR(VLOOKUP(B88,TASKS!A:K,7,FALSE()),99999)),"OK","OUT OF RANGE"))</f>
        <v>OK</v>
      </c>
    </row>
    <row r="89" spans="1:11" ht="15" customHeight="1" x14ac:dyDescent="0.3">
      <c r="A89" s="5" t="s">
        <v>348</v>
      </c>
      <c r="B89" s="28" t="s">
        <v>200</v>
      </c>
      <c r="C89" s="28" t="s">
        <v>99</v>
      </c>
      <c r="D89" s="29">
        <v>46153</v>
      </c>
      <c r="E89" s="28">
        <v>8</v>
      </c>
      <c r="F89" s="28" t="s">
        <v>261</v>
      </c>
      <c r="G89" s="8">
        <f>IFERROR(VLOOKUP(B89,TASKS!A:K,8,FALSE()),"")</f>
        <v>128</v>
      </c>
      <c r="H89" s="8">
        <f t="shared" si="2"/>
        <v>128</v>
      </c>
      <c r="I89" s="8">
        <f t="shared" si="3"/>
        <v>0</v>
      </c>
      <c r="J89" s="8" t="str">
        <f>IF(OR(B89="",C89=""),"",IF(IFERROR(VLOOKUP(C89,RESOURCES!A:C,3,FALSE()),"")=IFERROR(VLOOKUP(B89,TASKS!A:K,4,FALSE()),""),"OK","MISMATCH"))</f>
        <v>OK</v>
      </c>
      <c r="K89" s="8" t="str">
        <f>IF(OR(B89="",D89=""),"",IF(AND(D89&gt;=IFERROR(VLOOKUP(B89,TASKS!A:K,6,FALSE()),0),D89&lt;=IFERROR(VLOOKUP(B89,TASKS!A:K,7,FALSE()),99999)),"OK","OUT OF RANGE"))</f>
        <v>OK</v>
      </c>
    </row>
    <row r="90" spans="1:11" ht="15" customHeight="1" x14ac:dyDescent="0.3">
      <c r="A90" s="5" t="s">
        <v>349</v>
      </c>
      <c r="B90" s="28" t="s">
        <v>200</v>
      </c>
      <c r="C90" s="28" t="s">
        <v>99</v>
      </c>
      <c r="D90" s="29">
        <v>46160</v>
      </c>
      <c r="E90" s="28">
        <v>8</v>
      </c>
      <c r="F90" s="28" t="s">
        <v>261</v>
      </c>
      <c r="G90" s="8">
        <f>IFERROR(VLOOKUP(B90,TASKS!A:K,8,FALSE()),"")</f>
        <v>128</v>
      </c>
      <c r="H90" s="8">
        <f t="shared" si="2"/>
        <v>128</v>
      </c>
      <c r="I90" s="8">
        <f t="shared" si="3"/>
        <v>0</v>
      </c>
      <c r="J90" s="8" t="str">
        <f>IF(OR(B90="",C90=""),"",IF(IFERROR(VLOOKUP(C90,RESOURCES!A:C,3,FALSE()),"")=IFERROR(VLOOKUP(B90,TASKS!A:K,4,FALSE()),""),"OK","MISMATCH"))</f>
        <v>OK</v>
      </c>
      <c r="K90" s="8" t="str">
        <f>IF(OR(B90="",D90=""),"",IF(AND(D90&gt;=IFERROR(VLOOKUP(B90,TASKS!A:K,6,FALSE()),0),D90&lt;=IFERROR(VLOOKUP(B90,TASKS!A:K,7,FALSE()),99999)),"OK","OUT OF RANGE"))</f>
        <v>OK</v>
      </c>
    </row>
    <row r="91" spans="1:11" ht="15" customHeight="1" x14ac:dyDescent="0.3">
      <c r="A91" s="5" t="s">
        <v>350</v>
      </c>
      <c r="B91" s="28" t="s">
        <v>200</v>
      </c>
      <c r="C91" s="28" t="s">
        <v>99</v>
      </c>
      <c r="D91" s="29">
        <v>46167</v>
      </c>
      <c r="E91" s="28">
        <v>8</v>
      </c>
      <c r="F91" s="28" t="s">
        <v>261</v>
      </c>
      <c r="G91" s="8">
        <f>IFERROR(VLOOKUP(B91,TASKS!A:K,8,FALSE()),"")</f>
        <v>128</v>
      </c>
      <c r="H91" s="8">
        <f t="shared" si="2"/>
        <v>128</v>
      </c>
      <c r="I91" s="8">
        <f t="shared" si="3"/>
        <v>0</v>
      </c>
      <c r="J91" s="8" t="str">
        <f>IF(OR(B91="",C91=""),"",IF(IFERROR(VLOOKUP(C91,RESOURCES!A:C,3,FALSE()),"")=IFERROR(VLOOKUP(B91,TASKS!A:K,4,FALSE()),""),"OK","MISMATCH"))</f>
        <v>OK</v>
      </c>
      <c r="K91" s="8" t="str">
        <f>IF(OR(B91="",D91=""),"",IF(AND(D91&gt;=IFERROR(VLOOKUP(B91,TASKS!A:K,6,FALSE()),0),D91&lt;=IFERROR(VLOOKUP(B91,TASKS!A:K,7,FALSE()),99999)),"OK","OUT OF RANGE"))</f>
        <v>OK</v>
      </c>
    </row>
    <row r="92" spans="1:11" ht="15" customHeight="1" x14ac:dyDescent="0.3">
      <c r="A92" s="5" t="s">
        <v>351</v>
      </c>
      <c r="B92" s="28" t="s">
        <v>200</v>
      </c>
      <c r="C92" s="28" t="s">
        <v>99</v>
      </c>
      <c r="D92" s="29">
        <v>46174</v>
      </c>
      <c r="E92" s="28">
        <v>8</v>
      </c>
      <c r="F92" s="28" t="s">
        <v>261</v>
      </c>
      <c r="G92" s="8">
        <f>IFERROR(VLOOKUP(B92,TASKS!A:K,8,FALSE()),"")</f>
        <v>128</v>
      </c>
      <c r="H92" s="8">
        <f t="shared" si="2"/>
        <v>128</v>
      </c>
      <c r="I92" s="8">
        <f t="shared" si="3"/>
        <v>0</v>
      </c>
      <c r="J92" s="8" t="str">
        <f>IF(OR(B92="",C92=""),"",IF(IFERROR(VLOOKUP(C92,RESOURCES!A:C,3,FALSE()),"")=IFERROR(VLOOKUP(B92,TASKS!A:K,4,FALSE()),""),"OK","MISMATCH"))</f>
        <v>OK</v>
      </c>
      <c r="K92" s="8" t="str">
        <f>IF(OR(B92="",D92=""),"",IF(AND(D92&gt;=IFERROR(VLOOKUP(B92,TASKS!A:K,6,FALSE()),0),D92&lt;=IFERROR(VLOOKUP(B92,TASKS!A:K,7,FALSE()),99999)),"OK","OUT OF RANGE"))</f>
        <v>OK</v>
      </c>
    </row>
    <row r="93" spans="1:11" ht="15" customHeight="1" x14ac:dyDescent="0.3">
      <c r="A93" s="5" t="s">
        <v>352</v>
      </c>
      <c r="B93" s="28" t="s">
        <v>200</v>
      </c>
      <c r="C93" s="28" t="s">
        <v>99</v>
      </c>
      <c r="D93" s="29">
        <v>46181</v>
      </c>
      <c r="E93" s="28">
        <v>8</v>
      </c>
      <c r="F93" s="28" t="s">
        <v>261</v>
      </c>
      <c r="G93" s="8">
        <f>IFERROR(VLOOKUP(B93,TASKS!A:K,8,FALSE()),"")</f>
        <v>128</v>
      </c>
      <c r="H93" s="8">
        <f t="shared" si="2"/>
        <v>128</v>
      </c>
      <c r="I93" s="8">
        <f t="shared" si="3"/>
        <v>0</v>
      </c>
      <c r="J93" s="8" t="str">
        <f>IF(OR(B93="",C93=""),"",IF(IFERROR(VLOOKUP(C93,RESOURCES!A:C,3,FALSE()),"")=IFERROR(VLOOKUP(B93,TASKS!A:K,4,FALSE()),""),"OK","MISMATCH"))</f>
        <v>OK</v>
      </c>
      <c r="K93" s="8" t="str">
        <f>IF(OR(B93="",D93=""),"",IF(AND(D93&gt;=IFERROR(VLOOKUP(B93,TASKS!A:K,6,FALSE()),0),D93&lt;=IFERROR(VLOOKUP(B93,TASKS!A:K,7,FALSE()),99999)),"OK","OUT OF RANGE"))</f>
        <v>OK</v>
      </c>
    </row>
    <row r="94" spans="1:11" ht="15" customHeight="1" x14ac:dyDescent="0.3">
      <c r="A94" s="5" t="s">
        <v>353</v>
      </c>
      <c r="B94" s="28" t="s">
        <v>204</v>
      </c>
      <c r="C94" s="28" t="s">
        <v>85</v>
      </c>
      <c r="D94" s="29">
        <v>46076</v>
      </c>
      <c r="E94" s="28">
        <v>15</v>
      </c>
      <c r="F94" s="28" t="s">
        <v>125</v>
      </c>
      <c r="G94" s="8">
        <f>IFERROR(VLOOKUP(B94,TASKS!A:K,8,FALSE()),"")</f>
        <v>240</v>
      </c>
      <c r="H94" s="8">
        <f t="shared" si="2"/>
        <v>240</v>
      </c>
      <c r="I94" s="8">
        <f t="shared" si="3"/>
        <v>0</v>
      </c>
      <c r="J94" s="8" t="str">
        <f>IF(OR(B94="",C94=""),"",IF(IFERROR(VLOOKUP(C94,RESOURCES!A:C,3,FALSE()),"")=IFERROR(VLOOKUP(B94,TASKS!A:K,4,FALSE()),""),"OK","MISMATCH"))</f>
        <v>OK</v>
      </c>
      <c r="K94" s="8" t="str">
        <f>IF(OR(B94="",D94=""),"",IF(AND(D94&gt;=IFERROR(VLOOKUP(B94,TASKS!A:K,6,FALSE()),0),D94&lt;=IFERROR(VLOOKUP(B94,TASKS!A:K,7,FALSE()),99999)),"OK","OUT OF RANGE"))</f>
        <v>OK</v>
      </c>
    </row>
    <row r="95" spans="1:11" ht="15" customHeight="1" x14ac:dyDescent="0.3">
      <c r="A95" s="5" t="s">
        <v>354</v>
      </c>
      <c r="B95" s="28" t="s">
        <v>204</v>
      </c>
      <c r="C95" s="28" t="s">
        <v>85</v>
      </c>
      <c r="D95" s="29">
        <v>46083</v>
      </c>
      <c r="E95" s="28">
        <v>15</v>
      </c>
      <c r="F95" s="28" t="s">
        <v>261</v>
      </c>
      <c r="G95" s="8">
        <f>IFERROR(VLOOKUP(B95,TASKS!A:K,8,FALSE()),"")</f>
        <v>240</v>
      </c>
      <c r="H95" s="8">
        <f t="shared" si="2"/>
        <v>240</v>
      </c>
      <c r="I95" s="8">
        <f t="shared" si="3"/>
        <v>0</v>
      </c>
      <c r="J95" s="8" t="str">
        <f>IF(OR(B95="",C95=""),"",IF(IFERROR(VLOOKUP(C95,RESOURCES!A:C,3,FALSE()),"")=IFERROR(VLOOKUP(B95,TASKS!A:K,4,FALSE()),""),"OK","MISMATCH"))</f>
        <v>OK</v>
      </c>
      <c r="K95" s="8" t="str">
        <f>IF(OR(B95="",D95=""),"",IF(AND(D95&gt;=IFERROR(VLOOKUP(B95,TASKS!A:K,6,FALSE()),0),D95&lt;=IFERROR(VLOOKUP(B95,TASKS!A:K,7,FALSE()),99999)),"OK","OUT OF RANGE"))</f>
        <v>OK</v>
      </c>
    </row>
    <row r="96" spans="1:11" ht="15" customHeight="1" x14ac:dyDescent="0.3">
      <c r="A96" s="5" t="s">
        <v>355</v>
      </c>
      <c r="B96" s="28" t="s">
        <v>204</v>
      </c>
      <c r="C96" s="28" t="s">
        <v>85</v>
      </c>
      <c r="D96" s="29">
        <v>46090</v>
      </c>
      <c r="E96" s="28">
        <v>15</v>
      </c>
      <c r="F96" s="28" t="s">
        <v>261</v>
      </c>
      <c r="G96" s="8">
        <f>IFERROR(VLOOKUP(B96,TASKS!A:K,8,FALSE()),"")</f>
        <v>240</v>
      </c>
      <c r="H96" s="8">
        <f t="shared" si="2"/>
        <v>240</v>
      </c>
      <c r="I96" s="8">
        <f t="shared" si="3"/>
        <v>0</v>
      </c>
      <c r="J96" s="8" t="str">
        <f>IF(OR(B96="",C96=""),"",IF(IFERROR(VLOOKUP(C96,RESOURCES!A:C,3,FALSE()),"")=IFERROR(VLOOKUP(B96,TASKS!A:K,4,FALSE()),""),"OK","MISMATCH"))</f>
        <v>OK</v>
      </c>
      <c r="K96" s="8" t="str">
        <f>IF(OR(B96="",D96=""),"",IF(AND(D96&gt;=IFERROR(VLOOKUP(B96,TASKS!A:K,6,FALSE()),0),D96&lt;=IFERROR(VLOOKUP(B96,TASKS!A:K,7,FALSE()),99999)),"OK","OUT OF RANGE"))</f>
        <v>OK</v>
      </c>
    </row>
    <row r="97" spans="1:11" ht="15" customHeight="1" x14ac:dyDescent="0.3">
      <c r="A97" s="5" t="s">
        <v>356</v>
      </c>
      <c r="B97" s="28" t="s">
        <v>204</v>
      </c>
      <c r="C97" s="28" t="s">
        <v>85</v>
      </c>
      <c r="D97" s="29">
        <v>46097</v>
      </c>
      <c r="E97" s="28">
        <v>15</v>
      </c>
      <c r="F97" s="28" t="s">
        <v>261</v>
      </c>
      <c r="G97" s="8">
        <f>IFERROR(VLOOKUP(B97,TASKS!A:K,8,FALSE()),"")</f>
        <v>240</v>
      </c>
      <c r="H97" s="8">
        <f t="shared" si="2"/>
        <v>240</v>
      </c>
      <c r="I97" s="8">
        <f t="shared" si="3"/>
        <v>0</v>
      </c>
      <c r="J97" s="8" t="str">
        <f>IF(OR(B97="",C97=""),"",IF(IFERROR(VLOOKUP(C97,RESOURCES!A:C,3,FALSE()),"")=IFERROR(VLOOKUP(B97,TASKS!A:K,4,FALSE()),""),"OK","MISMATCH"))</f>
        <v>OK</v>
      </c>
      <c r="K97" s="8" t="str">
        <f>IF(OR(B97="",D97=""),"",IF(AND(D97&gt;=IFERROR(VLOOKUP(B97,TASKS!A:K,6,FALSE()),0),D97&lt;=IFERROR(VLOOKUP(B97,TASKS!A:K,7,FALSE()),99999)),"OK","OUT OF RANGE"))</f>
        <v>OK</v>
      </c>
    </row>
    <row r="98" spans="1:11" ht="15" customHeight="1" x14ac:dyDescent="0.3">
      <c r="A98" s="5" t="s">
        <v>357</v>
      </c>
      <c r="B98" s="28" t="s">
        <v>204</v>
      </c>
      <c r="C98" s="28" t="s">
        <v>85</v>
      </c>
      <c r="D98" s="29">
        <v>46104</v>
      </c>
      <c r="E98" s="28">
        <v>15</v>
      </c>
      <c r="F98" s="28" t="s">
        <v>261</v>
      </c>
      <c r="G98" s="8">
        <f>IFERROR(VLOOKUP(B98,TASKS!A:K,8,FALSE()),"")</f>
        <v>240</v>
      </c>
      <c r="H98" s="8">
        <f t="shared" si="2"/>
        <v>240</v>
      </c>
      <c r="I98" s="8">
        <f t="shared" si="3"/>
        <v>0</v>
      </c>
      <c r="J98" s="8" t="str">
        <f>IF(OR(B98="",C98=""),"",IF(IFERROR(VLOOKUP(C98,RESOURCES!A:C,3,FALSE()),"")=IFERROR(VLOOKUP(B98,TASKS!A:K,4,FALSE()),""),"OK","MISMATCH"))</f>
        <v>OK</v>
      </c>
      <c r="K98" s="8" t="str">
        <f>IF(OR(B98="",D98=""),"",IF(AND(D98&gt;=IFERROR(VLOOKUP(B98,TASKS!A:K,6,FALSE()),0),D98&lt;=IFERROR(VLOOKUP(B98,TASKS!A:K,7,FALSE()),99999)),"OK","OUT OF RANGE"))</f>
        <v>OK</v>
      </c>
    </row>
    <row r="99" spans="1:11" ht="15" customHeight="1" x14ac:dyDescent="0.3">
      <c r="A99" s="5" t="s">
        <v>358</v>
      </c>
      <c r="B99" s="28" t="s">
        <v>204</v>
      </c>
      <c r="C99" s="28" t="s">
        <v>85</v>
      </c>
      <c r="D99" s="29">
        <v>46111</v>
      </c>
      <c r="E99" s="28">
        <v>15</v>
      </c>
      <c r="F99" s="28" t="s">
        <v>261</v>
      </c>
      <c r="G99" s="8">
        <f>IFERROR(VLOOKUP(B99,TASKS!A:K,8,FALSE()),"")</f>
        <v>240</v>
      </c>
      <c r="H99" s="8">
        <f t="shared" si="2"/>
        <v>240</v>
      </c>
      <c r="I99" s="8">
        <f t="shared" si="3"/>
        <v>0</v>
      </c>
      <c r="J99" s="8" t="str">
        <f>IF(OR(B99="",C99=""),"",IF(IFERROR(VLOOKUP(C99,RESOURCES!A:C,3,FALSE()),"")=IFERROR(VLOOKUP(B99,TASKS!A:K,4,FALSE()),""),"OK","MISMATCH"))</f>
        <v>OK</v>
      </c>
      <c r="K99" s="8" t="str">
        <f>IF(OR(B99="",D99=""),"",IF(AND(D99&gt;=IFERROR(VLOOKUP(B99,TASKS!A:K,6,FALSE()),0),D99&lt;=IFERROR(VLOOKUP(B99,TASKS!A:K,7,FALSE()),99999)),"OK","OUT OF RANGE"))</f>
        <v>OK</v>
      </c>
    </row>
    <row r="100" spans="1:11" ht="15" customHeight="1" x14ac:dyDescent="0.3">
      <c r="A100" s="5" t="s">
        <v>359</v>
      </c>
      <c r="B100" s="28" t="s">
        <v>204</v>
      </c>
      <c r="C100" s="28" t="s">
        <v>85</v>
      </c>
      <c r="D100" s="29">
        <v>46118</v>
      </c>
      <c r="E100" s="28">
        <v>15</v>
      </c>
      <c r="F100" s="28" t="s">
        <v>261</v>
      </c>
      <c r="G100" s="8">
        <f>IFERROR(VLOOKUP(B100,TASKS!A:K,8,FALSE()),"")</f>
        <v>240</v>
      </c>
      <c r="H100" s="8">
        <f t="shared" si="2"/>
        <v>240</v>
      </c>
      <c r="I100" s="8">
        <f t="shared" si="3"/>
        <v>0</v>
      </c>
      <c r="J100" s="8" t="str">
        <f>IF(OR(B100="",C100=""),"",IF(IFERROR(VLOOKUP(C100,RESOURCES!A:C,3,FALSE()),"")=IFERROR(VLOOKUP(B100,TASKS!A:K,4,FALSE()),""),"OK","MISMATCH"))</f>
        <v>OK</v>
      </c>
      <c r="K100" s="8" t="str">
        <f>IF(OR(B100="",D100=""),"",IF(AND(D100&gt;=IFERROR(VLOOKUP(B100,TASKS!A:K,6,FALSE()),0),D100&lt;=IFERROR(VLOOKUP(B100,TASKS!A:K,7,FALSE()),99999)),"OK","OUT OF RANGE"))</f>
        <v>OK</v>
      </c>
    </row>
    <row r="101" spans="1:11" ht="15" customHeight="1" x14ac:dyDescent="0.3">
      <c r="A101" s="5" t="s">
        <v>360</v>
      </c>
      <c r="B101" s="28" t="s">
        <v>204</v>
      </c>
      <c r="C101" s="28" t="s">
        <v>85</v>
      </c>
      <c r="D101" s="29">
        <v>46125</v>
      </c>
      <c r="E101" s="28">
        <v>15</v>
      </c>
      <c r="F101" s="28" t="s">
        <v>261</v>
      </c>
      <c r="G101" s="8">
        <f>IFERROR(VLOOKUP(B101,TASKS!A:K,8,FALSE()),"")</f>
        <v>240</v>
      </c>
      <c r="H101" s="8">
        <f t="shared" si="2"/>
        <v>240</v>
      </c>
      <c r="I101" s="8">
        <f t="shared" si="3"/>
        <v>0</v>
      </c>
      <c r="J101" s="8" t="str">
        <f>IF(OR(B101="",C101=""),"",IF(IFERROR(VLOOKUP(C101,RESOURCES!A:C,3,FALSE()),"")=IFERROR(VLOOKUP(B101,TASKS!A:K,4,FALSE()),""),"OK","MISMATCH"))</f>
        <v>OK</v>
      </c>
      <c r="K101" s="8" t="str">
        <f>IF(OR(B101="",D101=""),"",IF(AND(D101&gt;=IFERROR(VLOOKUP(B101,TASKS!A:K,6,FALSE()),0),D101&lt;=IFERROR(VLOOKUP(B101,TASKS!A:K,7,FALSE()),99999)),"OK","OUT OF RANGE"))</f>
        <v>OK</v>
      </c>
    </row>
    <row r="102" spans="1:11" ht="15" customHeight="1" x14ac:dyDescent="0.3">
      <c r="A102" s="5" t="s">
        <v>361</v>
      </c>
      <c r="B102" s="28" t="s">
        <v>204</v>
      </c>
      <c r="C102" s="28" t="s">
        <v>85</v>
      </c>
      <c r="D102" s="29">
        <v>46132</v>
      </c>
      <c r="E102" s="28">
        <v>15</v>
      </c>
      <c r="F102" s="28" t="s">
        <v>261</v>
      </c>
      <c r="G102" s="8">
        <f>IFERROR(VLOOKUP(B102,TASKS!A:K,8,FALSE()),"")</f>
        <v>240</v>
      </c>
      <c r="H102" s="8">
        <f t="shared" si="2"/>
        <v>240</v>
      </c>
      <c r="I102" s="8">
        <f t="shared" si="3"/>
        <v>0</v>
      </c>
      <c r="J102" s="8" t="str">
        <f>IF(OR(B102="",C102=""),"",IF(IFERROR(VLOOKUP(C102,RESOURCES!A:C,3,FALSE()),"")=IFERROR(VLOOKUP(B102,TASKS!A:K,4,FALSE()),""),"OK","MISMATCH"))</f>
        <v>OK</v>
      </c>
      <c r="K102" s="8" t="str">
        <f>IF(OR(B102="",D102=""),"",IF(AND(D102&gt;=IFERROR(VLOOKUP(B102,TASKS!A:K,6,FALSE()),0),D102&lt;=IFERROR(VLOOKUP(B102,TASKS!A:K,7,FALSE()),99999)),"OK","OUT OF RANGE"))</f>
        <v>OK</v>
      </c>
    </row>
    <row r="103" spans="1:11" ht="15" customHeight="1" x14ac:dyDescent="0.3">
      <c r="A103" s="5" t="s">
        <v>362</v>
      </c>
      <c r="B103" s="28" t="s">
        <v>204</v>
      </c>
      <c r="C103" s="28" t="s">
        <v>85</v>
      </c>
      <c r="D103" s="29">
        <v>46139</v>
      </c>
      <c r="E103" s="28">
        <v>15</v>
      </c>
      <c r="F103" s="28" t="s">
        <v>261</v>
      </c>
      <c r="G103" s="8">
        <f>IFERROR(VLOOKUP(B103,TASKS!A:K,8,FALSE()),"")</f>
        <v>240</v>
      </c>
      <c r="H103" s="8">
        <f t="shared" si="2"/>
        <v>240</v>
      </c>
      <c r="I103" s="8">
        <f t="shared" si="3"/>
        <v>0</v>
      </c>
      <c r="J103" s="8" t="str">
        <f>IF(OR(B103="",C103=""),"",IF(IFERROR(VLOOKUP(C103,RESOURCES!A:C,3,FALSE()),"")=IFERROR(VLOOKUP(B103,TASKS!A:K,4,FALSE()),""),"OK","MISMATCH"))</f>
        <v>OK</v>
      </c>
      <c r="K103" s="8" t="str">
        <f>IF(OR(B103="",D103=""),"",IF(AND(D103&gt;=IFERROR(VLOOKUP(B103,TASKS!A:K,6,FALSE()),0),D103&lt;=IFERROR(VLOOKUP(B103,TASKS!A:K,7,FALSE()),99999)),"OK","OUT OF RANGE"))</f>
        <v>OK</v>
      </c>
    </row>
    <row r="104" spans="1:11" ht="15" customHeight="1" x14ac:dyDescent="0.3">
      <c r="A104" s="5" t="s">
        <v>363</v>
      </c>
      <c r="B104" s="28" t="s">
        <v>204</v>
      </c>
      <c r="C104" s="28" t="s">
        <v>85</v>
      </c>
      <c r="D104" s="29">
        <v>46146</v>
      </c>
      <c r="E104" s="28">
        <v>15</v>
      </c>
      <c r="F104" s="28" t="s">
        <v>261</v>
      </c>
      <c r="G104" s="8">
        <f>IFERROR(VLOOKUP(B104,TASKS!A:K,8,FALSE()),"")</f>
        <v>240</v>
      </c>
      <c r="H104" s="8">
        <f t="shared" si="2"/>
        <v>240</v>
      </c>
      <c r="I104" s="8">
        <f t="shared" si="3"/>
        <v>0</v>
      </c>
      <c r="J104" s="8" t="str">
        <f>IF(OR(B104="",C104=""),"",IF(IFERROR(VLOOKUP(C104,RESOURCES!A:C,3,FALSE()),"")=IFERROR(VLOOKUP(B104,TASKS!A:K,4,FALSE()),""),"OK","MISMATCH"))</f>
        <v>OK</v>
      </c>
      <c r="K104" s="8" t="str">
        <f>IF(OR(B104="",D104=""),"",IF(AND(D104&gt;=IFERROR(VLOOKUP(B104,TASKS!A:K,6,FALSE()),0),D104&lt;=IFERROR(VLOOKUP(B104,TASKS!A:K,7,FALSE()),99999)),"OK","OUT OF RANGE"))</f>
        <v>OK</v>
      </c>
    </row>
    <row r="105" spans="1:11" ht="15" customHeight="1" x14ac:dyDescent="0.3">
      <c r="A105" s="5" t="s">
        <v>364</v>
      </c>
      <c r="B105" s="28" t="s">
        <v>204</v>
      </c>
      <c r="C105" s="28" t="s">
        <v>85</v>
      </c>
      <c r="D105" s="29">
        <v>46153</v>
      </c>
      <c r="E105" s="28">
        <v>15</v>
      </c>
      <c r="F105" s="28" t="s">
        <v>261</v>
      </c>
      <c r="G105" s="8">
        <f>IFERROR(VLOOKUP(B105,TASKS!A:K,8,FALSE()),"")</f>
        <v>240</v>
      </c>
      <c r="H105" s="8">
        <f t="shared" si="2"/>
        <v>240</v>
      </c>
      <c r="I105" s="8">
        <f t="shared" si="3"/>
        <v>0</v>
      </c>
      <c r="J105" s="8" t="str">
        <f>IF(OR(B105="",C105=""),"",IF(IFERROR(VLOOKUP(C105,RESOURCES!A:C,3,FALSE()),"")=IFERROR(VLOOKUP(B105,TASKS!A:K,4,FALSE()),""),"OK","MISMATCH"))</f>
        <v>OK</v>
      </c>
      <c r="K105" s="8" t="str">
        <f>IF(OR(B105="",D105=""),"",IF(AND(D105&gt;=IFERROR(VLOOKUP(B105,TASKS!A:K,6,FALSE()),0),D105&lt;=IFERROR(VLOOKUP(B105,TASKS!A:K,7,FALSE()),99999)),"OK","OUT OF RANGE"))</f>
        <v>OK</v>
      </c>
    </row>
    <row r="106" spans="1:11" ht="15" customHeight="1" x14ac:dyDescent="0.3">
      <c r="A106" s="5" t="s">
        <v>365</v>
      </c>
      <c r="B106" s="28" t="s">
        <v>204</v>
      </c>
      <c r="C106" s="28" t="s">
        <v>85</v>
      </c>
      <c r="D106" s="29">
        <v>46160</v>
      </c>
      <c r="E106" s="28">
        <v>15</v>
      </c>
      <c r="F106" s="28" t="s">
        <v>261</v>
      </c>
      <c r="G106" s="8">
        <f>IFERROR(VLOOKUP(B106,TASKS!A:K,8,FALSE()),"")</f>
        <v>240</v>
      </c>
      <c r="H106" s="8">
        <f t="shared" si="2"/>
        <v>240</v>
      </c>
      <c r="I106" s="8">
        <f t="shared" si="3"/>
        <v>0</v>
      </c>
      <c r="J106" s="8" t="str">
        <f>IF(OR(B106="",C106=""),"",IF(IFERROR(VLOOKUP(C106,RESOURCES!A:C,3,FALSE()),"")=IFERROR(VLOOKUP(B106,TASKS!A:K,4,FALSE()),""),"OK","MISMATCH"))</f>
        <v>OK</v>
      </c>
      <c r="K106" s="8" t="str">
        <f>IF(OR(B106="",D106=""),"",IF(AND(D106&gt;=IFERROR(VLOOKUP(B106,TASKS!A:K,6,FALSE()),0),D106&lt;=IFERROR(VLOOKUP(B106,TASKS!A:K,7,FALSE()),99999)),"OK","OUT OF RANGE"))</f>
        <v>OK</v>
      </c>
    </row>
    <row r="107" spans="1:11" ht="15" customHeight="1" x14ac:dyDescent="0.3">
      <c r="A107" s="5" t="s">
        <v>366</v>
      </c>
      <c r="B107" s="28" t="s">
        <v>204</v>
      </c>
      <c r="C107" s="28" t="s">
        <v>85</v>
      </c>
      <c r="D107" s="29">
        <v>46167</v>
      </c>
      <c r="E107" s="28">
        <v>15</v>
      </c>
      <c r="F107" s="28" t="s">
        <v>261</v>
      </c>
      <c r="G107" s="8">
        <f>IFERROR(VLOOKUP(B107,TASKS!A:K,8,FALSE()),"")</f>
        <v>240</v>
      </c>
      <c r="H107" s="8">
        <f t="shared" si="2"/>
        <v>240</v>
      </c>
      <c r="I107" s="8">
        <f t="shared" si="3"/>
        <v>0</v>
      </c>
      <c r="J107" s="8" t="str">
        <f>IF(OR(B107="",C107=""),"",IF(IFERROR(VLOOKUP(C107,RESOURCES!A:C,3,FALSE()),"")=IFERROR(VLOOKUP(B107,TASKS!A:K,4,FALSE()),""),"OK","MISMATCH"))</f>
        <v>OK</v>
      </c>
      <c r="K107" s="8" t="str">
        <f>IF(OR(B107="",D107=""),"",IF(AND(D107&gt;=IFERROR(VLOOKUP(B107,TASKS!A:K,6,FALSE()),0),D107&lt;=IFERROR(VLOOKUP(B107,TASKS!A:K,7,FALSE()),99999)),"OK","OUT OF RANGE"))</f>
        <v>OK</v>
      </c>
    </row>
    <row r="108" spans="1:11" ht="15" customHeight="1" x14ac:dyDescent="0.3">
      <c r="A108" s="5" t="s">
        <v>367</v>
      </c>
      <c r="B108" s="28" t="s">
        <v>204</v>
      </c>
      <c r="C108" s="28" t="s">
        <v>85</v>
      </c>
      <c r="D108" s="29">
        <v>46174</v>
      </c>
      <c r="E108" s="28">
        <v>15</v>
      </c>
      <c r="F108" s="28" t="s">
        <v>261</v>
      </c>
      <c r="G108" s="8">
        <f>IFERROR(VLOOKUP(B108,TASKS!A:K,8,FALSE()),"")</f>
        <v>240</v>
      </c>
      <c r="H108" s="8">
        <f t="shared" si="2"/>
        <v>240</v>
      </c>
      <c r="I108" s="8">
        <f t="shared" si="3"/>
        <v>0</v>
      </c>
      <c r="J108" s="8" t="str">
        <f>IF(OR(B108="",C108=""),"",IF(IFERROR(VLOOKUP(C108,RESOURCES!A:C,3,FALSE()),"")=IFERROR(VLOOKUP(B108,TASKS!A:K,4,FALSE()),""),"OK","MISMATCH"))</f>
        <v>OK</v>
      </c>
      <c r="K108" s="8" t="str">
        <f>IF(OR(B108="",D108=""),"",IF(AND(D108&gt;=IFERROR(VLOOKUP(B108,TASKS!A:K,6,FALSE()),0),D108&lt;=IFERROR(VLOOKUP(B108,TASKS!A:K,7,FALSE()),99999)),"OK","OUT OF RANGE"))</f>
        <v>OK</v>
      </c>
    </row>
    <row r="109" spans="1:11" ht="15" customHeight="1" x14ac:dyDescent="0.3">
      <c r="A109" s="5" t="s">
        <v>368</v>
      </c>
      <c r="B109" s="28" t="s">
        <v>204</v>
      </c>
      <c r="C109" s="28" t="s">
        <v>85</v>
      </c>
      <c r="D109" s="29">
        <v>46181</v>
      </c>
      <c r="E109" s="28">
        <v>15</v>
      </c>
      <c r="F109" s="28" t="s">
        <v>261</v>
      </c>
      <c r="G109" s="8">
        <f>IFERROR(VLOOKUP(B109,TASKS!A:K,8,FALSE()),"")</f>
        <v>240</v>
      </c>
      <c r="H109" s="8">
        <f t="shared" si="2"/>
        <v>240</v>
      </c>
      <c r="I109" s="8">
        <f t="shared" si="3"/>
        <v>0</v>
      </c>
      <c r="J109" s="8" t="str">
        <f>IF(OR(B109="",C109=""),"",IF(IFERROR(VLOOKUP(C109,RESOURCES!A:C,3,FALSE()),"")=IFERROR(VLOOKUP(B109,TASKS!A:K,4,FALSE()),""),"OK","MISMATCH"))</f>
        <v>OK</v>
      </c>
      <c r="K109" s="8" t="str">
        <f>IF(OR(B109="",D109=""),"",IF(AND(D109&gt;=IFERROR(VLOOKUP(B109,TASKS!A:K,6,FALSE()),0),D109&lt;=IFERROR(VLOOKUP(B109,TASKS!A:K,7,FALSE()),99999)),"OK","OUT OF RANGE"))</f>
        <v>OK</v>
      </c>
    </row>
    <row r="110" spans="1:11" ht="15" customHeight="1" x14ac:dyDescent="0.3">
      <c r="A110" s="5" t="s">
        <v>369</v>
      </c>
      <c r="B110" s="28" t="s">
        <v>207</v>
      </c>
      <c r="C110" s="28" t="s">
        <v>85</v>
      </c>
      <c r="D110" s="29">
        <v>46076</v>
      </c>
      <c r="E110" s="28">
        <v>3</v>
      </c>
      <c r="F110" s="28" t="s">
        <v>125</v>
      </c>
      <c r="G110" s="8">
        <f>IFERROR(VLOOKUP(B110,TASKS!A:K,8,FALSE()),"")</f>
        <v>48</v>
      </c>
      <c r="H110" s="8">
        <f t="shared" si="2"/>
        <v>48</v>
      </c>
      <c r="I110" s="8">
        <f t="shared" si="3"/>
        <v>0</v>
      </c>
      <c r="J110" s="8" t="str">
        <f>IF(OR(B110="",C110=""),"",IF(IFERROR(VLOOKUP(C110,RESOURCES!A:C,3,FALSE()),"")=IFERROR(VLOOKUP(B110,TASKS!A:K,4,FALSE()),""),"OK","MISMATCH"))</f>
        <v>OK</v>
      </c>
      <c r="K110" s="8" t="str">
        <f>IF(OR(B110="",D110=""),"",IF(AND(D110&gt;=IFERROR(VLOOKUP(B110,TASKS!A:K,6,FALSE()),0),D110&lt;=IFERROR(VLOOKUP(B110,TASKS!A:K,7,FALSE()),99999)),"OK","OUT OF RANGE"))</f>
        <v>OK</v>
      </c>
    </row>
    <row r="111" spans="1:11" ht="15" customHeight="1" x14ac:dyDescent="0.3">
      <c r="A111" s="5" t="s">
        <v>370</v>
      </c>
      <c r="B111" s="28" t="s">
        <v>207</v>
      </c>
      <c r="C111" s="28" t="s">
        <v>85</v>
      </c>
      <c r="D111" s="29">
        <v>46083</v>
      </c>
      <c r="E111" s="28">
        <v>3</v>
      </c>
      <c r="F111" s="28" t="s">
        <v>261</v>
      </c>
      <c r="G111" s="8">
        <f>IFERROR(VLOOKUP(B111,TASKS!A:K,8,FALSE()),"")</f>
        <v>48</v>
      </c>
      <c r="H111" s="8">
        <f t="shared" si="2"/>
        <v>48</v>
      </c>
      <c r="I111" s="8">
        <f t="shared" si="3"/>
        <v>0</v>
      </c>
      <c r="J111" s="8" t="str">
        <f>IF(OR(B111="",C111=""),"",IF(IFERROR(VLOOKUP(C111,RESOURCES!A:C,3,FALSE()),"")=IFERROR(VLOOKUP(B111,TASKS!A:K,4,FALSE()),""),"OK","MISMATCH"))</f>
        <v>OK</v>
      </c>
      <c r="K111" s="8" t="str">
        <f>IF(OR(B111="",D111=""),"",IF(AND(D111&gt;=IFERROR(VLOOKUP(B111,TASKS!A:K,6,FALSE()),0),D111&lt;=IFERROR(VLOOKUP(B111,TASKS!A:K,7,FALSE()),99999)),"OK","OUT OF RANGE"))</f>
        <v>OK</v>
      </c>
    </row>
    <row r="112" spans="1:11" ht="15" customHeight="1" x14ac:dyDescent="0.3">
      <c r="A112" s="5" t="s">
        <v>371</v>
      </c>
      <c r="B112" s="28" t="s">
        <v>207</v>
      </c>
      <c r="C112" s="28" t="s">
        <v>85</v>
      </c>
      <c r="D112" s="29">
        <v>46090</v>
      </c>
      <c r="E112" s="28">
        <v>3</v>
      </c>
      <c r="F112" s="28" t="s">
        <v>261</v>
      </c>
      <c r="G112" s="8">
        <f>IFERROR(VLOOKUP(B112,TASKS!A:K,8,FALSE()),"")</f>
        <v>48</v>
      </c>
      <c r="H112" s="8">
        <f t="shared" si="2"/>
        <v>48</v>
      </c>
      <c r="I112" s="8">
        <f t="shared" si="3"/>
        <v>0</v>
      </c>
      <c r="J112" s="8" t="str">
        <f>IF(OR(B112="",C112=""),"",IF(IFERROR(VLOOKUP(C112,RESOURCES!A:C,3,FALSE()),"")=IFERROR(VLOOKUP(B112,TASKS!A:K,4,FALSE()),""),"OK","MISMATCH"))</f>
        <v>OK</v>
      </c>
      <c r="K112" s="8" t="str">
        <f>IF(OR(B112="",D112=""),"",IF(AND(D112&gt;=IFERROR(VLOOKUP(B112,TASKS!A:K,6,FALSE()),0),D112&lt;=IFERROR(VLOOKUP(B112,TASKS!A:K,7,FALSE()),99999)),"OK","OUT OF RANGE"))</f>
        <v>OK</v>
      </c>
    </row>
    <row r="113" spans="1:11" ht="15" customHeight="1" x14ac:dyDescent="0.3">
      <c r="A113" s="5" t="s">
        <v>372</v>
      </c>
      <c r="B113" s="28" t="s">
        <v>207</v>
      </c>
      <c r="C113" s="28" t="s">
        <v>85</v>
      </c>
      <c r="D113" s="29">
        <v>46097</v>
      </c>
      <c r="E113" s="28">
        <v>3</v>
      </c>
      <c r="F113" s="28" t="s">
        <v>261</v>
      </c>
      <c r="G113" s="8">
        <f>IFERROR(VLOOKUP(B113,TASKS!A:K,8,FALSE()),"")</f>
        <v>48</v>
      </c>
      <c r="H113" s="8">
        <f t="shared" si="2"/>
        <v>48</v>
      </c>
      <c r="I113" s="8">
        <f t="shared" si="3"/>
        <v>0</v>
      </c>
      <c r="J113" s="8" t="str">
        <f>IF(OR(B113="",C113=""),"",IF(IFERROR(VLOOKUP(C113,RESOURCES!A:C,3,FALSE()),"")=IFERROR(VLOOKUP(B113,TASKS!A:K,4,FALSE()),""),"OK","MISMATCH"))</f>
        <v>OK</v>
      </c>
      <c r="K113" s="8" t="str">
        <f>IF(OR(B113="",D113=""),"",IF(AND(D113&gt;=IFERROR(VLOOKUP(B113,TASKS!A:K,6,FALSE()),0),D113&lt;=IFERROR(VLOOKUP(B113,TASKS!A:K,7,FALSE()),99999)),"OK","OUT OF RANGE"))</f>
        <v>OK</v>
      </c>
    </row>
    <row r="114" spans="1:11" ht="15" customHeight="1" x14ac:dyDescent="0.3">
      <c r="A114" s="5" t="s">
        <v>373</v>
      </c>
      <c r="B114" s="28" t="s">
        <v>207</v>
      </c>
      <c r="C114" s="28" t="s">
        <v>85</v>
      </c>
      <c r="D114" s="29">
        <v>46104</v>
      </c>
      <c r="E114" s="28">
        <v>3</v>
      </c>
      <c r="F114" s="28" t="s">
        <v>261</v>
      </c>
      <c r="G114" s="8">
        <f>IFERROR(VLOOKUP(B114,TASKS!A:K,8,FALSE()),"")</f>
        <v>48</v>
      </c>
      <c r="H114" s="8">
        <f t="shared" si="2"/>
        <v>48</v>
      </c>
      <c r="I114" s="8">
        <f t="shared" si="3"/>
        <v>0</v>
      </c>
      <c r="J114" s="8" t="str">
        <f>IF(OR(B114="",C114=""),"",IF(IFERROR(VLOOKUP(C114,RESOURCES!A:C,3,FALSE()),"")=IFERROR(VLOOKUP(B114,TASKS!A:K,4,FALSE()),""),"OK","MISMATCH"))</f>
        <v>OK</v>
      </c>
      <c r="K114" s="8" t="str">
        <f>IF(OR(B114="",D114=""),"",IF(AND(D114&gt;=IFERROR(VLOOKUP(B114,TASKS!A:K,6,FALSE()),0),D114&lt;=IFERROR(VLOOKUP(B114,TASKS!A:K,7,FALSE()),99999)),"OK","OUT OF RANGE"))</f>
        <v>OK</v>
      </c>
    </row>
    <row r="115" spans="1:11" ht="15" customHeight="1" x14ac:dyDescent="0.3">
      <c r="A115" s="5" t="s">
        <v>374</v>
      </c>
      <c r="B115" s="28" t="s">
        <v>207</v>
      </c>
      <c r="C115" s="28" t="s">
        <v>85</v>
      </c>
      <c r="D115" s="29">
        <v>46111</v>
      </c>
      <c r="E115" s="28">
        <v>3</v>
      </c>
      <c r="F115" s="28" t="s">
        <v>261</v>
      </c>
      <c r="G115" s="8">
        <f>IFERROR(VLOOKUP(B115,TASKS!A:K,8,FALSE()),"")</f>
        <v>48</v>
      </c>
      <c r="H115" s="8">
        <f t="shared" si="2"/>
        <v>48</v>
      </c>
      <c r="I115" s="8">
        <f t="shared" si="3"/>
        <v>0</v>
      </c>
      <c r="J115" s="8" t="str">
        <f>IF(OR(B115="",C115=""),"",IF(IFERROR(VLOOKUP(C115,RESOURCES!A:C,3,FALSE()),"")=IFERROR(VLOOKUP(B115,TASKS!A:K,4,FALSE()),""),"OK","MISMATCH"))</f>
        <v>OK</v>
      </c>
      <c r="K115" s="8" t="str">
        <f>IF(OR(B115="",D115=""),"",IF(AND(D115&gt;=IFERROR(VLOOKUP(B115,TASKS!A:K,6,FALSE()),0),D115&lt;=IFERROR(VLOOKUP(B115,TASKS!A:K,7,FALSE()),99999)),"OK","OUT OF RANGE"))</f>
        <v>OK</v>
      </c>
    </row>
    <row r="116" spans="1:11" ht="15" customHeight="1" x14ac:dyDescent="0.3">
      <c r="A116" s="5" t="s">
        <v>375</v>
      </c>
      <c r="B116" s="28" t="s">
        <v>207</v>
      </c>
      <c r="C116" s="28" t="s">
        <v>85</v>
      </c>
      <c r="D116" s="29">
        <v>46118</v>
      </c>
      <c r="E116" s="28">
        <v>3</v>
      </c>
      <c r="F116" s="28" t="s">
        <v>261</v>
      </c>
      <c r="G116" s="8">
        <f>IFERROR(VLOOKUP(B116,TASKS!A:K,8,FALSE()),"")</f>
        <v>48</v>
      </c>
      <c r="H116" s="8">
        <f t="shared" si="2"/>
        <v>48</v>
      </c>
      <c r="I116" s="8">
        <f t="shared" si="3"/>
        <v>0</v>
      </c>
      <c r="J116" s="8" t="str">
        <f>IF(OR(B116="",C116=""),"",IF(IFERROR(VLOOKUP(C116,RESOURCES!A:C,3,FALSE()),"")=IFERROR(VLOOKUP(B116,TASKS!A:K,4,FALSE()),""),"OK","MISMATCH"))</f>
        <v>OK</v>
      </c>
      <c r="K116" s="8" t="str">
        <f>IF(OR(B116="",D116=""),"",IF(AND(D116&gt;=IFERROR(VLOOKUP(B116,TASKS!A:K,6,FALSE()),0),D116&lt;=IFERROR(VLOOKUP(B116,TASKS!A:K,7,FALSE()),99999)),"OK","OUT OF RANGE"))</f>
        <v>OK</v>
      </c>
    </row>
    <row r="117" spans="1:11" ht="15" customHeight="1" x14ac:dyDescent="0.3">
      <c r="A117" s="5" t="s">
        <v>376</v>
      </c>
      <c r="B117" s="28" t="s">
        <v>207</v>
      </c>
      <c r="C117" s="28" t="s">
        <v>85</v>
      </c>
      <c r="D117" s="29">
        <v>46125</v>
      </c>
      <c r="E117" s="28">
        <v>3</v>
      </c>
      <c r="F117" s="28" t="s">
        <v>261</v>
      </c>
      <c r="G117" s="8">
        <f>IFERROR(VLOOKUP(B117,TASKS!A:K,8,FALSE()),"")</f>
        <v>48</v>
      </c>
      <c r="H117" s="8">
        <f t="shared" si="2"/>
        <v>48</v>
      </c>
      <c r="I117" s="8">
        <f t="shared" si="3"/>
        <v>0</v>
      </c>
      <c r="J117" s="8" t="str">
        <f>IF(OR(B117="",C117=""),"",IF(IFERROR(VLOOKUP(C117,RESOURCES!A:C,3,FALSE()),"")=IFERROR(VLOOKUP(B117,TASKS!A:K,4,FALSE()),""),"OK","MISMATCH"))</f>
        <v>OK</v>
      </c>
      <c r="K117" s="8" t="str">
        <f>IF(OR(B117="",D117=""),"",IF(AND(D117&gt;=IFERROR(VLOOKUP(B117,TASKS!A:K,6,FALSE()),0),D117&lt;=IFERROR(VLOOKUP(B117,TASKS!A:K,7,FALSE()),99999)),"OK","OUT OF RANGE"))</f>
        <v>OK</v>
      </c>
    </row>
    <row r="118" spans="1:11" ht="15" customHeight="1" x14ac:dyDescent="0.3">
      <c r="A118" s="5" t="s">
        <v>377</v>
      </c>
      <c r="B118" s="28" t="s">
        <v>207</v>
      </c>
      <c r="C118" s="28" t="s">
        <v>85</v>
      </c>
      <c r="D118" s="29">
        <v>46132</v>
      </c>
      <c r="E118" s="28">
        <v>3</v>
      </c>
      <c r="F118" s="28" t="s">
        <v>261</v>
      </c>
      <c r="G118" s="8">
        <f>IFERROR(VLOOKUP(B118,TASKS!A:K,8,FALSE()),"")</f>
        <v>48</v>
      </c>
      <c r="H118" s="8">
        <f t="shared" si="2"/>
        <v>48</v>
      </c>
      <c r="I118" s="8">
        <f t="shared" si="3"/>
        <v>0</v>
      </c>
      <c r="J118" s="8" t="str">
        <f>IF(OR(B118="",C118=""),"",IF(IFERROR(VLOOKUP(C118,RESOURCES!A:C,3,FALSE()),"")=IFERROR(VLOOKUP(B118,TASKS!A:K,4,FALSE()),""),"OK","MISMATCH"))</f>
        <v>OK</v>
      </c>
      <c r="K118" s="8" t="str">
        <f>IF(OR(B118="",D118=""),"",IF(AND(D118&gt;=IFERROR(VLOOKUP(B118,TASKS!A:K,6,FALSE()),0),D118&lt;=IFERROR(VLOOKUP(B118,TASKS!A:K,7,FALSE()),99999)),"OK","OUT OF RANGE"))</f>
        <v>OK</v>
      </c>
    </row>
    <row r="119" spans="1:11" ht="15" customHeight="1" x14ac:dyDescent="0.3">
      <c r="A119" s="5" t="s">
        <v>378</v>
      </c>
      <c r="B119" s="28" t="s">
        <v>207</v>
      </c>
      <c r="C119" s="28" t="s">
        <v>85</v>
      </c>
      <c r="D119" s="29">
        <v>46139</v>
      </c>
      <c r="E119" s="28">
        <v>3</v>
      </c>
      <c r="F119" s="28" t="s">
        <v>261</v>
      </c>
      <c r="G119" s="8">
        <f>IFERROR(VLOOKUP(B119,TASKS!A:K,8,FALSE()),"")</f>
        <v>48</v>
      </c>
      <c r="H119" s="8">
        <f t="shared" si="2"/>
        <v>48</v>
      </c>
      <c r="I119" s="8">
        <f t="shared" si="3"/>
        <v>0</v>
      </c>
      <c r="J119" s="8" t="str">
        <f>IF(OR(B119="",C119=""),"",IF(IFERROR(VLOOKUP(C119,RESOURCES!A:C,3,FALSE()),"")=IFERROR(VLOOKUP(B119,TASKS!A:K,4,FALSE()),""),"OK","MISMATCH"))</f>
        <v>OK</v>
      </c>
      <c r="K119" s="8" t="str">
        <f>IF(OR(B119="",D119=""),"",IF(AND(D119&gt;=IFERROR(VLOOKUP(B119,TASKS!A:K,6,FALSE()),0),D119&lt;=IFERROR(VLOOKUP(B119,TASKS!A:K,7,FALSE()),99999)),"OK","OUT OF RANGE"))</f>
        <v>OK</v>
      </c>
    </row>
    <row r="120" spans="1:11" ht="15" customHeight="1" x14ac:dyDescent="0.3">
      <c r="A120" s="5" t="s">
        <v>379</v>
      </c>
      <c r="B120" s="28" t="s">
        <v>207</v>
      </c>
      <c r="C120" s="28" t="s">
        <v>85</v>
      </c>
      <c r="D120" s="29">
        <v>46146</v>
      </c>
      <c r="E120" s="28">
        <v>3</v>
      </c>
      <c r="F120" s="28" t="s">
        <v>261</v>
      </c>
      <c r="G120" s="8">
        <f>IFERROR(VLOOKUP(B120,TASKS!A:K,8,FALSE()),"")</f>
        <v>48</v>
      </c>
      <c r="H120" s="8">
        <f t="shared" si="2"/>
        <v>48</v>
      </c>
      <c r="I120" s="8">
        <f t="shared" si="3"/>
        <v>0</v>
      </c>
      <c r="J120" s="8" t="str">
        <f>IF(OR(B120="",C120=""),"",IF(IFERROR(VLOOKUP(C120,RESOURCES!A:C,3,FALSE()),"")=IFERROR(VLOOKUP(B120,TASKS!A:K,4,FALSE()),""),"OK","MISMATCH"))</f>
        <v>OK</v>
      </c>
      <c r="K120" s="8" t="str">
        <f>IF(OR(B120="",D120=""),"",IF(AND(D120&gt;=IFERROR(VLOOKUP(B120,TASKS!A:K,6,FALSE()),0),D120&lt;=IFERROR(VLOOKUP(B120,TASKS!A:K,7,FALSE()),99999)),"OK","OUT OF RANGE"))</f>
        <v>OK</v>
      </c>
    </row>
    <row r="121" spans="1:11" ht="15" customHeight="1" x14ac:dyDescent="0.3">
      <c r="A121" s="5" t="s">
        <v>380</v>
      </c>
      <c r="B121" s="28" t="s">
        <v>207</v>
      </c>
      <c r="C121" s="28" t="s">
        <v>85</v>
      </c>
      <c r="D121" s="29">
        <v>46153</v>
      </c>
      <c r="E121" s="28">
        <v>3</v>
      </c>
      <c r="F121" s="28" t="s">
        <v>261</v>
      </c>
      <c r="G121" s="8">
        <f>IFERROR(VLOOKUP(B121,TASKS!A:K,8,FALSE()),"")</f>
        <v>48</v>
      </c>
      <c r="H121" s="8">
        <f t="shared" si="2"/>
        <v>48</v>
      </c>
      <c r="I121" s="8">
        <f t="shared" si="3"/>
        <v>0</v>
      </c>
      <c r="J121" s="8" t="str">
        <f>IF(OR(B121="",C121=""),"",IF(IFERROR(VLOOKUP(C121,RESOURCES!A:C,3,FALSE()),"")=IFERROR(VLOOKUP(B121,TASKS!A:K,4,FALSE()),""),"OK","MISMATCH"))</f>
        <v>OK</v>
      </c>
      <c r="K121" s="8" t="str">
        <f>IF(OR(B121="",D121=""),"",IF(AND(D121&gt;=IFERROR(VLOOKUP(B121,TASKS!A:K,6,FALSE()),0),D121&lt;=IFERROR(VLOOKUP(B121,TASKS!A:K,7,FALSE()),99999)),"OK","OUT OF RANGE"))</f>
        <v>OK</v>
      </c>
    </row>
    <row r="122" spans="1:11" ht="15" customHeight="1" x14ac:dyDescent="0.3">
      <c r="A122" s="5" t="s">
        <v>381</v>
      </c>
      <c r="B122" s="28" t="s">
        <v>207</v>
      </c>
      <c r="C122" s="28" t="s">
        <v>85</v>
      </c>
      <c r="D122" s="29">
        <v>46160</v>
      </c>
      <c r="E122" s="28">
        <v>3</v>
      </c>
      <c r="F122" s="28" t="s">
        <v>261</v>
      </c>
      <c r="G122" s="8">
        <f>IFERROR(VLOOKUP(B122,TASKS!A:K,8,FALSE()),"")</f>
        <v>48</v>
      </c>
      <c r="H122" s="8">
        <f t="shared" si="2"/>
        <v>48</v>
      </c>
      <c r="I122" s="8">
        <f t="shared" si="3"/>
        <v>0</v>
      </c>
      <c r="J122" s="8" t="str">
        <f>IF(OR(B122="",C122=""),"",IF(IFERROR(VLOOKUP(C122,RESOURCES!A:C,3,FALSE()),"")=IFERROR(VLOOKUP(B122,TASKS!A:K,4,FALSE()),""),"OK","MISMATCH"))</f>
        <v>OK</v>
      </c>
      <c r="K122" s="8" t="str">
        <f>IF(OR(B122="",D122=""),"",IF(AND(D122&gt;=IFERROR(VLOOKUP(B122,TASKS!A:K,6,FALSE()),0),D122&lt;=IFERROR(VLOOKUP(B122,TASKS!A:K,7,FALSE()),99999)),"OK","OUT OF RANGE"))</f>
        <v>OK</v>
      </c>
    </row>
    <row r="123" spans="1:11" ht="15" customHeight="1" x14ac:dyDescent="0.3">
      <c r="A123" s="5" t="s">
        <v>382</v>
      </c>
      <c r="B123" s="28" t="s">
        <v>207</v>
      </c>
      <c r="C123" s="28" t="s">
        <v>85</v>
      </c>
      <c r="D123" s="29">
        <v>46167</v>
      </c>
      <c r="E123" s="28">
        <v>3</v>
      </c>
      <c r="F123" s="28" t="s">
        <v>261</v>
      </c>
      <c r="G123" s="8">
        <f>IFERROR(VLOOKUP(B123,TASKS!A:K,8,FALSE()),"")</f>
        <v>48</v>
      </c>
      <c r="H123" s="8">
        <f t="shared" si="2"/>
        <v>48</v>
      </c>
      <c r="I123" s="8">
        <f t="shared" si="3"/>
        <v>0</v>
      </c>
      <c r="J123" s="8" t="str">
        <f>IF(OR(B123="",C123=""),"",IF(IFERROR(VLOOKUP(C123,RESOURCES!A:C,3,FALSE()),"")=IFERROR(VLOOKUP(B123,TASKS!A:K,4,FALSE()),""),"OK","MISMATCH"))</f>
        <v>OK</v>
      </c>
      <c r="K123" s="8" t="str">
        <f>IF(OR(B123="",D123=""),"",IF(AND(D123&gt;=IFERROR(VLOOKUP(B123,TASKS!A:K,6,FALSE()),0),D123&lt;=IFERROR(VLOOKUP(B123,TASKS!A:K,7,FALSE()),99999)),"OK","OUT OF RANGE"))</f>
        <v>OK</v>
      </c>
    </row>
    <row r="124" spans="1:11" ht="15" customHeight="1" x14ac:dyDescent="0.3">
      <c r="A124" s="5" t="s">
        <v>383</v>
      </c>
      <c r="B124" s="28" t="s">
        <v>207</v>
      </c>
      <c r="C124" s="28" t="s">
        <v>85</v>
      </c>
      <c r="D124" s="29">
        <v>46174</v>
      </c>
      <c r="E124" s="28">
        <v>3</v>
      </c>
      <c r="F124" s="28" t="s">
        <v>261</v>
      </c>
      <c r="G124" s="8">
        <f>IFERROR(VLOOKUP(B124,TASKS!A:K,8,FALSE()),"")</f>
        <v>48</v>
      </c>
      <c r="H124" s="8">
        <f t="shared" si="2"/>
        <v>48</v>
      </c>
      <c r="I124" s="8">
        <f t="shared" si="3"/>
        <v>0</v>
      </c>
      <c r="J124" s="8" t="str">
        <f>IF(OR(B124="",C124=""),"",IF(IFERROR(VLOOKUP(C124,RESOURCES!A:C,3,FALSE()),"")=IFERROR(VLOOKUP(B124,TASKS!A:K,4,FALSE()),""),"OK","MISMATCH"))</f>
        <v>OK</v>
      </c>
      <c r="K124" s="8" t="str">
        <f>IF(OR(B124="",D124=""),"",IF(AND(D124&gt;=IFERROR(VLOOKUP(B124,TASKS!A:K,6,FALSE()),0),D124&lt;=IFERROR(VLOOKUP(B124,TASKS!A:K,7,FALSE()),99999)),"OK","OUT OF RANGE"))</f>
        <v>OK</v>
      </c>
    </row>
    <row r="125" spans="1:11" ht="15" customHeight="1" x14ac:dyDescent="0.3">
      <c r="A125" s="5" t="s">
        <v>384</v>
      </c>
      <c r="B125" s="28" t="s">
        <v>207</v>
      </c>
      <c r="C125" s="28" t="s">
        <v>85</v>
      </c>
      <c r="D125" s="29">
        <v>46181</v>
      </c>
      <c r="E125" s="28">
        <v>3</v>
      </c>
      <c r="F125" s="28" t="s">
        <v>261</v>
      </c>
      <c r="G125" s="8">
        <f>IFERROR(VLOOKUP(B125,TASKS!A:K,8,FALSE()),"")</f>
        <v>48</v>
      </c>
      <c r="H125" s="8">
        <f t="shared" si="2"/>
        <v>48</v>
      </c>
      <c r="I125" s="8">
        <f t="shared" si="3"/>
        <v>0</v>
      </c>
      <c r="J125" s="8" t="str">
        <f>IF(OR(B125="",C125=""),"",IF(IFERROR(VLOOKUP(C125,RESOURCES!A:C,3,FALSE()),"")=IFERROR(VLOOKUP(B125,TASKS!A:K,4,FALSE()),""),"OK","MISMATCH"))</f>
        <v>OK</v>
      </c>
      <c r="K125" s="8" t="str">
        <f>IF(OR(B125="",D125=""),"",IF(AND(D125&gt;=IFERROR(VLOOKUP(B125,TASKS!A:K,6,FALSE()),0),D125&lt;=IFERROR(VLOOKUP(B125,TASKS!A:K,7,FALSE()),99999)),"OK","OUT OF RANGE"))</f>
        <v>OK</v>
      </c>
    </row>
    <row r="126" spans="1:11" ht="15" customHeight="1" x14ac:dyDescent="0.3">
      <c r="A126" s="5" t="s">
        <v>385</v>
      </c>
      <c r="B126" s="28" t="s">
        <v>210</v>
      </c>
      <c r="C126" s="28" t="s">
        <v>95</v>
      </c>
      <c r="D126" s="29">
        <v>46076</v>
      </c>
      <c r="E126" s="28">
        <v>10.5</v>
      </c>
      <c r="F126" s="28" t="s">
        <v>125</v>
      </c>
      <c r="G126" s="8">
        <f>IFERROR(VLOOKUP(B126,TASKS!A:K,8,FALSE()),"")</f>
        <v>168</v>
      </c>
      <c r="H126" s="8">
        <f t="shared" si="2"/>
        <v>168</v>
      </c>
      <c r="I126" s="8">
        <f t="shared" si="3"/>
        <v>0</v>
      </c>
      <c r="J126" s="8" t="str">
        <f>IF(OR(B126="",C126=""),"",IF(IFERROR(VLOOKUP(C126,RESOURCES!A:C,3,FALSE()),"")=IFERROR(VLOOKUP(B126,TASKS!A:K,4,FALSE()),""),"OK","MISMATCH"))</f>
        <v>OK</v>
      </c>
      <c r="K126" s="8" t="str">
        <f>IF(OR(B126="",D126=""),"",IF(AND(D126&gt;=IFERROR(VLOOKUP(B126,TASKS!A:K,6,FALSE()),0),D126&lt;=IFERROR(VLOOKUP(B126,TASKS!A:K,7,FALSE()),99999)),"OK","OUT OF RANGE"))</f>
        <v>OK</v>
      </c>
    </row>
    <row r="127" spans="1:11" ht="15" customHeight="1" x14ac:dyDescent="0.3">
      <c r="A127" s="5" t="s">
        <v>386</v>
      </c>
      <c r="B127" s="28" t="s">
        <v>210</v>
      </c>
      <c r="C127" s="28" t="s">
        <v>95</v>
      </c>
      <c r="D127" s="29">
        <v>46083</v>
      </c>
      <c r="E127" s="28">
        <v>10.5</v>
      </c>
      <c r="F127" s="28" t="s">
        <v>261</v>
      </c>
      <c r="G127" s="8">
        <f>IFERROR(VLOOKUP(B127,TASKS!A:K,8,FALSE()),"")</f>
        <v>168</v>
      </c>
      <c r="H127" s="8">
        <f t="shared" si="2"/>
        <v>168</v>
      </c>
      <c r="I127" s="8">
        <f t="shared" si="3"/>
        <v>0</v>
      </c>
      <c r="J127" s="8" t="str">
        <f>IF(OR(B127="",C127=""),"",IF(IFERROR(VLOOKUP(C127,RESOURCES!A:C,3,FALSE()),"")=IFERROR(VLOOKUP(B127,TASKS!A:K,4,FALSE()),""),"OK","MISMATCH"))</f>
        <v>OK</v>
      </c>
      <c r="K127" s="8" t="str">
        <f>IF(OR(B127="",D127=""),"",IF(AND(D127&gt;=IFERROR(VLOOKUP(B127,TASKS!A:K,6,FALSE()),0),D127&lt;=IFERROR(VLOOKUP(B127,TASKS!A:K,7,FALSE()),99999)),"OK","OUT OF RANGE"))</f>
        <v>OK</v>
      </c>
    </row>
    <row r="128" spans="1:11" ht="15" customHeight="1" x14ac:dyDescent="0.3">
      <c r="A128" s="5" t="s">
        <v>387</v>
      </c>
      <c r="B128" s="28" t="s">
        <v>210</v>
      </c>
      <c r="C128" s="28" t="s">
        <v>95</v>
      </c>
      <c r="D128" s="29">
        <v>46090</v>
      </c>
      <c r="E128" s="28">
        <v>10.5</v>
      </c>
      <c r="F128" s="28" t="s">
        <v>261</v>
      </c>
      <c r="G128" s="8">
        <f>IFERROR(VLOOKUP(B128,TASKS!A:K,8,FALSE()),"")</f>
        <v>168</v>
      </c>
      <c r="H128" s="8">
        <f t="shared" si="2"/>
        <v>168</v>
      </c>
      <c r="I128" s="8">
        <f t="shared" si="3"/>
        <v>0</v>
      </c>
      <c r="J128" s="8" t="str">
        <f>IF(OR(B128="",C128=""),"",IF(IFERROR(VLOOKUP(C128,RESOURCES!A:C,3,FALSE()),"")=IFERROR(VLOOKUP(B128,TASKS!A:K,4,FALSE()),""),"OK","MISMATCH"))</f>
        <v>OK</v>
      </c>
      <c r="K128" s="8" t="str">
        <f>IF(OR(B128="",D128=""),"",IF(AND(D128&gt;=IFERROR(VLOOKUP(B128,TASKS!A:K,6,FALSE()),0),D128&lt;=IFERROR(VLOOKUP(B128,TASKS!A:K,7,FALSE()),99999)),"OK","OUT OF RANGE"))</f>
        <v>OK</v>
      </c>
    </row>
    <row r="129" spans="1:11" ht="15" customHeight="1" x14ac:dyDescent="0.3">
      <c r="A129" s="5" t="s">
        <v>388</v>
      </c>
      <c r="B129" s="28" t="s">
        <v>210</v>
      </c>
      <c r="C129" s="28" t="s">
        <v>95</v>
      </c>
      <c r="D129" s="29">
        <v>46097</v>
      </c>
      <c r="E129" s="28">
        <v>10.5</v>
      </c>
      <c r="F129" s="28" t="s">
        <v>261</v>
      </c>
      <c r="G129" s="8">
        <f>IFERROR(VLOOKUP(B129,TASKS!A:K,8,FALSE()),"")</f>
        <v>168</v>
      </c>
      <c r="H129" s="8">
        <f t="shared" si="2"/>
        <v>168</v>
      </c>
      <c r="I129" s="8">
        <f t="shared" si="3"/>
        <v>0</v>
      </c>
      <c r="J129" s="8" t="str">
        <f>IF(OR(B129="",C129=""),"",IF(IFERROR(VLOOKUP(C129,RESOURCES!A:C,3,FALSE()),"")=IFERROR(VLOOKUP(B129,TASKS!A:K,4,FALSE()),""),"OK","MISMATCH"))</f>
        <v>OK</v>
      </c>
      <c r="K129" s="8" t="str">
        <f>IF(OR(B129="",D129=""),"",IF(AND(D129&gt;=IFERROR(VLOOKUP(B129,TASKS!A:K,6,FALSE()),0),D129&lt;=IFERROR(VLOOKUP(B129,TASKS!A:K,7,FALSE()),99999)),"OK","OUT OF RANGE"))</f>
        <v>OK</v>
      </c>
    </row>
    <row r="130" spans="1:11" ht="15" customHeight="1" x14ac:dyDescent="0.3">
      <c r="A130" s="5" t="s">
        <v>389</v>
      </c>
      <c r="B130" s="28" t="s">
        <v>210</v>
      </c>
      <c r="C130" s="28" t="s">
        <v>95</v>
      </c>
      <c r="D130" s="29">
        <v>46104</v>
      </c>
      <c r="E130" s="28">
        <v>10.5</v>
      </c>
      <c r="F130" s="28" t="s">
        <v>261</v>
      </c>
      <c r="G130" s="8">
        <f>IFERROR(VLOOKUP(B130,TASKS!A:K,8,FALSE()),"")</f>
        <v>168</v>
      </c>
      <c r="H130" s="8">
        <f t="shared" ref="H130:H193" si="4">IFERROR(SUMIF(B$2:B$214,B130,E$2:E$214),"")</f>
        <v>168</v>
      </c>
      <c r="I130" s="8">
        <f t="shared" ref="I130:I193" si="5">IFERROR(G130-H130,"")</f>
        <v>0</v>
      </c>
      <c r="J130" s="8" t="str">
        <f>IF(OR(B130="",C130=""),"",IF(IFERROR(VLOOKUP(C130,RESOURCES!A:C,3,FALSE()),"")=IFERROR(VLOOKUP(B130,TASKS!A:K,4,FALSE()),""),"OK","MISMATCH"))</f>
        <v>OK</v>
      </c>
      <c r="K130" s="8" t="str">
        <f>IF(OR(B130="",D130=""),"",IF(AND(D130&gt;=IFERROR(VLOOKUP(B130,TASKS!A:K,6,FALSE()),0),D130&lt;=IFERROR(VLOOKUP(B130,TASKS!A:K,7,FALSE()),99999)),"OK","OUT OF RANGE"))</f>
        <v>OK</v>
      </c>
    </row>
    <row r="131" spans="1:11" ht="15" customHeight="1" x14ac:dyDescent="0.3">
      <c r="A131" s="5" t="s">
        <v>390</v>
      </c>
      <c r="B131" s="28" t="s">
        <v>210</v>
      </c>
      <c r="C131" s="28" t="s">
        <v>95</v>
      </c>
      <c r="D131" s="29">
        <v>46111</v>
      </c>
      <c r="E131" s="28">
        <v>10.5</v>
      </c>
      <c r="F131" s="28" t="s">
        <v>261</v>
      </c>
      <c r="G131" s="8">
        <f>IFERROR(VLOOKUP(B131,TASKS!A:K,8,FALSE()),"")</f>
        <v>168</v>
      </c>
      <c r="H131" s="8">
        <f t="shared" si="4"/>
        <v>168</v>
      </c>
      <c r="I131" s="8">
        <f t="shared" si="5"/>
        <v>0</v>
      </c>
      <c r="J131" s="8" t="str">
        <f>IF(OR(B131="",C131=""),"",IF(IFERROR(VLOOKUP(C131,RESOURCES!A:C,3,FALSE()),"")=IFERROR(VLOOKUP(B131,TASKS!A:K,4,FALSE()),""),"OK","MISMATCH"))</f>
        <v>OK</v>
      </c>
      <c r="K131" s="8" t="str">
        <f>IF(OR(B131="",D131=""),"",IF(AND(D131&gt;=IFERROR(VLOOKUP(B131,TASKS!A:K,6,FALSE()),0),D131&lt;=IFERROR(VLOOKUP(B131,TASKS!A:K,7,FALSE()),99999)),"OK","OUT OF RANGE"))</f>
        <v>OK</v>
      </c>
    </row>
    <row r="132" spans="1:11" ht="15" customHeight="1" x14ac:dyDescent="0.3">
      <c r="A132" s="5" t="s">
        <v>391</v>
      </c>
      <c r="B132" s="28" t="s">
        <v>210</v>
      </c>
      <c r="C132" s="28" t="s">
        <v>95</v>
      </c>
      <c r="D132" s="29">
        <v>46118</v>
      </c>
      <c r="E132" s="28">
        <v>10.5</v>
      </c>
      <c r="F132" s="28" t="s">
        <v>261</v>
      </c>
      <c r="G132" s="8">
        <f>IFERROR(VLOOKUP(B132,TASKS!A:K,8,FALSE()),"")</f>
        <v>168</v>
      </c>
      <c r="H132" s="8">
        <f t="shared" si="4"/>
        <v>168</v>
      </c>
      <c r="I132" s="8">
        <f t="shared" si="5"/>
        <v>0</v>
      </c>
      <c r="J132" s="8" t="str">
        <f>IF(OR(B132="",C132=""),"",IF(IFERROR(VLOOKUP(C132,RESOURCES!A:C,3,FALSE()),"")=IFERROR(VLOOKUP(B132,TASKS!A:K,4,FALSE()),""),"OK","MISMATCH"))</f>
        <v>OK</v>
      </c>
      <c r="K132" s="8" t="str">
        <f>IF(OR(B132="",D132=""),"",IF(AND(D132&gt;=IFERROR(VLOOKUP(B132,TASKS!A:K,6,FALSE()),0),D132&lt;=IFERROR(VLOOKUP(B132,TASKS!A:K,7,FALSE()),99999)),"OK","OUT OF RANGE"))</f>
        <v>OK</v>
      </c>
    </row>
    <row r="133" spans="1:11" ht="15" customHeight="1" x14ac:dyDescent="0.3">
      <c r="A133" s="5" t="s">
        <v>392</v>
      </c>
      <c r="B133" s="28" t="s">
        <v>210</v>
      </c>
      <c r="C133" s="28" t="s">
        <v>95</v>
      </c>
      <c r="D133" s="29">
        <v>46125</v>
      </c>
      <c r="E133" s="28">
        <v>10.5</v>
      </c>
      <c r="F133" s="28" t="s">
        <v>261</v>
      </c>
      <c r="G133" s="8">
        <f>IFERROR(VLOOKUP(B133,TASKS!A:K,8,FALSE()),"")</f>
        <v>168</v>
      </c>
      <c r="H133" s="8">
        <f t="shared" si="4"/>
        <v>168</v>
      </c>
      <c r="I133" s="8">
        <f t="shared" si="5"/>
        <v>0</v>
      </c>
      <c r="J133" s="8" t="str">
        <f>IF(OR(B133="",C133=""),"",IF(IFERROR(VLOOKUP(C133,RESOURCES!A:C,3,FALSE()),"")=IFERROR(VLOOKUP(B133,TASKS!A:K,4,FALSE()),""),"OK","MISMATCH"))</f>
        <v>OK</v>
      </c>
      <c r="K133" s="8" t="str">
        <f>IF(OR(B133="",D133=""),"",IF(AND(D133&gt;=IFERROR(VLOOKUP(B133,TASKS!A:K,6,FALSE()),0),D133&lt;=IFERROR(VLOOKUP(B133,TASKS!A:K,7,FALSE()),99999)),"OK","OUT OF RANGE"))</f>
        <v>OK</v>
      </c>
    </row>
    <row r="134" spans="1:11" ht="15" customHeight="1" x14ac:dyDescent="0.3">
      <c r="A134" s="5" t="s">
        <v>393</v>
      </c>
      <c r="B134" s="28" t="s">
        <v>210</v>
      </c>
      <c r="C134" s="28" t="s">
        <v>95</v>
      </c>
      <c r="D134" s="29">
        <v>46132</v>
      </c>
      <c r="E134" s="28">
        <v>10.5</v>
      </c>
      <c r="F134" s="28" t="s">
        <v>261</v>
      </c>
      <c r="G134" s="8">
        <f>IFERROR(VLOOKUP(B134,TASKS!A:K,8,FALSE()),"")</f>
        <v>168</v>
      </c>
      <c r="H134" s="8">
        <f t="shared" si="4"/>
        <v>168</v>
      </c>
      <c r="I134" s="8">
        <f t="shared" si="5"/>
        <v>0</v>
      </c>
      <c r="J134" s="8" t="str">
        <f>IF(OR(B134="",C134=""),"",IF(IFERROR(VLOOKUP(C134,RESOURCES!A:C,3,FALSE()),"")=IFERROR(VLOOKUP(B134,TASKS!A:K,4,FALSE()),""),"OK","MISMATCH"))</f>
        <v>OK</v>
      </c>
      <c r="K134" s="8" t="str">
        <f>IF(OR(B134="",D134=""),"",IF(AND(D134&gt;=IFERROR(VLOOKUP(B134,TASKS!A:K,6,FALSE()),0),D134&lt;=IFERROR(VLOOKUP(B134,TASKS!A:K,7,FALSE()),99999)),"OK","OUT OF RANGE"))</f>
        <v>OK</v>
      </c>
    </row>
    <row r="135" spans="1:11" ht="15" customHeight="1" x14ac:dyDescent="0.3">
      <c r="A135" s="5" t="s">
        <v>394</v>
      </c>
      <c r="B135" s="28" t="s">
        <v>210</v>
      </c>
      <c r="C135" s="28" t="s">
        <v>95</v>
      </c>
      <c r="D135" s="29">
        <v>46139</v>
      </c>
      <c r="E135" s="28">
        <v>10.5</v>
      </c>
      <c r="F135" s="28" t="s">
        <v>261</v>
      </c>
      <c r="G135" s="8">
        <f>IFERROR(VLOOKUP(B135,TASKS!A:K,8,FALSE()),"")</f>
        <v>168</v>
      </c>
      <c r="H135" s="8">
        <f t="shared" si="4"/>
        <v>168</v>
      </c>
      <c r="I135" s="8">
        <f t="shared" si="5"/>
        <v>0</v>
      </c>
      <c r="J135" s="8" t="str">
        <f>IF(OR(B135="",C135=""),"",IF(IFERROR(VLOOKUP(C135,RESOURCES!A:C,3,FALSE()),"")=IFERROR(VLOOKUP(B135,TASKS!A:K,4,FALSE()),""),"OK","MISMATCH"))</f>
        <v>OK</v>
      </c>
      <c r="K135" s="8" t="str">
        <f>IF(OR(B135="",D135=""),"",IF(AND(D135&gt;=IFERROR(VLOOKUP(B135,TASKS!A:K,6,FALSE()),0),D135&lt;=IFERROR(VLOOKUP(B135,TASKS!A:K,7,FALSE()),99999)),"OK","OUT OF RANGE"))</f>
        <v>OK</v>
      </c>
    </row>
    <row r="136" spans="1:11" ht="15" customHeight="1" x14ac:dyDescent="0.3">
      <c r="A136" s="5" t="s">
        <v>395</v>
      </c>
      <c r="B136" s="28" t="s">
        <v>210</v>
      </c>
      <c r="C136" s="28" t="s">
        <v>95</v>
      </c>
      <c r="D136" s="29">
        <v>46146</v>
      </c>
      <c r="E136" s="28">
        <v>10.5</v>
      </c>
      <c r="F136" s="28" t="s">
        <v>261</v>
      </c>
      <c r="G136" s="8">
        <f>IFERROR(VLOOKUP(B136,TASKS!A:K,8,FALSE()),"")</f>
        <v>168</v>
      </c>
      <c r="H136" s="8">
        <f t="shared" si="4"/>
        <v>168</v>
      </c>
      <c r="I136" s="8">
        <f t="shared" si="5"/>
        <v>0</v>
      </c>
      <c r="J136" s="8" t="str">
        <f>IF(OR(B136="",C136=""),"",IF(IFERROR(VLOOKUP(C136,RESOURCES!A:C,3,FALSE()),"")=IFERROR(VLOOKUP(B136,TASKS!A:K,4,FALSE()),""),"OK","MISMATCH"))</f>
        <v>OK</v>
      </c>
      <c r="K136" s="8" t="str">
        <f>IF(OR(B136="",D136=""),"",IF(AND(D136&gt;=IFERROR(VLOOKUP(B136,TASKS!A:K,6,FALSE()),0),D136&lt;=IFERROR(VLOOKUP(B136,TASKS!A:K,7,FALSE()),99999)),"OK","OUT OF RANGE"))</f>
        <v>OK</v>
      </c>
    </row>
    <row r="137" spans="1:11" ht="15" customHeight="1" x14ac:dyDescent="0.3">
      <c r="A137" s="5" t="s">
        <v>396</v>
      </c>
      <c r="B137" s="28" t="s">
        <v>210</v>
      </c>
      <c r="C137" s="28" t="s">
        <v>95</v>
      </c>
      <c r="D137" s="29">
        <v>46153</v>
      </c>
      <c r="E137" s="28">
        <v>10.5</v>
      </c>
      <c r="F137" s="28" t="s">
        <v>261</v>
      </c>
      <c r="G137" s="8">
        <f>IFERROR(VLOOKUP(B137,TASKS!A:K,8,FALSE()),"")</f>
        <v>168</v>
      </c>
      <c r="H137" s="8">
        <f t="shared" si="4"/>
        <v>168</v>
      </c>
      <c r="I137" s="8">
        <f t="shared" si="5"/>
        <v>0</v>
      </c>
      <c r="J137" s="8" t="str">
        <f>IF(OR(B137="",C137=""),"",IF(IFERROR(VLOOKUP(C137,RESOURCES!A:C,3,FALSE()),"")=IFERROR(VLOOKUP(B137,TASKS!A:K,4,FALSE()),""),"OK","MISMATCH"))</f>
        <v>OK</v>
      </c>
      <c r="K137" s="8" t="str">
        <f>IF(OR(B137="",D137=""),"",IF(AND(D137&gt;=IFERROR(VLOOKUP(B137,TASKS!A:K,6,FALSE()),0),D137&lt;=IFERROR(VLOOKUP(B137,TASKS!A:K,7,FALSE()),99999)),"OK","OUT OF RANGE"))</f>
        <v>OK</v>
      </c>
    </row>
    <row r="138" spans="1:11" ht="15" customHeight="1" x14ac:dyDescent="0.3">
      <c r="A138" s="5" t="s">
        <v>397</v>
      </c>
      <c r="B138" s="28" t="s">
        <v>210</v>
      </c>
      <c r="C138" s="28" t="s">
        <v>95</v>
      </c>
      <c r="D138" s="29">
        <v>46160</v>
      </c>
      <c r="E138" s="28">
        <v>10.5</v>
      </c>
      <c r="F138" s="28" t="s">
        <v>261</v>
      </c>
      <c r="G138" s="8">
        <f>IFERROR(VLOOKUP(B138,TASKS!A:K,8,FALSE()),"")</f>
        <v>168</v>
      </c>
      <c r="H138" s="8">
        <f t="shared" si="4"/>
        <v>168</v>
      </c>
      <c r="I138" s="8">
        <f t="shared" si="5"/>
        <v>0</v>
      </c>
      <c r="J138" s="8" t="str">
        <f>IF(OR(B138="",C138=""),"",IF(IFERROR(VLOOKUP(C138,RESOURCES!A:C,3,FALSE()),"")=IFERROR(VLOOKUP(B138,TASKS!A:K,4,FALSE()),""),"OK","MISMATCH"))</f>
        <v>OK</v>
      </c>
      <c r="K138" s="8" t="str">
        <f>IF(OR(B138="",D138=""),"",IF(AND(D138&gt;=IFERROR(VLOOKUP(B138,TASKS!A:K,6,FALSE()),0),D138&lt;=IFERROR(VLOOKUP(B138,TASKS!A:K,7,FALSE()),99999)),"OK","OUT OF RANGE"))</f>
        <v>OK</v>
      </c>
    </row>
    <row r="139" spans="1:11" ht="15" customHeight="1" x14ac:dyDescent="0.3">
      <c r="A139" s="5" t="s">
        <v>398</v>
      </c>
      <c r="B139" s="28" t="s">
        <v>210</v>
      </c>
      <c r="C139" s="28" t="s">
        <v>95</v>
      </c>
      <c r="D139" s="29">
        <v>46167</v>
      </c>
      <c r="E139" s="28">
        <v>10.5</v>
      </c>
      <c r="F139" s="28" t="s">
        <v>261</v>
      </c>
      <c r="G139" s="8">
        <f>IFERROR(VLOOKUP(B139,TASKS!A:K,8,FALSE()),"")</f>
        <v>168</v>
      </c>
      <c r="H139" s="8">
        <f t="shared" si="4"/>
        <v>168</v>
      </c>
      <c r="I139" s="8">
        <f t="shared" si="5"/>
        <v>0</v>
      </c>
      <c r="J139" s="8" t="str">
        <f>IF(OR(B139="",C139=""),"",IF(IFERROR(VLOOKUP(C139,RESOURCES!A:C,3,FALSE()),"")=IFERROR(VLOOKUP(B139,TASKS!A:K,4,FALSE()),""),"OK","MISMATCH"))</f>
        <v>OK</v>
      </c>
      <c r="K139" s="8" t="str">
        <f>IF(OR(B139="",D139=""),"",IF(AND(D139&gt;=IFERROR(VLOOKUP(B139,TASKS!A:K,6,FALSE()),0),D139&lt;=IFERROR(VLOOKUP(B139,TASKS!A:K,7,FALSE()),99999)),"OK","OUT OF RANGE"))</f>
        <v>OK</v>
      </c>
    </row>
    <row r="140" spans="1:11" ht="15" customHeight="1" x14ac:dyDescent="0.3">
      <c r="A140" s="5" t="s">
        <v>399</v>
      </c>
      <c r="B140" s="28" t="s">
        <v>210</v>
      </c>
      <c r="C140" s="28" t="s">
        <v>95</v>
      </c>
      <c r="D140" s="29">
        <v>46174</v>
      </c>
      <c r="E140" s="28">
        <v>10.5</v>
      </c>
      <c r="F140" s="28" t="s">
        <v>261</v>
      </c>
      <c r="G140" s="8">
        <f>IFERROR(VLOOKUP(B140,TASKS!A:K,8,FALSE()),"")</f>
        <v>168</v>
      </c>
      <c r="H140" s="8">
        <f t="shared" si="4"/>
        <v>168</v>
      </c>
      <c r="I140" s="8">
        <f t="shared" si="5"/>
        <v>0</v>
      </c>
      <c r="J140" s="8" t="str">
        <f>IF(OR(B140="",C140=""),"",IF(IFERROR(VLOOKUP(C140,RESOURCES!A:C,3,FALSE()),"")=IFERROR(VLOOKUP(B140,TASKS!A:K,4,FALSE()),""),"OK","MISMATCH"))</f>
        <v>OK</v>
      </c>
      <c r="K140" s="8" t="str">
        <f>IF(OR(B140="",D140=""),"",IF(AND(D140&gt;=IFERROR(VLOOKUP(B140,TASKS!A:K,6,FALSE()),0),D140&lt;=IFERROR(VLOOKUP(B140,TASKS!A:K,7,FALSE()),99999)),"OK","OUT OF RANGE"))</f>
        <v>OK</v>
      </c>
    </row>
    <row r="141" spans="1:11" ht="15" customHeight="1" x14ac:dyDescent="0.3">
      <c r="A141" s="5" t="s">
        <v>400</v>
      </c>
      <c r="B141" s="28" t="s">
        <v>210</v>
      </c>
      <c r="C141" s="28" t="s">
        <v>95</v>
      </c>
      <c r="D141" s="29">
        <v>46181</v>
      </c>
      <c r="E141" s="28">
        <v>10.5</v>
      </c>
      <c r="F141" s="28" t="s">
        <v>261</v>
      </c>
      <c r="G141" s="8">
        <f>IFERROR(VLOOKUP(B141,TASKS!A:K,8,FALSE()),"")</f>
        <v>168</v>
      </c>
      <c r="H141" s="8">
        <f t="shared" si="4"/>
        <v>168</v>
      </c>
      <c r="I141" s="8">
        <f t="shared" si="5"/>
        <v>0</v>
      </c>
      <c r="J141" s="8" t="str">
        <f>IF(OR(B141="",C141=""),"",IF(IFERROR(VLOOKUP(C141,RESOURCES!A:C,3,FALSE()),"")=IFERROR(VLOOKUP(B141,TASKS!A:K,4,FALSE()),""),"OK","MISMATCH"))</f>
        <v>OK</v>
      </c>
      <c r="K141" s="8" t="str">
        <f>IF(OR(B141="",D141=""),"",IF(AND(D141&gt;=IFERROR(VLOOKUP(B141,TASKS!A:K,6,FALSE()),0),D141&lt;=IFERROR(VLOOKUP(B141,TASKS!A:K,7,FALSE()),99999)),"OK","OUT OF RANGE"))</f>
        <v>OK</v>
      </c>
    </row>
    <row r="142" spans="1:11" ht="15" customHeight="1" x14ac:dyDescent="0.3">
      <c r="A142" s="5" t="s">
        <v>401</v>
      </c>
      <c r="B142" s="28" t="s">
        <v>214</v>
      </c>
      <c r="C142" s="28" t="s">
        <v>103</v>
      </c>
      <c r="D142" s="29">
        <v>46076</v>
      </c>
      <c r="E142" s="28">
        <v>10</v>
      </c>
      <c r="F142" s="28" t="s">
        <v>125</v>
      </c>
      <c r="G142" s="8">
        <f>IFERROR(VLOOKUP(B142,TASKS!A:K,8,FALSE()),"")</f>
        <v>160</v>
      </c>
      <c r="H142" s="8">
        <f t="shared" si="4"/>
        <v>160</v>
      </c>
      <c r="I142" s="8">
        <f t="shared" si="5"/>
        <v>0</v>
      </c>
      <c r="J142" s="8" t="str">
        <f>IF(OR(B142="",C142=""),"",IF(IFERROR(VLOOKUP(C142,RESOURCES!A:C,3,FALSE()),"")=IFERROR(VLOOKUP(B142,TASKS!A:K,4,FALSE()),""),"OK","MISMATCH"))</f>
        <v>OK</v>
      </c>
      <c r="K142" s="8" t="str">
        <f>IF(OR(B142="",D142=""),"",IF(AND(D142&gt;=IFERROR(VLOOKUP(B142,TASKS!A:K,6,FALSE()),0),D142&lt;=IFERROR(VLOOKUP(B142,TASKS!A:K,7,FALSE()),99999)),"OK","OUT OF RANGE"))</f>
        <v>OK</v>
      </c>
    </row>
    <row r="143" spans="1:11" ht="15" customHeight="1" x14ac:dyDescent="0.3">
      <c r="A143" s="5" t="s">
        <v>402</v>
      </c>
      <c r="B143" s="28" t="s">
        <v>214</v>
      </c>
      <c r="C143" s="28" t="s">
        <v>103</v>
      </c>
      <c r="D143" s="29">
        <v>46083</v>
      </c>
      <c r="E143" s="28">
        <v>10</v>
      </c>
      <c r="F143" s="28" t="s">
        <v>261</v>
      </c>
      <c r="G143" s="8">
        <f>IFERROR(VLOOKUP(B143,TASKS!A:K,8,FALSE()),"")</f>
        <v>160</v>
      </c>
      <c r="H143" s="8">
        <f t="shared" si="4"/>
        <v>160</v>
      </c>
      <c r="I143" s="8">
        <f t="shared" si="5"/>
        <v>0</v>
      </c>
      <c r="J143" s="8" t="str">
        <f>IF(OR(B143="",C143=""),"",IF(IFERROR(VLOOKUP(C143,RESOURCES!A:C,3,FALSE()),"")=IFERROR(VLOOKUP(B143,TASKS!A:K,4,FALSE()),""),"OK","MISMATCH"))</f>
        <v>OK</v>
      </c>
      <c r="K143" s="8" t="str">
        <f>IF(OR(B143="",D143=""),"",IF(AND(D143&gt;=IFERROR(VLOOKUP(B143,TASKS!A:K,6,FALSE()),0),D143&lt;=IFERROR(VLOOKUP(B143,TASKS!A:K,7,FALSE()),99999)),"OK","OUT OF RANGE"))</f>
        <v>OK</v>
      </c>
    </row>
    <row r="144" spans="1:11" ht="15" customHeight="1" x14ac:dyDescent="0.3">
      <c r="A144" s="5" t="s">
        <v>403</v>
      </c>
      <c r="B144" s="28" t="s">
        <v>214</v>
      </c>
      <c r="C144" s="28" t="s">
        <v>103</v>
      </c>
      <c r="D144" s="29">
        <v>46090</v>
      </c>
      <c r="E144" s="28">
        <v>10</v>
      </c>
      <c r="F144" s="28" t="s">
        <v>261</v>
      </c>
      <c r="G144" s="8">
        <f>IFERROR(VLOOKUP(B144,TASKS!A:K,8,FALSE()),"")</f>
        <v>160</v>
      </c>
      <c r="H144" s="8">
        <f t="shared" si="4"/>
        <v>160</v>
      </c>
      <c r="I144" s="8">
        <f t="shared" si="5"/>
        <v>0</v>
      </c>
      <c r="J144" s="8" t="str">
        <f>IF(OR(B144="",C144=""),"",IF(IFERROR(VLOOKUP(C144,RESOURCES!A:C,3,FALSE()),"")=IFERROR(VLOOKUP(B144,TASKS!A:K,4,FALSE()),""),"OK","MISMATCH"))</f>
        <v>OK</v>
      </c>
      <c r="K144" s="8" t="str">
        <f>IF(OR(B144="",D144=""),"",IF(AND(D144&gt;=IFERROR(VLOOKUP(B144,TASKS!A:K,6,FALSE()),0),D144&lt;=IFERROR(VLOOKUP(B144,TASKS!A:K,7,FALSE()),99999)),"OK","OUT OF RANGE"))</f>
        <v>OK</v>
      </c>
    </row>
    <row r="145" spans="1:11" ht="15" customHeight="1" x14ac:dyDescent="0.3">
      <c r="A145" s="5" t="s">
        <v>404</v>
      </c>
      <c r="B145" s="28" t="s">
        <v>214</v>
      </c>
      <c r="C145" s="28" t="s">
        <v>103</v>
      </c>
      <c r="D145" s="29">
        <v>46097</v>
      </c>
      <c r="E145" s="28">
        <v>10</v>
      </c>
      <c r="F145" s="28" t="s">
        <v>261</v>
      </c>
      <c r="G145" s="8">
        <f>IFERROR(VLOOKUP(B145,TASKS!A:K,8,FALSE()),"")</f>
        <v>160</v>
      </c>
      <c r="H145" s="8">
        <f t="shared" si="4"/>
        <v>160</v>
      </c>
      <c r="I145" s="8">
        <f t="shared" si="5"/>
        <v>0</v>
      </c>
      <c r="J145" s="8" t="str">
        <f>IF(OR(B145="",C145=""),"",IF(IFERROR(VLOOKUP(C145,RESOURCES!A:C,3,FALSE()),"")=IFERROR(VLOOKUP(B145,TASKS!A:K,4,FALSE()),""),"OK","MISMATCH"))</f>
        <v>OK</v>
      </c>
      <c r="K145" s="8" t="str">
        <f>IF(OR(B145="",D145=""),"",IF(AND(D145&gt;=IFERROR(VLOOKUP(B145,TASKS!A:K,6,FALSE()),0),D145&lt;=IFERROR(VLOOKUP(B145,TASKS!A:K,7,FALSE()),99999)),"OK","OUT OF RANGE"))</f>
        <v>OK</v>
      </c>
    </row>
    <row r="146" spans="1:11" ht="15" customHeight="1" x14ac:dyDescent="0.3">
      <c r="A146" s="5" t="s">
        <v>405</v>
      </c>
      <c r="B146" s="28" t="s">
        <v>214</v>
      </c>
      <c r="C146" s="28" t="s">
        <v>103</v>
      </c>
      <c r="D146" s="29">
        <v>46104</v>
      </c>
      <c r="E146" s="28">
        <v>10</v>
      </c>
      <c r="F146" s="28" t="s">
        <v>261</v>
      </c>
      <c r="G146" s="8">
        <f>IFERROR(VLOOKUP(B146,TASKS!A:K,8,FALSE()),"")</f>
        <v>160</v>
      </c>
      <c r="H146" s="8">
        <f t="shared" si="4"/>
        <v>160</v>
      </c>
      <c r="I146" s="8">
        <f t="shared" si="5"/>
        <v>0</v>
      </c>
      <c r="J146" s="8" t="str">
        <f>IF(OR(B146="",C146=""),"",IF(IFERROR(VLOOKUP(C146,RESOURCES!A:C,3,FALSE()),"")=IFERROR(VLOOKUP(B146,TASKS!A:K,4,FALSE()),""),"OK","MISMATCH"))</f>
        <v>OK</v>
      </c>
      <c r="K146" s="8" t="str">
        <f>IF(OR(B146="",D146=""),"",IF(AND(D146&gt;=IFERROR(VLOOKUP(B146,TASKS!A:K,6,FALSE()),0),D146&lt;=IFERROR(VLOOKUP(B146,TASKS!A:K,7,FALSE()),99999)),"OK","OUT OF RANGE"))</f>
        <v>OK</v>
      </c>
    </row>
    <row r="147" spans="1:11" ht="15" customHeight="1" x14ac:dyDescent="0.3">
      <c r="A147" s="5" t="s">
        <v>406</v>
      </c>
      <c r="B147" s="28" t="s">
        <v>214</v>
      </c>
      <c r="C147" s="28" t="s">
        <v>103</v>
      </c>
      <c r="D147" s="29">
        <v>46111</v>
      </c>
      <c r="E147" s="28">
        <v>10</v>
      </c>
      <c r="F147" s="28" t="s">
        <v>261</v>
      </c>
      <c r="G147" s="8">
        <f>IFERROR(VLOOKUP(B147,TASKS!A:K,8,FALSE()),"")</f>
        <v>160</v>
      </c>
      <c r="H147" s="8">
        <f t="shared" si="4"/>
        <v>160</v>
      </c>
      <c r="I147" s="8">
        <f t="shared" si="5"/>
        <v>0</v>
      </c>
      <c r="J147" s="8" t="str">
        <f>IF(OR(B147="",C147=""),"",IF(IFERROR(VLOOKUP(C147,RESOURCES!A:C,3,FALSE()),"")=IFERROR(VLOOKUP(B147,TASKS!A:K,4,FALSE()),""),"OK","MISMATCH"))</f>
        <v>OK</v>
      </c>
      <c r="K147" s="8" t="str">
        <f>IF(OR(B147="",D147=""),"",IF(AND(D147&gt;=IFERROR(VLOOKUP(B147,TASKS!A:K,6,FALSE()),0),D147&lt;=IFERROR(VLOOKUP(B147,TASKS!A:K,7,FALSE()),99999)),"OK","OUT OF RANGE"))</f>
        <v>OK</v>
      </c>
    </row>
    <row r="148" spans="1:11" ht="15" customHeight="1" x14ac:dyDescent="0.3">
      <c r="A148" s="5" t="s">
        <v>407</v>
      </c>
      <c r="B148" s="28" t="s">
        <v>214</v>
      </c>
      <c r="C148" s="28" t="s">
        <v>103</v>
      </c>
      <c r="D148" s="29">
        <v>46118</v>
      </c>
      <c r="E148" s="28">
        <v>10</v>
      </c>
      <c r="F148" s="28" t="s">
        <v>261</v>
      </c>
      <c r="G148" s="8">
        <f>IFERROR(VLOOKUP(B148,TASKS!A:K,8,FALSE()),"")</f>
        <v>160</v>
      </c>
      <c r="H148" s="8">
        <f t="shared" si="4"/>
        <v>160</v>
      </c>
      <c r="I148" s="8">
        <f t="shared" si="5"/>
        <v>0</v>
      </c>
      <c r="J148" s="8" t="str">
        <f>IF(OR(B148="",C148=""),"",IF(IFERROR(VLOOKUP(C148,RESOURCES!A:C,3,FALSE()),"")=IFERROR(VLOOKUP(B148,TASKS!A:K,4,FALSE()),""),"OK","MISMATCH"))</f>
        <v>OK</v>
      </c>
      <c r="K148" s="8" t="str">
        <f>IF(OR(B148="",D148=""),"",IF(AND(D148&gt;=IFERROR(VLOOKUP(B148,TASKS!A:K,6,FALSE()),0),D148&lt;=IFERROR(VLOOKUP(B148,TASKS!A:K,7,FALSE()),99999)),"OK","OUT OF RANGE"))</f>
        <v>OK</v>
      </c>
    </row>
    <row r="149" spans="1:11" ht="15" customHeight="1" x14ac:dyDescent="0.3">
      <c r="A149" s="5" t="s">
        <v>408</v>
      </c>
      <c r="B149" s="28" t="s">
        <v>214</v>
      </c>
      <c r="C149" s="28" t="s">
        <v>103</v>
      </c>
      <c r="D149" s="29">
        <v>46125</v>
      </c>
      <c r="E149" s="28">
        <v>10</v>
      </c>
      <c r="F149" s="28" t="s">
        <v>261</v>
      </c>
      <c r="G149" s="8">
        <f>IFERROR(VLOOKUP(B149,TASKS!A:K,8,FALSE()),"")</f>
        <v>160</v>
      </c>
      <c r="H149" s="8">
        <f t="shared" si="4"/>
        <v>160</v>
      </c>
      <c r="I149" s="8">
        <f t="shared" si="5"/>
        <v>0</v>
      </c>
      <c r="J149" s="8" t="str">
        <f>IF(OR(B149="",C149=""),"",IF(IFERROR(VLOOKUP(C149,RESOURCES!A:C,3,FALSE()),"")=IFERROR(VLOOKUP(B149,TASKS!A:K,4,FALSE()),""),"OK","MISMATCH"))</f>
        <v>OK</v>
      </c>
      <c r="K149" s="8" t="str">
        <f>IF(OR(B149="",D149=""),"",IF(AND(D149&gt;=IFERROR(VLOOKUP(B149,TASKS!A:K,6,FALSE()),0),D149&lt;=IFERROR(VLOOKUP(B149,TASKS!A:K,7,FALSE()),99999)),"OK","OUT OF RANGE"))</f>
        <v>OK</v>
      </c>
    </row>
    <row r="150" spans="1:11" ht="15" customHeight="1" x14ac:dyDescent="0.3">
      <c r="A150" s="5" t="s">
        <v>409</v>
      </c>
      <c r="B150" s="28" t="s">
        <v>214</v>
      </c>
      <c r="C150" s="28" t="s">
        <v>103</v>
      </c>
      <c r="D150" s="29">
        <v>46132</v>
      </c>
      <c r="E150" s="28">
        <v>10</v>
      </c>
      <c r="F150" s="28" t="s">
        <v>261</v>
      </c>
      <c r="G150" s="8">
        <f>IFERROR(VLOOKUP(B150,TASKS!A:K,8,FALSE()),"")</f>
        <v>160</v>
      </c>
      <c r="H150" s="8">
        <f t="shared" si="4"/>
        <v>160</v>
      </c>
      <c r="I150" s="8">
        <f t="shared" si="5"/>
        <v>0</v>
      </c>
      <c r="J150" s="8" t="str">
        <f>IF(OR(B150="",C150=""),"",IF(IFERROR(VLOOKUP(C150,RESOURCES!A:C,3,FALSE()),"")=IFERROR(VLOOKUP(B150,TASKS!A:K,4,FALSE()),""),"OK","MISMATCH"))</f>
        <v>OK</v>
      </c>
      <c r="K150" s="8" t="str">
        <f>IF(OR(B150="",D150=""),"",IF(AND(D150&gt;=IFERROR(VLOOKUP(B150,TASKS!A:K,6,FALSE()),0),D150&lt;=IFERROR(VLOOKUP(B150,TASKS!A:K,7,FALSE()),99999)),"OK","OUT OF RANGE"))</f>
        <v>OK</v>
      </c>
    </row>
    <row r="151" spans="1:11" ht="15" customHeight="1" x14ac:dyDescent="0.3">
      <c r="A151" s="5" t="s">
        <v>410</v>
      </c>
      <c r="B151" s="28" t="s">
        <v>214</v>
      </c>
      <c r="C151" s="28" t="s">
        <v>103</v>
      </c>
      <c r="D151" s="29">
        <v>46139</v>
      </c>
      <c r="E151" s="28">
        <v>10</v>
      </c>
      <c r="F151" s="28" t="s">
        <v>261</v>
      </c>
      <c r="G151" s="8">
        <f>IFERROR(VLOOKUP(B151,TASKS!A:K,8,FALSE()),"")</f>
        <v>160</v>
      </c>
      <c r="H151" s="8">
        <f t="shared" si="4"/>
        <v>160</v>
      </c>
      <c r="I151" s="8">
        <f t="shared" si="5"/>
        <v>0</v>
      </c>
      <c r="J151" s="8" t="str">
        <f>IF(OR(B151="",C151=""),"",IF(IFERROR(VLOOKUP(C151,RESOURCES!A:C,3,FALSE()),"")=IFERROR(VLOOKUP(B151,TASKS!A:K,4,FALSE()),""),"OK","MISMATCH"))</f>
        <v>OK</v>
      </c>
      <c r="K151" s="8" t="str">
        <f>IF(OR(B151="",D151=""),"",IF(AND(D151&gt;=IFERROR(VLOOKUP(B151,TASKS!A:K,6,FALSE()),0),D151&lt;=IFERROR(VLOOKUP(B151,TASKS!A:K,7,FALSE()),99999)),"OK","OUT OF RANGE"))</f>
        <v>OK</v>
      </c>
    </row>
    <row r="152" spans="1:11" ht="15" customHeight="1" x14ac:dyDescent="0.3">
      <c r="A152" s="5" t="s">
        <v>411</v>
      </c>
      <c r="B152" s="28" t="s">
        <v>214</v>
      </c>
      <c r="C152" s="28" t="s">
        <v>103</v>
      </c>
      <c r="D152" s="29">
        <v>46146</v>
      </c>
      <c r="E152" s="28">
        <v>10</v>
      </c>
      <c r="F152" s="28" t="s">
        <v>261</v>
      </c>
      <c r="G152" s="8">
        <f>IFERROR(VLOOKUP(B152,TASKS!A:K,8,FALSE()),"")</f>
        <v>160</v>
      </c>
      <c r="H152" s="8">
        <f t="shared" si="4"/>
        <v>160</v>
      </c>
      <c r="I152" s="8">
        <f t="shared" si="5"/>
        <v>0</v>
      </c>
      <c r="J152" s="8" t="str">
        <f>IF(OR(B152="",C152=""),"",IF(IFERROR(VLOOKUP(C152,RESOURCES!A:C,3,FALSE()),"")=IFERROR(VLOOKUP(B152,TASKS!A:K,4,FALSE()),""),"OK","MISMATCH"))</f>
        <v>OK</v>
      </c>
      <c r="K152" s="8" t="str">
        <f>IF(OR(B152="",D152=""),"",IF(AND(D152&gt;=IFERROR(VLOOKUP(B152,TASKS!A:K,6,FALSE()),0),D152&lt;=IFERROR(VLOOKUP(B152,TASKS!A:K,7,FALSE()),99999)),"OK","OUT OF RANGE"))</f>
        <v>OK</v>
      </c>
    </row>
    <row r="153" spans="1:11" ht="15" customHeight="1" x14ac:dyDescent="0.3">
      <c r="A153" s="5" t="s">
        <v>412</v>
      </c>
      <c r="B153" s="28" t="s">
        <v>214</v>
      </c>
      <c r="C153" s="28" t="s">
        <v>103</v>
      </c>
      <c r="D153" s="29">
        <v>46153</v>
      </c>
      <c r="E153" s="28">
        <v>10</v>
      </c>
      <c r="F153" s="28" t="s">
        <v>261</v>
      </c>
      <c r="G153" s="8">
        <f>IFERROR(VLOOKUP(B153,TASKS!A:K,8,FALSE()),"")</f>
        <v>160</v>
      </c>
      <c r="H153" s="8">
        <f t="shared" si="4"/>
        <v>160</v>
      </c>
      <c r="I153" s="8">
        <f t="shared" si="5"/>
        <v>0</v>
      </c>
      <c r="J153" s="8" t="str">
        <f>IF(OR(B153="",C153=""),"",IF(IFERROR(VLOOKUP(C153,RESOURCES!A:C,3,FALSE()),"")=IFERROR(VLOOKUP(B153,TASKS!A:K,4,FALSE()),""),"OK","MISMATCH"))</f>
        <v>OK</v>
      </c>
      <c r="K153" s="8" t="str">
        <f>IF(OR(B153="",D153=""),"",IF(AND(D153&gt;=IFERROR(VLOOKUP(B153,TASKS!A:K,6,FALSE()),0),D153&lt;=IFERROR(VLOOKUP(B153,TASKS!A:K,7,FALSE()),99999)),"OK","OUT OF RANGE"))</f>
        <v>OK</v>
      </c>
    </row>
    <row r="154" spans="1:11" ht="15" customHeight="1" x14ac:dyDescent="0.3">
      <c r="A154" s="5" t="s">
        <v>413</v>
      </c>
      <c r="B154" s="28" t="s">
        <v>214</v>
      </c>
      <c r="C154" s="28" t="s">
        <v>103</v>
      </c>
      <c r="D154" s="29">
        <v>46160</v>
      </c>
      <c r="E154" s="28">
        <v>10</v>
      </c>
      <c r="F154" s="28" t="s">
        <v>261</v>
      </c>
      <c r="G154" s="8">
        <f>IFERROR(VLOOKUP(B154,TASKS!A:K,8,FALSE()),"")</f>
        <v>160</v>
      </c>
      <c r="H154" s="8">
        <f t="shared" si="4"/>
        <v>160</v>
      </c>
      <c r="I154" s="8">
        <f t="shared" si="5"/>
        <v>0</v>
      </c>
      <c r="J154" s="8" t="str">
        <f>IF(OR(B154="",C154=""),"",IF(IFERROR(VLOOKUP(C154,RESOURCES!A:C,3,FALSE()),"")=IFERROR(VLOOKUP(B154,TASKS!A:K,4,FALSE()),""),"OK","MISMATCH"))</f>
        <v>OK</v>
      </c>
      <c r="K154" s="8" t="str">
        <f>IF(OR(B154="",D154=""),"",IF(AND(D154&gt;=IFERROR(VLOOKUP(B154,TASKS!A:K,6,FALSE()),0),D154&lt;=IFERROR(VLOOKUP(B154,TASKS!A:K,7,FALSE()),99999)),"OK","OUT OF RANGE"))</f>
        <v>OK</v>
      </c>
    </row>
    <row r="155" spans="1:11" ht="15" customHeight="1" x14ac:dyDescent="0.3">
      <c r="A155" s="5" t="s">
        <v>414</v>
      </c>
      <c r="B155" s="28" t="s">
        <v>214</v>
      </c>
      <c r="C155" s="28" t="s">
        <v>103</v>
      </c>
      <c r="D155" s="29">
        <v>46167</v>
      </c>
      <c r="E155" s="28">
        <v>10</v>
      </c>
      <c r="F155" s="28" t="s">
        <v>261</v>
      </c>
      <c r="G155" s="8">
        <f>IFERROR(VLOOKUP(B155,TASKS!A:K,8,FALSE()),"")</f>
        <v>160</v>
      </c>
      <c r="H155" s="8">
        <f t="shared" si="4"/>
        <v>160</v>
      </c>
      <c r="I155" s="8">
        <f t="shared" si="5"/>
        <v>0</v>
      </c>
      <c r="J155" s="8" t="str">
        <f>IF(OR(B155="",C155=""),"",IF(IFERROR(VLOOKUP(C155,RESOURCES!A:C,3,FALSE()),"")=IFERROR(VLOOKUP(B155,TASKS!A:K,4,FALSE()),""),"OK","MISMATCH"))</f>
        <v>OK</v>
      </c>
      <c r="K155" s="8" t="str">
        <f>IF(OR(B155="",D155=""),"",IF(AND(D155&gt;=IFERROR(VLOOKUP(B155,TASKS!A:K,6,FALSE()),0),D155&lt;=IFERROR(VLOOKUP(B155,TASKS!A:K,7,FALSE()),99999)),"OK","OUT OF RANGE"))</f>
        <v>OK</v>
      </c>
    </row>
    <row r="156" spans="1:11" ht="15" customHeight="1" x14ac:dyDescent="0.3">
      <c r="A156" s="5" t="s">
        <v>415</v>
      </c>
      <c r="B156" s="28" t="s">
        <v>214</v>
      </c>
      <c r="C156" s="28" t="s">
        <v>103</v>
      </c>
      <c r="D156" s="29">
        <v>46174</v>
      </c>
      <c r="E156" s="28">
        <v>10</v>
      </c>
      <c r="F156" s="28" t="s">
        <v>261</v>
      </c>
      <c r="G156" s="8">
        <f>IFERROR(VLOOKUP(B156,TASKS!A:K,8,FALSE()),"")</f>
        <v>160</v>
      </c>
      <c r="H156" s="8">
        <f t="shared" si="4"/>
        <v>160</v>
      </c>
      <c r="I156" s="8">
        <f t="shared" si="5"/>
        <v>0</v>
      </c>
      <c r="J156" s="8" t="str">
        <f>IF(OR(B156="",C156=""),"",IF(IFERROR(VLOOKUP(C156,RESOURCES!A:C,3,FALSE()),"")=IFERROR(VLOOKUP(B156,TASKS!A:K,4,FALSE()),""),"OK","MISMATCH"))</f>
        <v>OK</v>
      </c>
      <c r="K156" s="8" t="str">
        <f>IF(OR(B156="",D156=""),"",IF(AND(D156&gt;=IFERROR(VLOOKUP(B156,TASKS!A:K,6,FALSE()),0),D156&lt;=IFERROR(VLOOKUP(B156,TASKS!A:K,7,FALSE()),99999)),"OK","OUT OF RANGE"))</f>
        <v>OK</v>
      </c>
    </row>
    <row r="157" spans="1:11" ht="15" customHeight="1" x14ac:dyDescent="0.3">
      <c r="A157" s="5" t="s">
        <v>416</v>
      </c>
      <c r="B157" s="28" t="s">
        <v>214</v>
      </c>
      <c r="C157" s="28" t="s">
        <v>103</v>
      </c>
      <c r="D157" s="29">
        <v>46181</v>
      </c>
      <c r="E157" s="28">
        <v>10</v>
      </c>
      <c r="F157" s="28" t="s">
        <v>261</v>
      </c>
      <c r="G157" s="8">
        <f>IFERROR(VLOOKUP(B157,TASKS!A:K,8,FALSE()),"")</f>
        <v>160</v>
      </c>
      <c r="H157" s="8">
        <f t="shared" si="4"/>
        <v>160</v>
      </c>
      <c r="I157" s="8">
        <f t="shared" si="5"/>
        <v>0</v>
      </c>
      <c r="J157" s="8" t="str">
        <f>IF(OR(B157="",C157=""),"",IF(IFERROR(VLOOKUP(C157,RESOURCES!A:C,3,FALSE()),"")=IFERROR(VLOOKUP(B157,TASKS!A:K,4,FALSE()),""),"OK","MISMATCH"))</f>
        <v>OK</v>
      </c>
      <c r="K157" s="8" t="str">
        <f>IF(OR(B157="",D157=""),"",IF(AND(D157&gt;=IFERROR(VLOOKUP(B157,TASKS!A:K,6,FALSE()),0),D157&lt;=IFERROR(VLOOKUP(B157,TASKS!A:K,7,FALSE()),99999)),"OK","OUT OF RANGE"))</f>
        <v>OK</v>
      </c>
    </row>
    <row r="158" spans="1:11" ht="15" customHeight="1" x14ac:dyDescent="0.3">
      <c r="A158" s="5" t="s">
        <v>417</v>
      </c>
      <c r="B158" s="28" t="s">
        <v>218</v>
      </c>
      <c r="C158" s="28" t="s">
        <v>95</v>
      </c>
      <c r="D158" s="29">
        <v>46076</v>
      </c>
      <c r="E158" s="28">
        <v>7</v>
      </c>
      <c r="F158" s="28" t="s">
        <v>125</v>
      </c>
      <c r="G158" s="8">
        <f>IFERROR(VLOOKUP(B158,TASKS!A:K,8,FALSE()),"")</f>
        <v>112</v>
      </c>
      <c r="H158" s="8">
        <f t="shared" si="4"/>
        <v>112</v>
      </c>
      <c r="I158" s="8">
        <f t="shared" si="5"/>
        <v>0</v>
      </c>
      <c r="J158" s="8" t="str">
        <f>IF(OR(B158="",C158=""),"",IF(IFERROR(VLOOKUP(C158,RESOURCES!A:C,3,FALSE()),"")=IFERROR(VLOOKUP(B158,TASKS!A:K,4,FALSE()),""),"OK","MISMATCH"))</f>
        <v>OK</v>
      </c>
      <c r="K158" s="8" t="str">
        <f>IF(OR(B158="",D158=""),"",IF(AND(D158&gt;=IFERROR(VLOOKUP(B158,TASKS!A:K,6,FALSE()),0),D158&lt;=IFERROR(VLOOKUP(B158,TASKS!A:K,7,FALSE()),99999)),"OK","OUT OF RANGE"))</f>
        <v>OK</v>
      </c>
    </row>
    <row r="159" spans="1:11" ht="15" customHeight="1" x14ac:dyDescent="0.3">
      <c r="A159" s="5" t="s">
        <v>418</v>
      </c>
      <c r="B159" s="28" t="s">
        <v>218</v>
      </c>
      <c r="C159" s="28" t="s">
        <v>95</v>
      </c>
      <c r="D159" s="29">
        <v>46083</v>
      </c>
      <c r="E159" s="28">
        <v>7</v>
      </c>
      <c r="F159" s="28" t="s">
        <v>261</v>
      </c>
      <c r="G159" s="8">
        <f>IFERROR(VLOOKUP(B159,TASKS!A:K,8,FALSE()),"")</f>
        <v>112</v>
      </c>
      <c r="H159" s="8">
        <f t="shared" si="4"/>
        <v>112</v>
      </c>
      <c r="I159" s="8">
        <f t="shared" si="5"/>
        <v>0</v>
      </c>
      <c r="J159" s="8" t="str">
        <f>IF(OR(B159="",C159=""),"",IF(IFERROR(VLOOKUP(C159,RESOURCES!A:C,3,FALSE()),"")=IFERROR(VLOOKUP(B159,TASKS!A:K,4,FALSE()),""),"OK","MISMATCH"))</f>
        <v>OK</v>
      </c>
      <c r="K159" s="8" t="str">
        <f>IF(OR(B159="",D159=""),"",IF(AND(D159&gt;=IFERROR(VLOOKUP(B159,TASKS!A:K,6,FALSE()),0),D159&lt;=IFERROR(VLOOKUP(B159,TASKS!A:K,7,FALSE()),99999)),"OK","OUT OF RANGE"))</f>
        <v>OK</v>
      </c>
    </row>
    <row r="160" spans="1:11" ht="15" customHeight="1" x14ac:dyDescent="0.3">
      <c r="A160" s="5" t="s">
        <v>419</v>
      </c>
      <c r="B160" s="28" t="s">
        <v>218</v>
      </c>
      <c r="C160" s="28" t="s">
        <v>95</v>
      </c>
      <c r="D160" s="29">
        <v>46090</v>
      </c>
      <c r="E160" s="28">
        <v>7</v>
      </c>
      <c r="F160" s="28" t="s">
        <v>261</v>
      </c>
      <c r="G160" s="8">
        <f>IFERROR(VLOOKUP(B160,TASKS!A:K,8,FALSE()),"")</f>
        <v>112</v>
      </c>
      <c r="H160" s="8">
        <f t="shared" si="4"/>
        <v>112</v>
      </c>
      <c r="I160" s="8">
        <f t="shared" si="5"/>
        <v>0</v>
      </c>
      <c r="J160" s="8" t="str">
        <f>IF(OR(B160="",C160=""),"",IF(IFERROR(VLOOKUP(C160,RESOURCES!A:C,3,FALSE()),"")=IFERROR(VLOOKUP(B160,TASKS!A:K,4,FALSE()),""),"OK","MISMATCH"))</f>
        <v>OK</v>
      </c>
      <c r="K160" s="8" t="str">
        <f>IF(OR(B160="",D160=""),"",IF(AND(D160&gt;=IFERROR(VLOOKUP(B160,TASKS!A:K,6,FALSE()),0),D160&lt;=IFERROR(VLOOKUP(B160,TASKS!A:K,7,FALSE()),99999)),"OK","OUT OF RANGE"))</f>
        <v>OK</v>
      </c>
    </row>
    <row r="161" spans="1:11" ht="15" customHeight="1" x14ac:dyDescent="0.3">
      <c r="A161" s="5" t="s">
        <v>420</v>
      </c>
      <c r="B161" s="28" t="s">
        <v>218</v>
      </c>
      <c r="C161" s="28" t="s">
        <v>95</v>
      </c>
      <c r="D161" s="29">
        <v>46097</v>
      </c>
      <c r="E161" s="28">
        <v>7</v>
      </c>
      <c r="F161" s="28" t="s">
        <v>261</v>
      </c>
      <c r="G161" s="8">
        <f>IFERROR(VLOOKUP(B161,TASKS!A:K,8,FALSE()),"")</f>
        <v>112</v>
      </c>
      <c r="H161" s="8">
        <f t="shared" si="4"/>
        <v>112</v>
      </c>
      <c r="I161" s="8">
        <f t="shared" si="5"/>
        <v>0</v>
      </c>
      <c r="J161" s="8" t="str">
        <f>IF(OR(B161="",C161=""),"",IF(IFERROR(VLOOKUP(C161,RESOURCES!A:C,3,FALSE()),"")=IFERROR(VLOOKUP(B161,TASKS!A:K,4,FALSE()),""),"OK","MISMATCH"))</f>
        <v>OK</v>
      </c>
      <c r="K161" s="8" t="str">
        <f>IF(OR(B161="",D161=""),"",IF(AND(D161&gt;=IFERROR(VLOOKUP(B161,TASKS!A:K,6,FALSE()),0),D161&lt;=IFERROR(VLOOKUP(B161,TASKS!A:K,7,FALSE()),99999)),"OK","OUT OF RANGE"))</f>
        <v>OK</v>
      </c>
    </row>
    <row r="162" spans="1:11" ht="15" customHeight="1" x14ac:dyDescent="0.3">
      <c r="A162" s="5" t="s">
        <v>421</v>
      </c>
      <c r="B162" s="28" t="s">
        <v>218</v>
      </c>
      <c r="C162" s="28" t="s">
        <v>95</v>
      </c>
      <c r="D162" s="29">
        <v>46104</v>
      </c>
      <c r="E162" s="28">
        <v>7</v>
      </c>
      <c r="F162" s="28" t="s">
        <v>261</v>
      </c>
      <c r="G162" s="8">
        <f>IFERROR(VLOOKUP(B162,TASKS!A:K,8,FALSE()),"")</f>
        <v>112</v>
      </c>
      <c r="H162" s="8">
        <f t="shared" si="4"/>
        <v>112</v>
      </c>
      <c r="I162" s="8">
        <f t="shared" si="5"/>
        <v>0</v>
      </c>
      <c r="J162" s="8" t="str">
        <f>IF(OR(B162="",C162=""),"",IF(IFERROR(VLOOKUP(C162,RESOURCES!A:C,3,FALSE()),"")=IFERROR(VLOOKUP(B162,TASKS!A:K,4,FALSE()),""),"OK","MISMATCH"))</f>
        <v>OK</v>
      </c>
      <c r="K162" s="8" t="str">
        <f>IF(OR(B162="",D162=""),"",IF(AND(D162&gt;=IFERROR(VLOOKUP(B162,TASKS!A:K,6,FALSE()),0),D162&lt;=IFERROR(VLOOKUP(B162,TASKS!A:K,7,FALSE()),99999)),"OK","OUT OF RANGE"))</f>
        <v>OK</v>
      </c>
    </row>
    <row r="163" spans="1:11" ht="15" customHeight="1" x14ac:dyDescent="0.3">
      <c r="A163" s="5" t="s">
        <v>422</v>
      </c>
      <c r="B163" s="28" t="s">
        <v>218</v>
      </c>
      <c r="C163" s="28" t="s">
        <v>95</v>
      </c>
      <c r="D163" s="29">
        <v>46111</v>
      </c>
      <c r="E163" s="28">
        <v>7</v>
      </c>
      <c r="F163" s="28" t="s">
        <v>261</v>
      </c>
      <c r="G163" s="8">
        <f>IFERROR(VLOOKUP(B163,TASKS!A:K,8,FALSE()),"")</f>
        <v>112</v>
      </c>
      <c r="H163" s="8">
        <f t="shared" si="4"/>
        <v>112</v>
      </c>
      <c r="I163" s="8">
        <f t="shared" si="5"/>
        <v>0</v>
      </c>
      <c r="J163" s="8" t="str">
        <f>IF(OR(B163="",C163=""),"",IF(IFERROR(VLOOKUP(C163,RESOURCES!A:C,3,FALSE()),"")=IFERROR(VLOOKUP(B163,TASKS!A:K,4,FALSE()),""),"OK","MISMATCH"))</f>
        <v>OK</v>
      </c>
      <c r="K163" s="8" t="str">
        <f>IF(OR(B163="",D163=""),"",IF(AND(D163&gt;=IFERROR(VLOOKUP(B163,TASKS!A:K,6,FALSE()),0),D163&lt;=IFERROR(VLOOKUP(B163,TASKS!A:K,7,FALSE()),99999)),"OK","OUT OF RANGE"))</f>
        <v>OK</v>
      </c>
    </row>
    <row r="164" spans="1:11" ht="15" customHeight="1" x14ac:dyDescent="0.3">
      <c r="A164" s="5" t="s">
        <v>423</v>
      </c>
      <c r="B164" s="28" t="s">
        <v>218</v>
      </c>
      <c r="C164" s="28" t="s">
        <v>95</v>
      </c>
      <c r="D164" s="29">
        <v>46118</v>
      </c>
      <c r="E164" s="28">
        <v>7</v>
      </c>
      <c r="F164" s="28" t="s">
        <v>261</v>
      </c>
      <c r="G164" s="8">
        <f>IFERROR(VLOOKUP(B164,TASKS!A:K,8,FALSE()),"")</f>
        <v>112</v>
      </c>
      <c r="H164" s="8">
        <f t="shared" si="4"/>
        <v>112</v>
      </c>
      <c r="I164" s="8">
        <f t="shared" si="5"/>
        <v>0</v>
      </c>
      <c r="J164" s="8" t="str">
        <f>IF(OR(B164="",C164=""),"",IF(IFERROR(VLOOKUP(C164,RESOURCES!A:C,3,FALSE()),"")=IFERROR(VLOOKUP(B164,TASKS!A:K,4,FALSE()),""),"OK","MISMATCH"))</f>
        <v>OK</v>
      </c>
      <c r="K164" s="8" t="str">
        <f>IF(OR(B164="",D164=""),"",IF(AND(D164&gt;=IFERROR(VLOOKUP(B164,TASKS!A:K,6,FALSE()),0),D164&lt;=IFERROR(VLOOKUP(B164,TASKS!A:K,7,FALSE()),99999)),"OK","OUT OF RANGE"))</f>
        <v>OK</v>
      </c>
    </row>
    <row r="165" spans="1:11" ht="15" customHeight="1" x14ac:dyDescent="0.3">
      <c r="A165" s="5" t="s">
        <v>424</v>
      </c>
      <c r="B165" s="28" t="s">
        <v>218</v>
      </c>
      <c r="C165" s="28" t="s">
        <v>95</v>
      </c>
      <c r="D165" s="29">
        <v>46125</v>
      </c>
      <c r="E165" s="28">
        <v>7</v>
      </c>
      <c r="F165" s="28" t="s">
        <v>261</v>
      </c>
      <c r="G165" s="8">
        <f>IFERROR(VLOOKUP(B165,TASKS!A:K,8,FALSE()),"")</f>
        <v>112</v>
      </c>
      <c r="H165" s="8">
        <f t="shared" si="4"/>
        <v>112</v>
      </c>
      <c r="I165" s="8">
        <f t="shared" si="5"/>
        <v>0</v>
      </c>
      <c r="J165" s="8" t="str">
        <f>IF(OR(B165="",C165=""),"",IF(IFERROR(VLOOKUP(C165,RESOURCES!A:C,3,FALSE()),"")=IFERROR(VLOOKUP(B165,TASKS!A:K,4,FALSE()),""),"OK","MISMATCH"))</f>
        <v>OK</v>
      </c>
      <c r="K165" s="8" t="str">
        <f>IF(OR(B165="",D165=""),"",IF(AND(D165&gt;=IFERROR(VLOOKUP(B165,TASKS!A:K,6,FALSE()),0),D165&lt;=IFERROR(VLOOKUP(B165,TASKS!A:K,7,FALSE()),99999)),"OK","OUT OF RANGE"))</f>
        <v>OK</v>
      </c>
    </row>
    <row r="166" spans="1:11" ht="15" customHeight="1" x14ac:dyDescent="0.3">
      <c r="A166" s="5" t="s">
        <v>425</v>
      </c>
      <c r="B166" s="28" t="s">
        <v>218</v>
      </c>
      <c r="C166" s="28" t="s">
        <v>95</v>
      </c>
      <c r="D166" s="29">
        <v>46132</v>
      </c>
      <c r="E166" s="28">
        <v>7</v>
      </c>
      <c r="F166" s="28" t="s">
        <v>261</v>
      </c>
      <c r="G166" s="8">
        <f>IFERROR(VLOOKUP(B166,TASKS!A:K,8,FALSE()),"")</f>
        <v>112</v>
      </c>
      <c r="H166" s="8">
        <f t="shared" si="4"/>
        <v>112</v>
      </c>
      <c r="I166" s="8">
        <f t="shared" si="5"/>
        <v>0</v>
      </c>
      <c r="J166" s="8" t="str">
        <f>IF(OR(B166="",C166=""),"",IF(IFERROR(VLOOKUP(C166,RESOURCES!A:C,3,FALSE()),"")=IFERROR(VLOOKUP(B166,TASKS!A:K,4,FALSE()),""),"OK","MISMATCH"))</f>
        <v>OK</v>
      </c>
      <c r="K166" s="8" t="str">
        <f>IF(OR(B166="",D166=""),"",IF(AND(D166&gt;=IFERROR(VLOOKUP(B166,TASKS!A:K,6,FALSE()),0),D166&lt;=IFERROR(VLOOKUP(B166,TASKS!A:K,7,FALSE()),99999)),"OK","OUT OF RANGE"))</f>
        <v>OK</v>
      </c>
    </row>
    <row r="167" spans="1:11" ht="15" customHeight="1" x14ac:dyDescent="0.3">
      <c r="A167" s="5" t="s">
        <v>426</v>
      </c>
      <c r="B167" s="28" t="s">
        <v>218</v>
      </c>
      <c r="C167" s="28" t="s">
        <v>95</v>
      </c>
      <c r="D167" s="29">
        <v>46139</v>
      </c>
      <c r="E167" s="28">
        <v>7</v>
      </c>
      <c r="F167" s="28" t="s">
        <v>261</v>
      </c>
      <c r="G167" s="8">
        <f>IFERROR(VLOOKUP(B167,TASKS!A:K,8,FALSE()),"")</f>
        <v>112</v>
      </c>
      <c r="H167" s="8">
        <f t="shared" si="4"/>
        <v>112</v>
      </c>
      <c r="I167" s="8">
        <f t="shared" si="5"/>
        <v>0</v>
      </c>
      <c r="J167" s="8" t="str">
        <f>IF(OR(B167="",C167=""),"",IF(IFERROR(VLOOKUP(C167,RESOURCES!A:C,3,FALSE()),"")=IFERROR(VLOOKUP(B167,TASKS!A:K,4,FALSE()),""),"OK","MISMATCH"))</f>
        <v>OK</v>
      </c>
      <c r="K167" s="8" t="str">
        <f>IF(OR(B167="",D167=""),"",IF(AND(D167&gt;=IFERROR(VLOOKUP(B167,TASKS!A:K,6,FALSE()),0),D167&lt;=IFERROR(VLOOKUP(B167,TASKS!A:K,7,FALSE()),99999)),"OK","OUT OF RANGE"))</f>
        <v>OK</v>
      </c>
    </row>
    <row r="168" spans="1:11" ht="15" customHeight="1" x14ac:dyDescent="0.3">
      <c r="A168" s="5" t="s">
        <v>427</v>
      </c>
      <c r="B168" s="28" t="s">
        <v>218</v>
      </c>
      <c r="C168" s="28" t="s">
        <v>95</v>
      </c>
      <c r="D168" s="29">
        <v>46146</v>
      </c>
      <c r="E168" s="28">
        <v>7</v>
      </c>
      <c r="F168" s="28" t="s">
        <v>261</v>
      </c>
      <c r="G168" s="8">
        <f>IFERROR(VLOOKUP(B168,TASKS!A:K,8,FALSE()),"")</f>
        <v>112</v>
      </c>
      <c r="H168" s="8">
        <f t="shared" si="4"/>
        <v>112</v>
      </c>
      <c r="I168" s="8">
        <f t="shared" si="5"/>
        <v>0</v>
      </c>
      <c r="J168" s="8" t="str">
        <f>IF(OR(B168="",C168=""),"",IF(IFERROR(VLOOKUP(C168,RESOURCES!A:C,3,FALSE()),"")=IFERROR(VLOOKUP(B168,TASKS!A:K,4,FALSE()),""),"OK","MISMATCH"))</f>
        <v>OK</v>
      </c>
      <c r="K168" s="8" t="str">
        <f>IF(OR(B168="",D168=""),"",IF(AND(D168&gt;=IFERROR(VLOOKUP(B168,TASKS!A:K,6,FALSE()),0),D168&lt;=IFERROR(VLOOKUP(B168,TASKS!A:K,7,FALSE()),99999)),"OK","OUT OF RANGE"))</f>
        <v>OK</v>
      </c>
    </row>
    <row r="169" spans="1:11" ht="15" customHeight="1" x14ac:dyDescent="0.3">
      <c r="A169" s="5" t="s">
        <v>428</v>
      </c>
      <c r="B169" s="28" t="s">
        <v>218</v>
      </c>
      <c r="C169" s="28" t="s">
        <v>95</v>
      </c>
      <c r="D169" s="29">
        <v>46153</v>
      </c>
      <c r="E169" s="28">
        <v>7</v>
      </c>
      <c r="F169" s="28" t="s">
        <v>261</v>
      </c>
      <c r="G169" s="8">
        <f>IFERROR(VLOOKUP(B169,TASKS!A:K,8,FALSE()),"")</f>
        <v>112</v>
      </c>
      <c r="H169" s="8">
        <f t="shared" si="4"/>
        <v>112</v>
      </c>
      <c r="I169" s="8">
        <f t="shared" si="5"/>
        <v>0</v>
      </c>
      <c r="J169" s="8" t="str">
        <f>IF(OR(B169="",C169=""),"",IF(IFERROR(VLOOKUP(C169,RESOURCES!A:C,3,FALSE()),"")=IFERROR(VLOOKUP(B169,TASKS!A:K,4,FALSE()),""),"OK","MISMATCH"))</f>
        <v>OK</v>
      </c>
      <c r="K169" s="8" t="str">
        <f>IF(OR(B169="",D169=""),"",IF(AND(D169&gt;=IFERROR(VLOOKUP(B169,TASKS!A:K,6,FALSE()),0),D169&lt;=IFERROR(VLOOKUP(B169,TASKS!A:K,7,FALSE()),99999)),"OK","OUT OF RANGE"))</f>
        <v>OK</v>
      </c>
    </row>
    <row r="170" spans="1:11" ht="15" customHeight="1" x14ac:dyDescent="0.3">
      <c r="A170" s="5" t="s">
        <v>429</v>
      </c>
      <c r="B170" s="28" t="s">
        <v>218</v>
      </c>
      <c r="C170" s="28" t="s">
        <v>95</v>
      </c>
      <c r="D170" s="29">
        <v>46160</v>
      </c>
      <c r="E170" s="28">
        <v>7</v>
      </c>
      <c r="F170" s="28" t="s">
        <v>261</v>
      </c>
      <c r="G170" s="8">
        <f>IFERROR(VLOOKUP(B170,TASKS!A:K,8,FALSE()),"")</f>
        <v>112</v>
      </c>
      <c r="H170" s="8">
        <f t="shared" si="4"/>
        <v>112</v>
      </c>
      <c r="I170" s="8">
        <f t="shared" si="5"/>
        <v>0</v>
      </c>
      <c r="J170" s="8" t="str">
        <f>IF(OR(B170="",C170=""),"",IF(IFERROR(VLOOKUP(C170,RESOURCES!A:C,3,FALSE()),"")=IFERROR(VLOOKUP(B170,TASKS!A:K,4,FALSE()),""),"OK","MISMATCH"))</f>
        <v>OK</v>
      </c>
      <c r="K170" s="8" t="str">
        <f>IF(OR(B170="",D170=""),"",IF(AND(D170&gt;=IFERROR(VLOOKUP(B170,TASKS!A:K,6,FALSE()),0),D170&lt;=IFERROR(VLOOKUP(B170,TASKS!A:K,7,FALSE()),99999)),"OK","OUT OF RANGE"))</f>
        <v>OK</v>
      </c>
    </row>
    <row r="171" spans="1:11" ht="15" customHeight="1" x14ac:dyDescent="0.3">
      <c r="A171" s="5" t="s">
        <v>430</v>
      </c>
      <c r="B171" s="28" t="s">
        <v>218</v>
      </c>
      <c r="C171" s="28" t="s">
        <v>95</v>
      </c>
      <c r="D171" s="29">
        <v>46167</v>
      </c>
      <c r="E171" s="28">
        <v>7</v>
      </c>
      <c r="F171" s="28" t="s">
        <v>261</v>
      </c>
      <c r="G171" s="8">
        <f>IFERROR(VLOOKUP(B171,TASKS!A:K,8,FALSE()),"")</f>
        <v>112</v>
      </c>
      <c r="H171" s="8">
        <f t="shared" si="4"/>
        <v>112</v>
      </c>
      <c r="I171" s="8">
        <f t="shared" si="5"/>
        <v>0</v>
      </c>
      <c r="J171" s="8" t="str">
        <f>IF(OR(B171="",C171=""),"",IF(IFERROR(VLOOKUP(C171,RESOURCES!A:C,3,FALSE()),"")=IFERROR(VLOOKUP(B171,TASKS!A:K,4,FALSE()),""),"OK","MISMATCH"))</f>
        <v>OK</v>
      </c>
      <c r="K171" s="8" t="str">
        <f>IF(OR(B171="",D171=""),"",IF(AND(D171&gt;=IFERROR(VLOOKUP(B171,TASKS!A:K,6,FALSE()),0),D171&lt;=IFERROR(VLOOKUP(B171,TASKS!A:K,7,FALSE()),99999)),"OK","OUT OF RANGE"))</f>
        <v>OK</v>
      </c>
    </row>
    <row r="172" spans="1:11" ht="15" customHeight="1" x14ac:dyDescent="0.3">
      <c r="A172" s="5" t="s">
        <v>431</v>
      </c>
      <c r="B172" s="28" t="s">
        <v>218</v>
      </c>
      <c r="C172" s="28" t="s">
        <v>95</v>
      </c>
      <c r="D172" s="29">
        <v>46174</v>
      </c>
      <c r="E172" s="28">
        <v>7</v>
      </c>
      <c r="F172" s="28" t="s">
        <v>261</v>
      </c>
      <c r="G172" s="8">
        <f>IFERROR(VLOOKUP(B172,TASKS!A:K,8,FALSE()),"")</f>
        <v>112</v>
      </c>
      <c r="H172" s="8">
        <f t="shared" si="4"/>
        <v>112</v>
      </c>
      <c r="I172" s="8">
        <f t="shared" si="5"/>
        <v>0</v>
      </c>
      <c r="J172" s="8" t="str">
        <f>IF(OR(B172="",C172=""),"",IF(IFERROR(VLOOKUP(C172,RESOURCES!A:C,3,FALSE()),"")=IFERROR(VLOOKUP(B172,TASKS!A:K,4,FALSE()),""),"OK","MISMATCH"))</f>
        <v>OK</v>
      </c>
      <c r="K172" s="8" t="str">
        <f>IF(OR(B172="",D172=""),"",IF(AND(D172&gt;=IFERROR(VLOOKUP(B172,TASKS!A:K,6,FALSE()),0),D172&lt;=IFERROR(VLOOKUP(B172,TASKS!A:K,7,FALSE()),99999)),"OK","OUT OF RANGE"))</f>
        <v>OK</v>
      </c>
    </row>
    <row r="173" spans="1:11" ht="15" customHeight="1" x14ac:dyDescent="0.3">
      <c r="A173" s="5" t="s">
        <v>432</v>
      </c>
      <c r="B173" s="28" t="s">
        <v>218</v>
      </c>
      <c r="C173" s="28" t="s">
        <v>95</v>
      </c>
      <c r="D173" s="29">
        <v>46181</v>
      </c>
      <c r="E173" s="28">
        <v>7</v>
      </c>
      <c r="F173" s="28" t="s">
        <v>261</v>
      </c>
      <c r="G173" s="8">
        <f>IFERROR(VLOOKUP(B173,TASKS!A:K,8,FALSE()),"")</f>
        <v>112</v>
      </c>
      <c r="H173" s="8">
        <f t="shared" si="4"/>
        <v>112</v>
      </c>
      <c r="I173" s="8">
        <f t="shared" si="5"/>
        <v>0</v>
      </c>
      <c r="J173" s="8" t="str">
        <f>IF(OR(B173="",C173=""),"",IF(IFERROR(VLOOKUP(C173,RESOURCES!A:C,3,FALSE()),"")=IFERROR(VLOOKUP(B173,TASKS!A:K,4,FALSE()),""),"OK","MISMATCH"))</f>
        <v>OK</v>
      </c>
      <c r="K173" s="8" t="str">
        <f>IF(OR(B173="",D173=""),"",IF(AND(D173&gt;=IFERROR(VLOOKUP(B173,TASKS!A:K,6,FALSE()),0),D173&lt;=IFERROR(VLOOKUP(B173,TASKS!A:K,7,FALSE()),99999)),"OK","OUT OF RANGE"))</f>
        <v>OK</v>
      </c>
    </row>
    <row r="174" spans="1:11" ht="15" customHeight="1" x14ac:dyDescent="0.3">
      <c r="A174" s="5" t="s">
        <v>433</v>
      </c>
      <c r="B174" s="28" t="s">
        <v>221</v>
      </c>
      <c r="C174" s="28" t="s">
        <v>85</v>
      </c>
      <c r="D174" s="29">
        <v>46076</v>
      </c>
      <c r="E174" s="28">
        <v>2</v>
      </c>
      <c r="F174" s="28" t="s">
        <v>125</v>
      </c>
      <c r="G174" s="8">
        <f>IFERROR(VLOOKUP(B174,TASKS!A:K,8,FALSE()),"")</f>
        <v>32</v>
      </c>
      <c r="H174" s="8">
        <f t="shared" si="4"/>
        <v>32</v>
      </c>
      <c r="I174" s="8">
        <f t="shared" si="5"/>
        <v>0</v>
      </c>
      <c r="J174" s="8" t="str">
        <f>IF(OR(B174="",C174=""),"",IF(IFERROR(VLOOKUP(C174,RESOURCES!A:C,3,FALSE()),"")=IFERROR(VLOOKUP(B174,TASKS!A:K,4,FALSE()),""),"OK","MISMATCH"))</f>
        <v>OK</v>
      </c>
      <c r="K174" s="8" t="str">
        <f>IF(OR(B174="",D174=""),"",IF(AND(D174&gt;=IFERROR(VLOOKUP(B174,TASKS!A:K,6,FALSE()),0),D174&lt;=IFERROR(VLOOKUP(B174,TASKS!A:K,7,FALSE()),99999)),"OK","OUT OF RANGE"))</f>
        <v>OK</v>
      </c>
    </row>
    <row r="175" spans="1:11" ht="15" customHeight="1" x14ac:dyDescent="0.3">
      <c r="A175" s="5" t="s">
        <v>434</v>
      </c>
      <c r="B175" s="28" t="s">
        <v>221</v>
      </c>
      <c r="C175" s="28" t="s">
        <v>85</v>
      </c>
      <c r="D175" s="29">
        <v>46083</v>
      </c>
      <c r="E175" s="28">
        <v>2</v>
      </c>
      <c r="F175" s="28" t="s">
        <v>261</v>
      </c>
      <c r="G175" s="8">
        <f>IFERROR(VLOOKUP(B175,TASKS!A:K,8,FALSE()),"")</f>
        <v>32</v>
      </c>
      <c r="H175" s="8">
        <f t="shared" si="4"/>
        <v>32</v>
      </c>
      <c r="I175" s="8">
        <f t="shared" si="5"/>
        <v>0</v>
      </c>
      <c r="J175" s="8" t="str">
        <f>IF(OR(B175="",C175=""),"",IF(IFERROR(VLOOKUP(C175,RESOURCES!A:C,3,FALSE()),"")=IFERROR(VLOOKUP(B175,TASKS!A:K,4,FALSE()),""),"OK","MISMATCH"))</f>
        <v>OK</v>
      </c>
      <c r="K175" s="8" t="str">
        <f>IF(OR(B175="",D175=""),"",IF(AND(D175&gt;=IFERROR(VLOOKUP(B175,TASKS!A:K,6,FALSE()),0),D175&lt;=IFERROR(VLOOKUP(B175,TASKS!A:K,7,FALSE()),99999)),"OK","OUT OF RANGE"))</f>
        <v>OK</v>
      </c>
    </row>
    <row r="176" spans="1:11" ht="15" customHeight="1" x14ac:dyDescent="0.3">
      <c r="A176" s="5" t="s">
        <v>435</v>
      </c>
      <c r="B176" s="28" t="s">
        <v>221</v>
      </c>
      <c r="C176" s="28" t="s">
        <v>85</v>
      </c>
      <c r="D176" s="29">
        <v>46090</v>
      </c>
      <c r="E176" s="28">
        <v>2</v>
      </c>
      <c r="F176" s="28" t="s">
        <v>261</v>
      </c>
      <c r="G176" s="8">
        <f>IFERROR(VLOOKUP(B176,TASKS!A:K,8,FALSE()),"")</f>
        <v>32</v>
      </c>
      <c r="H176" s="8">
        <f t="shared" si="4"/>
        <v>32</v>
      </c>
      <c r="I176" s="8">
        <f t="shared" si="5"/>
        <v>0</v>
      </c>
      <c r="J176" s="8" t="str">
        <f>IF(OR(B176="",C176=""),"",IF(IFERROR(VLOOKUP(C176,RESOURCES!A:C,3,FALSE()),"")=IFERROR(VLOOKUP(B176,TASKS!A:K,4,FALSE()),""),"OK","MISMATCH"))</f>
        <v>OK</v>
      </c>
      <c r="K176" s="8" t="str">
        <f>IF(OR(B176="",D176=""),"",IF(AND(D176&gt;=IFERROR(VLOOKUP(B176,TASKS!A:K,6,FALSE()),0),D176&lt;=IFERROR(VLOOKUP(B176,TASKS!A:K,7,FALSE()),99999)),"OK","OUT OF RANGE"))</f>
        <v>OK</v>
      </c>
    </row>
    <row r="177" spans="1:11" ht="15" customHeight="1" x14ac:dyDescent="0.3">
      <c r="A177" s="5" t="s">
        <v>436</v>
      </c>
      <c r="B177" s="28" t="s">
        <v>221</v>
      </c>
      <c r="C177" s="28" t="s">
        <v>85</v>
      </c>
      <c r="D177" s="29">
        <v>46097</v>
      </c>
      <c r="E177" s="28">
        <v>2</v>
      </c>
      <c r="F177" s="28" t="s">
        <v>261</v>
      </c>
      <c r="G177" s="8">
        <f>IFERROR(VLOOKUP(B177,TASKS!A:K,8,FALSE()),"")</f>
        <v>32</v>
      </c>
      <c r="H177" s="8">
        <f t="shared" si="4"/>
        <v>32</v>
      </c>
      <c r="I177" s="8">
        <f t="shared" si="5"/>
        <v>0</v>
      </c>
      <c r="J177" s="8" t="str">
        <f>IF(OR(B177="",C177=""),"",IF(IFERROR(VLOOKUP(C177,RESOURCES!A:C,3,FALSE()),"")=IFERROR(VLOOKUP(B177,TASKS!A:K,4,FALSE()),""),"OK","MISMATCH"))</f>
        <v>OK</v>
      </c>
      <c r="K177" s="8" t="str">
        <f>IF(OR(B177="",D177=""),"",IF(AND(D177&gt;=IFERROR(VLOOKUP(B177,TASKS!A:K,6,FALSE()),0),D177&lt;=IFERROR(VLOOKUP(B177,TASKS!A:K,7,FALSE()),99999)),"OK","OUT OF RANGE"))</f>
        <v>OK</v>
      </c>
    </row>
    <row r="178" spans="1:11" ht="15" customHeight="1" x14ac:dyDescent="0.3">
      <c r="A178" s="5" t="s">
        <v>437</v>
      </c>
      <c r="B178" s="28" t="s">
        <v>221</v>
      </c>
      <c r="C178" s="28" t="s">
        <v>85</v>
      </c>
      <c r="D178" s="29">
        <v>46104</v>
      </c>
      <c r="E178" s="28">
        <v>2</v>
      </c>
      <c r="F178" s="28" t="s">
        <v>261</v>
      </c>
      <c r="G178" s="8">
        <f>IFERROR(VLOOKUP(B178,TASKS!A:K,8,FALSE()),"")</f>
        <v>32</v>
      </c>
      <c r="H178" s="8">
        <f t="shared" si="4"/>
        <v>32</v>
      </c>
      <c r="I178" s="8">
        <f t="shared" si="5"/>
        <v>0</v>
      </c>
      <c r="J178" s="8" t="str">
        <f>IF(OR(B178="",C178=""),"",IF(IFERROR(VLOOKUP(C178,RESOURCES!A:C,3,FALSE()),"")=IFERROR(VLOOKUP(B178,TASKS!A:K,4,FALSE()),""),"OK","MISMATCH"))</f>
        <v>OK</v>
      </c>
      <c r="K178" s="8" t="str">
        <f>IF(OR(B178="",D178=""),"",IF(AND(D178&gt;=IFERROR(VLOOKUP(B178,TASKS!A:K,6,FALSE()),0),D178&lt;=IFERROR(VLOOKUP(B178,TASKS!A:K,7,FALSE()),99999)),"OK","OUT OF RANGE"))</f>
        <v>OK</v>
      </c>
    </row>
    <row r="179" spans="1:11" ht="15" customHeight="1" x14ac:dyDescent="0.3">
      <c r="A179" s="5" t="s">
        <v>438</v>
      </c>
      <c r="B179" s="28" t="s">
        <v>221</v>
      </c>
      <c r="C179" s="28" t="s">
        <v>85</v>
      </c>
      <c r="D179" s="29">
        <v>46111</v>
      </c>
      <c r="E179" s="28">
        <v>2</v>
      </c>
      <c r="F179" s="28" t="s">
        <v>261</v>
      </c>
      <c r="G179" s="8">
        <f>IFERROR(VLOOKUP(B179,TASKS!A:K,8,FALSE()),"")</f>
        <v>32</v>
      </c>
      <c r="H179" s="8">
        <f t="shared" si="4"/>
        <v>32</v>
      </c>
      <c r="I179" s="8">
        <f t="shared" si="5"/>
        <v>0</v>
      </c>
      <c r="J179" s="8" t="str">
        <f>IF(OR(B179="",C179=""),"",IF(IFERROR(VLOOKUP(C179,RESOURCES!A:C,3,FALSE()),"")=IFERROR(VLOOKUP(B179,TASKS!A:K,4,FALSE()),""),"OK","MISMATCH"))</f>
        <v>OK</v>
      </c>
      <c r="K179" s="8" t="str">
        <f>IF(OR(B179="",D179=""),"",IF(AND(D179&gt;=IFERROR(VLOOKUP(B179,TASKS!A:K,6,FALSE()),0),D179&lt;=IFERROR(VLOOKUP(B179,TASKS!A:K,7,FALSE()),99999)),"OK","OUT OF RANGE"))</f>
        <v>OK</v>
      </c>
    </row>
    <row r="180" spans="1:11" ht="15" customHeight="1" x14ac:dyDescent="0.3">
      <c r="A180" s="5" t="s">
        <v>439</v>
      </c>
      <c r="B180" s="28" t="s">
        <v>221</v>
      </c>
      <c r="C180" s="28" t="s">
        <v>85</v>
      </c>
      <c r="D180" s="29">
        <v>46118</v>
      </c>
      <c r="E180" s="28">
        <v>2</v>
      </c>
      <c r="F180" s="28" t="s">
        <v>261</v>
      </c>
      <c r="G180" s="8">
        <f>IFERROR(VLOOKUP(B180,TASKS!A:K,8,FALSE()),"")</f>
        <v>32</v>
      </c>
      <c r="H180" s="8">
        <f t="shared" si="4"/>
        <v>32</v>
      </c>
      <c r="I180" s="8">
        <f t="shared" si="5"/>
        <v>0</v>
      </c>
      <c r="J180" s="8" t="str">
        <f>IF(OR(B180="",C180=""),"",IF(IFERROR(VLOOKUP(C180,RESOURCES!A:C,3,FALSE()),"")=IFERROR(VLOOKUP(B180,TASKS!A:K,4,FALSE()),""),"OK","MISMATCH"))</f>
        <v>OK</v>
      </c>
      <c r="K180" s="8" t="str">
        <f>IF(OR(B180="",D180=""),"",IF(AND(D180&gt;=IFERROR(VLOOKUP(B180,TASKS!A:K,6,FALSE()),0),D180&lt;=IFERROR(VLOOKUP(B180,TASKS!A:K,7,FALSE()),99999)),"OK","OUT OF RANGE"))</f>
        <v>OK</v>
      </c>
    </row>
    <row r="181" spans="1:11" ht="15" customHeight="1" x14ac:dyDescent="0.3">
      <c r="A181" s="5" t="s">
        <v>440</v>
      </c>
      <c r="B181" s="28" t="s">
        <v>221</v>
      </c>
      <c r="C181" s="28" t="s">
        <v>85</v>
      </c>
      <c r="D181" s="29">
        <v>46125</v>
      </c>
      <c r="E181" s="28">
        <v>2</v>
      </c>
      <c r="F181" s="28" t="s">
        <v>261</v>
      </c>
      <c r="G181" s="8">
        <f>IFERROR(VLOOKUP(B181,TASKS!A:K,8,FALSE()),"")</f>
        <v>32</v>
      </c>
      <c r="H181" s="8">
        <f t="shared" si="4"/>
        <v>32</v>
      </c>
      <c r="I181" s="8">
        <f t="shared" si="5"/>
        <v>0</v>
      </c>
      <c r="J181" s="8" t="str">
        <f>IF(OR(B181="",C181=""),"",IF(IFERROR(VLOOKUP(C181,RESOURCES!A:C,3,FALSE()),"")=IFERROR(VLOOKUP(B181,TASKS!A:K,4,FALSE()),""),"OK","MISMATCH"))</f>
        <v>OK</v>
      </c>
      <c r="K181" s="8" t="str">
        <f>IF(OR(B181="",D181=""),"",IF(AND(D181&gt;=IFERROR(VLOOKUP(B181,TASKS!A:K,6,FALSE()),0),D181&lt;=IFERROR(VLOOKUP(B181,TASKS!A:K,7,FALSE()),99999)),"OK","OUT OF RANGE"))</f>
        <v>OK</v>
      </c>
    </row>
    <row r="182" spans="1:11" ht="15" customHeight="1" x14ac:dyDescent="0.3">
      <c r="A182" s="5" t="s">
        <v>441</v>
      </c>
      <c r="B182" s="28" t="s">
        <v>221</v>
      </c>
      <c r="C182" s="28" t="s">
        <v>85</v>
      </c>
      <c r="D182" s="29">
        <v>46132</v>
      </c>
      <c r="E182" s="28">
        <v>2</v>
      </c>
      <c r="F182" s="28" t="s">
        <v>261</v>
      </c>
      <c r="G182" s="8">
        <f>IFERROR(VLOOKUP(B182,TASKS!A:K,8,FALSE()),"")</f>
        <v>32</v>
      </c>
      <c r="H182" s="8">
        <f t="shared" si="4"/>
        <v>32</v>
      </c>
      <c r="I182" s="8">
        <f t="shared" si="5"/>
        <v>0</v>
      </c>
      <c r="J182" s="8" t="str">
        <f>IF(OR(B182="",C182=""),"",IF(IFERROR(VLOOKUP(C182,RESOURCES!A:C,3,FALSE()),"")=IFERROR(VLOOKUP(B182,TASKS!A:K,4,FALSE()),""),"OK","MISMATCH"))</f>
        <v>OK</v>
      </c>
      <c r="K182" s="8" t="str">
        <f>IF(OR(B182="",D182=""),"",IF(AND(D182&gt;=IFERROR(VLOOKUP(B182,TASKS!A:K,6,FALSE()),0),D182&lt;=IFERROR(VLOOKUP(B182,TASKS!A:K,7,FALSE()),99999)),"OK","OUT OF RANGE"))</f>
        <v>OK</v>
      </c>
    </row>
    <row r="183" spans="1:11" ht="15" customHeight="1" x14ac:dyDescent="0.3">
      <c r="A183" s="5" t="s">
        <v>442</v>
      </c>
      <c r="B183" s="28" t="s">
        <v>221</v>
      </c>
      <c r="C183" s="28" t="s">
        <v>85</v>
      </c>
      <c r="D183" s="29">
        <v>46139</v>
      </c>
      <c r="E183" s="28">
        <v>2</v>
      </c>
      <c r="F183" s="28" t="s">
        <v>261</v>
      </c>
      <c r="G183" s="8">
        <f>IFERROR(VLOOKUP(B183,TASKS!A:K,8,FALSE()),"")</f>
        <v>32</v>
      </c>
      <c r="H183" s="8">
        <f t="shared" si="4"/>
        <v>32</v>
      </c>
      <c r="I183" s="8">
        <f t="shared" si="5"/>
        <v>0</v>
      </c>
      <c r="J183" s="8" t="str">
        <f>IF(OR(B183="",C183=""),"",IF(IFERROR(VLOOKUP(C183,RESOURCES!A:C,3,FALSE()),"")=IFERROR(VLOOKUP(B183,TASKS!A:K,4,FALSE()),""),"OK","MISMATCH"))</f>
        <v>OK</v>
      </c>
      <c r="K183" s="8" t="str">
        <f>IF(OR(B183="",D183=""),"",IF(AND(D183&gt;=IFERROR(VLOOKUP(B183,TASKS!A:K,6,FALSE()),0),D183&lt;=IFERROR(VLOOKUP(B183,TASKS!A:K,7,FALSE()),99999)),"OK","OUT OF RANGE"))</f>
        <v>OK</v>
      </c>
    </row>
    <row r="184" spans="1:11" ht="15" customHeight="1" x14ac:dyDescent="0.3">
      <c r="A184" s="5" t="s">
        <v>443</v>
      </c>
      <c r="B184" s="28" t="s">
        <v>221</v>
      </c>
      <c r="C184" s="28" t="s">
        <v>85</v>
      </c>
      <c r="D184" s="29">
        <v>46146</v>
      </c>
      <c r="E184" s="28">
        <v>2</v>
      </c>
      <c r="F184" s="28" t="s">
        <v>261</v>
      </c>
      <c r="G184" s="8">
        <f>IFERROR(VLOOKUP(B184,TASKS!A:K,8,FALSE()),"")</f>
        <v>32</v>
      </c>
      <c r="H184" s="8">
        <f t="shared" si="4"/>
        <v>32</v>
      </c>
      <c r="I184" s="8">
        <f t="shared" si="5"/>
        <v>0</v>
      </c>
      <c r="J184" s="8" t="str">
        <f>IF(OR(B184="",C184=""),"",IF(IFERROR(VLOOKUP(C184,RESOURCES!A:C,3,FALSE()),"")=IFERROR(VLOOKUP(B184,TASKS!A:K,4,FALSE()),""),"OK","MISMATCH"))</f>
        <v>OK</v>
      </c>
      <c r="K184" s="8" t="str">
        <f>IF(OR(B184="",D184=""),"",IF(AND(D184&gt;=IFERROR(VLOOKUP(B184,TASKS!A:K,6,FALSE()),0),D184&lt;=IFERROR(VLOOKUP(B184,TASKS!A:K,7,FALSE()),99999)),"OK","OUT OF RANGE"))</f>
        <v>OK</v>
      </c>
    </row>
    <row r="185" spans="1:11" ht="15" customHeight="1" x14ac:dyDescent="0.3">
      <c r="A185" s="5" t="s">
        <v>444</v>
      </c>
      <c r="B185" s="28" t="s">
        <v>221</v>
      </c>
      <c r="C185" s="28" t="s">
        <v>85</v>
      </c>
      <c r="D185" s="29">
        <v>46153</v>
      </c>
      <c r="E185" s="28">
        <v>2</v>
      </c>
      <c r="F185" s="28" t="s">
        <v>261</v>
      </c>
      <c r="G185" s="8">
        <f>IFERROR(VLOOKUP(B185,TASKS!A:K,8,FALSE()),"")</f>
        <v>32</v>
      </c>
      <c r="H185" s="8">
        <f t="shared" si="4"/>
        <v>32</v>
      </c>
      <c r="I185" s="8">
        <f t="shared" si="5"/>
        <v>0</v>
      </c>
      <c r="J185" s="8" t="str">
        <f>IF(OR(B185="",C185=""),"",IF(IFERROR(VLOOKUP(C185,RESOURCES!A:C,3,FALSE()),"")=IFERROR(VLOOKUP(B185,TASKS!A:K,4,FALSE()),""),"OK","MISMATCH"))</f>
        <v>OK</v>
      </c>
      <c r="K185" s="8" t="str">
        <f>IF(OR(B185="",D185=""),"",IF(AND(D185&gt;=IFERROR(VLOOKUP(B185,TASKS!A:K,6,FALSE()),0),D185&lt;=IFERROR(VLOOKUP(B185,TASKS!A:K,7,FALSE()),99999)),"OK","OUT OF RANGE"))</f>
        <v>OK</v>
      </c>
    </row>
    <row r="186" spans="1:11" ht="15" customHeight="1" x14ac:dyDescent="0.3">
      <c r="A186" s="5" t="s">
        <v>445</v>
      </c>
      <c r="B186" s="28" t="s">
        <v>221</v>
      </c>
      <c r="C186" s="28" t="s">
        <v>85</v>
      </c>
      <c r="D186" s="29">
        <v>46160</v>
      </c>
      <c r="E186" s="28">
        <v>2</v>
      </c>
      <c r="F186" s="28" t="s">
        <v>261</v>
      </c>
      <c r="G186" s="8">
        <f>IFERROR(VLOOKUP(B186,TASKS!A:K,8,FALSE()),"")</f>
        <v>32</v>
      </c>
      <c r="H186" s="8">
        <f t="shared" si="4"/>
        <v>32</v>
      </c>
      <c r="I186" s="8">
        <f t="shared" si="5"/>
        <v>0</v>
      </c>
      <c r="J186" s="8" t="str">
        <f>IF(OR(B186="",C186=""),"",IF(IFERROR(VLOOKUP(C186,RESOURCES!A:C,3,FALSE()),"")=IFERROR(VLOOKUP(B186,TASKS!A:K,4,FALSE()),""),"OK","MISMATCH"))</f>
        <v>OK</v>
      </c>
      <c r="K186" s="8" t="str">
        <f>IF(OR(B186="",D186=""),"",IF(AND(D186&gt;=IFERROR(VLOOKUP(B186,TASKS!A:K,6,FALSE()),0),D186&lt;=IFERROR(VLOOKUP(B186,TASKS!A:K,7,FALSE()),99999)),"OK","OUT OF RANGE"))</f>
        <v>OK</v>
      </c>
    </row>
    <row r="187" spans="1:11" ht="15" customHeight="1" x14ac:dyDescent="0.3">
      <c r="A187" s="5" t="s">
        <v>446</v>
      </c>
      <c r="B187" s="28" t="s">
        <v>221</v>
      </c>
      <c r="C187" s="28" t="s">
        <v>85</v>
      </c>
      <c r="D187" s="29">
        <v>46167</v>
      </c>
      <c r="E187" s="28">
        <v>2</v>
      </c>
      <c r="F187" s="28" t="s">
        <v>261</v>
      </c>
      <c r="G187" s="8">
        <f>IFERROR(VLOOKUP(B187,TASKS!A:K,8,FALSE()),"")</f>
        <v>32</v>
      </c>
      <c r="H187" s="8">
        <f t="shared" si="4"/>
        <v>32</v>
      </c>
      <c r="I187" s="8">
        <f t="shared" si="5"/>
        <v>0</v>
      </c>
      <c r="J187" s="8" t="str">
        <f>IF(OR(B187="",C187=""),"",IF(IFERROR(VLOOKUP(C187,RESOURCES!A:C,3,FALSE()),"")=IFERROR(VLOOKUP(B187,TASKS!A:K,4,FALSE()),""),"OK","MISMATCH"))</f>
        <v>OK</v>
      </c>
      <c r="K187" s="8" t="str">
        <f>IF(OR(B187="",D187=""),"",IF(AND(D187&gt;=IFERROR(VLOOKUP(B187,TASKS!A:K,6,FALSE()),0),D187&lt;=IFERROR(VLOOKUP(B187,TASKS!A:K,7,FALSE()),99999)),"OK","OUT OF RANGE"))</f>
        <v>OK</v>
      </c>
    </row>
    <row r="188" spans="1:11" ht="15" customHeight="1" x14ac:dyDescent="0.3">
      <c r="A188" s="5" t="s">
        <v>447</v>
      </c>
      <c r="B188" s="28" t="s">
        <v>221</v>
      </c>
      <c r="C188" s="28" t="s">
        <v>85</v>
      </c>
      <c r="D188" s="29">
        <v>46174</v>
      </c>
      <c r="E188" s="28">
        <v>2</v>
      </c>
      <c r="F188" s="28" t="s">
        <v>261</v>
      </c>
      <c r="G188" s="8">
        <f>IFERROR(VLOOKUP(B188,TASKS!A:K,8,FALSE()),"")</f>
        <v>32</v>
      </c>
      <c r="H188" s="8">
        <f t="shared" si="4"/>
        <v>32</v>
      </c>
      <c r="I188" s="8">
        <f t="shared" si="5"/>
        <v>0</v>
      </c>
      <c r="J188" s="8" t="str">
        <f>IF(OR(B188="",C188=""),"",IF(IFERROR(VLOOKUP(C188,RESOURCES!A:C,3,FALSE()),"")=IFERROR(VLOOKUP(B188,TASKS!A:K,4,FALSE()),""),"OK","MISMATCH"))</f>
        <v>OK</v>
      </c>
      <c r="K188" s="8" t="str">
        <f>IF(OR(B188="",D188=""),"",IF(AND(D188&gt;=IFERROR(VLOOKUP(B188,TASKS!A:K,6,FALSE()),0),D188&lt;=IFERROR(VLOOKUP(B188,TASKS!A:K,7,FALSE()),99999)),"OK","OUT OF RANGE"))</f>
        <v>OK</v>
      </c>
    </row>
    <row r="189" spans="1:11" ht="15" customHeight="1" x14ac:dyDescent="0.3">
      <c r="A189" s="5" t="s">
        <v>448</v>
      </c>
      <c r="B189" s="28" t="s">
        <v>221</v>
      </c>
      <c r="C189" s="28" t="s">
        <v>85</v>
      </c>
      <c r="D189" s="29">
        <v>46181</v>
      </c>
      <c r="E189" s="28">
        <v>2</v>
      </c>
      <c r="F189" s="28" t="s">
        <v>261</v>
      </c>
      <c r="G189" s="8">
        <f>IFERROR(VLOOKUP(B189,TASKS!A:K,8,FALSE()),"")</f>
        <v>32</v>
      </c>
      <c r="H189" s="8">
        <f t="shared" si="4"/>
        <v>32</v>
      </c>
      <c r="I189" s="8">
        <f t="shared" si="5"/>
        <v>0</v>
      </c>
      <c r="J189" s="8" t="str">
        <f>IF(OR(B189="",C189=""),"",IF(IFERROR(VLOOKUP(C189,RESOURCES!A:C,3,FALSE()),"")=IFERROR(VLOOKUP(B189,TASKS!A:K,4,FALSE()),""),"OK","MISMATCH"))</f>
        <v>OK</v>
      </c>
      <c r="K189" s="8" t="str">
        <f>IF(OR(B189="",D189=""),"",IF(AND(D189&gt;=IFERROR(VLOOKUP(B189,TASKS!A:K,6,FALSE()),0),D189&lt;=IFERROR(VLOOKUP(B189,TASKS!A:K,7,FALSE()),99999)),"OK","OUT OF RANGE"))</f>
        <v>OK</v>
      </c>
    </row>
    <row r="190" spans="1:11" ht="15" customHeight="1" x14ac:dyDescent="0.3">
      <c r="A190" s="5" t="s">
        <v>449</v>
      </c>
      <c r="B190" s="28" t="s">
        <v>225</v>
      </c>
      <c r="C190" s="28" t="s">
        <v>74</v>
      </c>
      <c r="D190" s="29">
        <v>46083</v>
      </c>
      <c r="E190" s="28">
        <v>3</v>
      </c>
      <c r="F190" s="28" t="s">
        <v>261</v>
      </c>
      <c r="G190" s="8">
        <f>IFERROR(VLOOKUP(B190,TASKS!A:K,8,FALSE()),"")</f>
        <v>6</v>
      </c>
      <c r="H190" s="8">
        <f t="shared" si="4"/>
        <v>6</v>
      </c>
      <c r="I190" s="8">
        <f t="shared" si="5"/>
        <v>0</v>
      </c>
      <c r="J190" s="8" t="str">
        <f>IF(OR(B190="",C190=""),"",IF(IFERROR(VLOOKUP(C190,RESOURCES!A:C,3,FALSE()),"")=IFERROR(VLOOKUP(B190,TASKS!A:K,4,FALSE()),""),"OK","MISMATCH"))</f>
        <v>OK</v>
      </c>
      <c r="K190" s="8" t="str">
        <f>IF(OR(B190="",D190=""),"",IF(AND(D190&gt;=IFERROR(VLOOKUP(B190,TASKS!A:K,6,FALSE()),0),D190&lt;=IFERROR(VLOOKUP(B190,TASKS!A:K,7,FALSE()),99999)),"OK","OUT OF RANGE"))</f>
        <v>OK</v>
      </c>
    </row>
    <row r="191" spans="1:11" ht="15" customHeight="1" x14ac:dyDescent="0.3">
      <c r="A191" s="5" t="s">
        <v>450</v>
      </c>
      <c r="B191" s="28" t="s">
        <v>225</v>
      </c>
      <c r="C191" s="28" t="s">
        <v>74</v>
      </c>
      <c r="D191" s="29">
        <v>46090</v>
      </c>
      <c r="E191" s="28">
        <v>3</v>
      </c>
      <c r="F191" s="28" t="s">
        <v>261</v>
      </c>
      <c r="G191" s="8">
        <f>IFERROR(VLOOKUP(B191,TASKS!A:K,8,FALSE()),"")</f>
        <v>6</v>
      </c>
      <c r="H191" s="8">
        <f t="shared" si="4"/>
        <v>6</v>
      </c>
      <c r="I191" s="8">
        <f t="shared" si="5"/>
        <v>0</v>
      </c>
      <c r="J191" s="8" t="str">
        <f>IF(OR(B191="",C191=""),"",IF(IFERROR(VLOOKUP(C191,RESOURCES!A:C,3,FALSE()),"")=IFERROR(VLOOKUP(B191,TASKS!A:K,4,FALSE()),""),"OK","MISMATCH"))</f>
        <v>OK</v>
      </c>
      <c r="K191" s="8" t="str">
        <f>IF(OR(B191="",D191=""),"",IF(AND(D191&gt;=IFERROR(VLOOKUP(B191,TASKS!A:K,6,FALSE()),0),D191&lt;=IFERROR(VLOOKUP(B191,TASKS!A:K,7,FALSE()),99999)),"OK","OUT OF RANGE"))</f>
        <v>OK</v>
      </c>
    </row>
    <row r="192" spans="1:11" ht="15" customHeight="1" x14ac:dyDescent="0.3">
      <c r="A192" s="5" t="s">
        <v>451</v>
      </c>
      <c r="B192" s="28" t="s">
        <v>229</v>
      </c>
      <c r="C192" s="28" t="s">
        <v>74</v>
      </c>
      <c r="D192" s="29">
        <v>46097</v>
      </c>
      <c r="E192" s="28">
        <v>2.5</v>
      </c>
      <c r="F192" s="28" t="s">
        <v>261</v>
      </c>
      <c r="G192" s="8">
        <f>IFERROR(VLOOKUP(B192,TASKS!A:K,8,FALSE()),"")</f>
        <v>5</v>
      </c>
      <c r="H192" s="8">
        <f t="shared" si="4"/>
        <v>5</v>
      </c>
      <c r="I192" s="8">
        <f t="shared" si="5"/>
        <v>0</v>
      </c>
      <c r="J192" s="8" t="str">
        <f>IF(OR(B192="",C192=""),"",IF(IFERROR(VLOOKUP(C192,RESOURCES!A:C,3,FALSE()),"")=IFERROR(VLOOKUP(B192,TASKS!A:K,4,FALSE()),""),"OK","MISMATCH"))</f>
        <v>OK</v>
      </c>
      <c r="K192" s="8" t="str">
        <f>IF(OR(B192="",D192=""),"",IF(AND(D192&gt;=IFERROR(VLOOKUP(B192,TASKS!A:K,6,FALSE()),0),D192&lt;=IFERROR(VLOOKUP(B192,TASKS!A:K,7,FALSE()),99999)),"OK","OUT OF RANGE"))</f>
        <v>OK</v>
      </c>
    </row>
    <row r="193" spans="1:11" ht="15" customHeight="1" x14ac:dyDescent="0.3">
      <c r="A193" s="5" t="s">
        <v>452</v>
      </c>
      <c r="B193" s="28" t="s">
        <v>229</v>
      </c>
      <c r="C193" s="28" t="s">
        <v>74</v>
      </c>
      <c r="D193" s="29">
        <v>46104</v>
      </c>
      <c r="E193" s="28">
        <v>2.5</v>
      </c>
      <c r="F193" s="28" t="s">
        <v>261</v>
      </c>
      <c r="G193" s="8">
        <f>IFERROR(VLOOKUP(B193,TASKS!A:K,8,FALSE()),"")</f>
        <v>5</v>
      </c>
      <c r="H193" s="8">
        <f t="shared" si="4"/>
        <v>5</v>
      </c>
      <c r="I193" s="8">
        <f t="shared" si="5"/>
        <v>0</v>
      </c>
      <c r="J193" s="8" t="str">
        <f>IF(OR(B193="",C193=""),"",IF(IFERROR(VLOOKUP(C193,RESOURCES!A:C,3,FALSE()),"")=IFERROR(VLOOKUP(B193,TASKS!A:K,4,FALSE()),""),"OK","MISMATCH"))</f>
        <v>OK</v>
      </c>
      <c r="K193" s="8" t="str">
        <f>IF(OR(B193="",D193=""),"",IF(AND(D193&gt;=IFERROR(VLOOKUP(B193,TASKS!A:K,6,FALSE()),0),D193&lt;=IFERROR(VLOOKUP(B193,TASKS!A:K,7,FALSE()),99999)),"OK","OUT OF RANGE"))</f>
        <v>OK</v>
      </c>
    </row>
    <row r="194" spans="1:11" ht="15" customHeight="1" x14ac:dyDescent="0.3">
      <c r="A194" s="5" t="s">
        <v>453</v>
      </c>
      <c r="B194" s="28" t="s">
        <v>232</v>
      </c>
      <c r="C194" s="28" t="s">
        <v>74</v>
      </c>
      <c r="D194" s="29">
        <v>46111</v>
      </c>
      <c r="E194" s="28">
        <v>2.7</v>
      </c>
      <c r="F194" s="28" t="s">
        <v>261</v>
      </c>
      <c r="G194" s="8">
        <f>IFERROR(VLOOKUP(B194,TASKS!A:K,8,FALSE()),"")</f>
        <v>8</v>
      </c>
      <c r="H194" s="8">
        <f t="shared" ref="H194:H214" si="6">IFERROR(SUMIF(B$2:B$214,B194,E$2:E$214),"")</f>
        <v>8</v>
      </c>
      <c r="I194" s="8">
        <f t="shared" ref="I194:I257" si="7">IFERROR(G194-H194,"")</f>
        <v>0</v>
      </c>
      <c r="J194" s="8" t="str">
        <f>IF(OR(B194="",C194=""),"",IF(IFERROR(VLOOKUP(C194,RESOURCES!A:C,3,FALSE()),"")=IFERROR(VLOOKUP(B194,TASKS!A:K,4,FALSE()),""),"OK","MISMATCH"))</f>
        <v>OK</v>
      </c>
      <c r="K194" s="8" t="str">
        <f>IF(OR(B194="",D194=""),"",IF(AND(D194&gt;=IFERROR(VLOOKUP(B194,TASKS!A:K,6,FALSE()),0),D194&lt;=IFERROR(VLOOKUP(B194,TASKS!A:K,7,FALSE()),99999)),"OK","OUT OF RANGE"))</f>
        <v>OK</v>
      </c>
    </row>
    <row r="195" spans="1:11" ht="15" customHeight="1" x14ac:dyDescent="0.3">
      <c r="A195" s="5" t="s">
        <v>454</v>
      </c>
      <c r="B195" s="28" t="s">
        <v>232</v>
      </c>
      <c r="C195" s="28" t="s">
        <v>74</v>
      </c>
      <c r="D195" s="29">
        <v>46118</v>
      </c>
      <c r="E195" s="28">
        <v>2.7</v>
      </c>
      <c r="F195" s="28" t="s">
        <v>261</v>
      </c>
      <c r="G195" s="8">
        <f>IFERROR(VLOOKUP(B195,TASKS!A:K,8,FALSE()),"")</f>
        <v>8</v>
      </c>
      <c r="H195" s="8">
        <f t="shared" si="6"/>
        <v>8</v>
      </c>
      <c r="I195" s="8">
        <f t="shared" si="7"/>
        <v>0</v>
      </c>
      <c r="J195" s="8" t="str">
        <f>IF(OR(B195="",C195=""),"",IF(IFERROR(VLOOKUP(C195,RESOURCES!A:C,3,FALSE()),"")=IFERROR(VLOOKUP(B195,TASKS!A:K,4,FALSE()),""),"OK","MISMATCH"))</f>
        <v>OK</v>
      </c>
      <c r="K195" s="8" t="str">
        <f>IF(OR(B195="",D195=""),"",IF(AND(D195&gt;=IFERROR(VLOOKUP(B195,TASKS!A:K,6,FALSE()),0),D195&lt;=IFERROR(VLOOKUP(B195,TASKS!A:K,7,FALSE()),99999)),"OK","OUT OF RANGE"))</f>
        <v>OK</v>
      </c>
    </row>
    <row r="196" spans="1:11" ht="15" customHeight="1" x14ac:dyDescent="0.3">
      <c r="A196" s="5" t="s">
        <v>455</v>
      </c>
      <c r="B196" s="28" t="s">
        <v>232</v>
      </c>
      <c r="C196" s="28" t="s">
        <v>74</v>
      </c>
      <c r="D196" s="29">
        <v>46125</v>
      </c>
      <c r="E196" s="28">
        <v>2.6</v>
      </c>
      <c r="F196" s="28" t="s">
        <v>261</v>
      </c>
      <c r="G196" s="8">
        <f>IFERROR(VLOOKUP(B196,TASKS!A:K,8,FALSE()),"")</f>
        <v>8</v>
      </c>
      <c r="H196" s="8">
        <f t="shared" si="6"/>
        <v>8</v>
      </c>
      <c r="I196" s="8">
        <f t="shared" si="7"/>
        <v>0</v>
      </c>
      <c r="J196" s="8" t="str">
        <f>IF(OR(B196="",C196=""),"",IF(IFERROR(VLOOKUP(C196,RESOURCES!A:C,3,FALSE()),"")=IFERROR(VLOOKUP(B196,TASKS!A:K,4,FALSE()),""),"OK","MISMATCH"))</f>
        <v>OK</v>
      </c>
      <c r="K196" s="8" t="str">
        <f>IF(OR(B196="",D196=""),"",IF(AND(D196&gt;=IFERROR(VLOOKUP(B196,TASKS!A:K,6,FALSE()),0),D196&lt;=IFERROR(VLOOKUP(B196,TASKS!A:K,7,FALSE()),99999)),"OK","OUT OF RANGE"))</f>
        <v>OK</v>
      </c>
    </row>
    <row r="197" spans="1:11" ht="15" customHeight="1" x14ac:dyDescent="0.3">
      <c r="A197" s="5" t="s">
        <v>456</v>
      </c>
      <c r="B197" s="28" t="s">
        <v>235</v>
      </c>
      <c r="C197" s="28" t="s">
        <v>74</v>
      </c>
      <c r="D197" s="29">
        <v>46097</v>
      </c>
      <c r="E197" s="28">
        <v>2.5</v>
      </c>
      <c r="F197" s="28" t="s">
        <v>261</v>
      </c>
      <c r="G197" s="8">
        <f>IFERROR(VLOOKUP(B197,TASKS!A:K,8,FALSE()),"")</f>
        <v>5</v>
      </c>
      <c r="H197" s="8">
        <f t="shared" si="6"/>
        <v>5</v>
      </c>
      <c r="I197" s="8">
        <f t="shared" si="7"/>
        <v>0</v>
      </c>
      <c r="J197" s="8" t="str">
        <f>IF(OR(B197="",C197=""),"",IF(IFERROR(VLOOKUP(C197,RESOURCES!A:C,3,FALSE()),"")=IFERROR(VLOOKUP(B197,TASKS!A:K,4,FALSE()),""),"OK","MISMATCH"))</f>
        <v>OK</v>
      </c>
      <c r="K197" s="8" t="str">
        <f>IF(OR(B197="",D197=""),"",IF(AND(D197&gt;=IFERROR(VLOOKUP(B197,TASKS!A:K,6,FALSE()),0),D197&lt;=IFERROR(VLOOKUP(B197,TASKS!A:K,7,FALSE()),99999)),"OK","OUT OF RANGE"))</f>
        <v>OK</v>
      </c>
    </row>
    <row r="198" spans="1:11" ht="15" customHeight="1" x14ac:dyDescent="0.3">
      <c r="A198" s="5" t="s">
        <v>457</v>
      </c>
      <c r="B198" s="28" t="s">
        <v>235</v>
      </c>
      <c r="C198" s="28" t="s">
        <v>74</v>
      </c>
      <c r="D198" s="29">
        <v>46104</v>
      </c>
      <c r="E198" s="28">
        <v>2.5</v>
      </c>
      <c r="F198" s="28" t="s">
        <v>261</v>
      </c>
      <c r="G198" s="8">
        <f>IFERROR(VLOOKUP(B198,TASKS!A:K,8,FALSE()),"")</f>
        <v>5</v>
      </c>
      <c r="H198" s="8">
        <f t="shared" si="6"/>
        <v>5</v>
      </c>
      <c r="I198" s="8">
        <f t="shared" si="7"/>
        <v>0</v>
      </c>
      <c r="J198" s="8" t="str">
        <f>IF(OR(B198="",C198=""),"",IF(IFERROR(VLOOKUP(C198,RESOURCES!A:C,3,FALSE()),"")=IFERROR(VLOOKUP(B198,TASKS!A:K,4,FALSE()),""),"OK","MISMATCH"))</f>
        <v>OK</v>
      </c>
      <c r="K198" s="8" t="str">
        <f>IF(OR(B198="",D198=""),"",IF(AND(D198&gt;=IFERROR(VLOOKUP(B198,TASKS!A:K,6,FALSE()),0),D198&lt;=IFERROR(VLOOKUP(B198,TASKS!A:K,7,FALSE()),99999)),"OK","OUT OF RANGE"))</f>
        <v>OK</v>
      </c>
    </row>
    <row r="199" spans="1:11" ht="15" customHeight="1" x14ac:dyDescent="0.3">
      <c r="A199" s="5" t="s">
        <v>458</v>
      </c>
      <c r="B199" s="28" t="s">
        <v>239</v>
      </c>
      <c r="C199" s="28" t="s">
        <v>85</v>
      </c>
      <c r="D199" s="29">
        <v>46111</v>
      </c>
      <c r="E199" s="28">
        <v>2.7</v>
      </c>
      <c r="F199" s="28" t="s">
        <v>261</v>
      </c>
      <c r="G199" s="8">
        <f>IFERROR(VLOOKUP(B199,TASKS!A:K,8,FALSE()),"")</f>
        <v>8</v>
      </c>
      <c r="H199" s="8">
        <f t="shared" si="6"/>
        <v>8</v>
      </c>
      <c r="I199" s="8">
        <f t="shared" si="7"/>
        <v>0</v>
      </c>
      <c r="J199" s="8" t="str">
        <f>IF(OR(B199="",C199=""),"",IF(IFERROR(VLOOKUP(C199,RESOURCES!A:C,3,FALSE()),"")=IFERROR(VLOOKUP(B199,TASKS!A:K,4,FALSE()),""),"OK","MISMATCH"))</f>
        <v>OK</v>
      </c>
      <c r="K199" s="8" t="str">
        <f>IF(OR(B199="",D199=""),"",IF(AND(D199&gt;=IFERROR(VLOOKUP(B199,TASKS!A:K,6,FALSE()),0),D199&lt;=IFERROR(VLOOKUP(B199,TASKS!A:K,7,FALSE()),99999)),"OK","OUT OF RANGE"))</f>
        <v>OK</v>
      </c>
    </row>
    <row r="200" spans="1:11" ht="15" customHeight="1" x14ac:dyDescent="0.3">
      <c r="A200" s="5" t="s">
        <v>459</v>
      </c>
      <c r="B200" s="28" t="s">
        <v>239</v>
      </c>
      <c r="C200" s="28" t="s">
        <v>85</v>
      </c>
      <c r="D200" s="29">
        <v>46118</v>
      </c>
      <c r="E200" s="28">
        <v>2.7</v>
      </c>
      <c r="F200" s="28" t="s">
        <v>261</v>
      </c>
      <c r="G200" s="8">
        <f>IFERROR(VLOOKUP(B200,TASKS!A:K,8,FALSE()),"")</f>
        <v>8</v>
      </c>
      <c r="H200" s="8">
        <f t="shared" si="6"/>
        <v>8</v>
      </c>
      <c r="I200" s="8">
        <f t="shared" si="7"/>
        <v>0</v>
      </c>
      <c r="J200" s="8" t="str">
        <f>IF(OR(B200="",C200=""),"",IF(IFERROR(VLOOKUP(C200,RESOURCES!A:C,3,FALSE()),"")=IFERROR(VLOOKUP(B200,TASKS!A:K,4,FALSE()),""),"OK","MISMATCH"))</f>
        <v>OK</v>
      </c>
      <c r="K200" s="8" t="str">
        <f>IF(OR(B200="",D200=""),"",IF(AND(D200&gt;=IFERROR(VLOOKUP(B200,TASKS!A:K,6,FALSE()),0),D200&lt;=IFERROR(VLOOKUP(B200,TASKS!A:K,7,FALSE()),99999)),"OK","OUT OF RANGE"))</f>
        <v>OK</v>
      </c>
    </row>
    <row r="201" spans="1:11" ht="15" customHeight="1" x14ac:dyDescent="0.3">
      <c r="A201" s="5" t="s">
        <v>460</v>
      </c>
      <c r="B201" s="28" t="s">
        <v>239</v>
      </c>
      <c r="C201" s="28" t="s">
        <v>85</v>
      </c>
      <c r="D201" s="29">
        <v>46125</v>
      </c>
      <c r="E201" s="28">
        <v>2.6</v>
      </c>
      <c r="F201" s="28" t="s">
        <v>261</v>
      </c>
      <c r="G201" s="8">
        <f>IFERROR(VLOOKUP(B201,TASKS!A:K,8,FALSE()),"")</f>
        <v>8</v>
      </c>
      <c r="H201" s="8">
        <f t="shared" si="6"/>
        <v>8</v>
      </c>
      <c r="I201" s="8">
        <f t="shared" si="7"/>
        <v>0</v>
      </c>
      <c r="J201" s="8" t="str">
        <f>IF(OR(B201="",C201=""),"",IF(IFERROR(VLOOKUP(C201,RESOURCES!A:C,3,FALSE()),"")=IFERROR(VLOOKUP(B201,TASKS!A:K,4,FALSE()),""),"OK","MISMATCH"))</f>
        <v>OK</v>
      </c>
      <c r="K201" s="8" t="str">
        <f>IF(OR(B201="",D201=""),"",IF(AND(D201&gt;=IFERROR(VLOOKUP(B201,TASKS!A:K,6,FALSE()),0),D201&lt;=IFERROR(VLOOKUP(B201,TASKS!A:K,7,FALSE()),99999)),"OK","OUT OF RANGE"))</f>
        <v>OK</v>
      </c>
    </row>
    <row r="202" spans="1:11" ht="15" customHeight="1" x14ac:dyDescent="0.3">
      <c r="A202" s="5" t="s">
        <v>461</v>
      </c>
      <c r="B202" s="28" t="s">
        <v>243</v>
      </c>
      <c r="C202" s="28" t="s">
        <v>79</v>
      </c>
      <c r="D202" s="29">
        <v>46118</v>
      </c>
      <c r="E202" s="28">
        <v>1.5</v>
      </c>
      <c r="F202" s="28" t="s">
        <v>261</v>
      </c>
      <c r="G202" s="8">
        <f>IFERROR(VLOOKUP(B202,TASKS!A:K,8,FALSE()),"")</f>
        <v>6</v>
      </c>
      <c r="H202" s="8">
        <f t="shared" si="6"/>
        <v>6</v>
      </c>
      <c r="I202" s="8">
        <f t="shared" si="7"/>
        <v>0</v>
      </c>
      <c r="J202" s="8" t="str">
        <f>IF(OR(B202="",C202=""),"",IF(IFERROR(VLOOKUP(C202,RESOURCES!A:C,3,FALSE()),"")=IFERROR(VLOOKUP(B202,TASKS!A:K,4,FALSE()),""),"OK","MISMATCH"))</f>
        <v>OK</v>
      </c>
      <c r="K202" s="8" t="str">
        <f>IF(OR(B202="",D202=""),"",IF(AND(D202&gt;=IFERROR(VLOOKUP(B202,TASKS!A:K,6,FALSE()),0),D202&lt;=IFERROR(VLOOKUP(B202,TASKS!A:K,7,FALSE()),99999)),"OK","OUT OF RANGE"))</f>
        <v>OK</v>
      </c>
    </row>
    <row r="203" spans="1:11" ht="15" customHeight="1" x14ac:dyDescent="0.3">
      <c r="A203" s="5" t="s">
        <v>462</v>
      </c>
      <c r="B203" s="28" t="s">
        <v>243</v>
      </c>
      <c r="C203" s="28" t="s">
        <v>79</v>
      </c>
      <c r="D203" s="29">
        <v>46125</v>
      </c>
      <c r="E203" s="28">
        <v>1.5</v>
      </c>
      <c r="F203" s="28" t="s">
        <v>261</v>
      </c>
      <c r="G203" s="8">
        <f>IFERROR(VLOOKUP(B203,TASKS!A:K,8,FALSE()),"")</f>
        <v>6</v>
      </c>
      <c r="H203" s="8">
        <f t="shared" si="6"/>
        <v>6</v>
      </c>
      <c r="I203" s="8">
        <f t="shared" si="7"/>
        <v>0</v>
      </c>
      <c r="J203" s="8" t="str">
        <f>IF(OR(B203="",C203=""),"",IF(IFERROR(VLOOKUP(C203,RESOURCES!A:C,3,FALSE()),"")=IFERROR(VLOOKUP(B203,TASKS!A:K,4,FALSE()),""),"OK","MISMATCH"))</f>
        <v>OK</v>
      </c>
      <c r="K203" s="8" t="str">
        <f>IF(OR(B203="",D203=""),"",IF(AND(D203&gt;=IFERROR(VLOOKUP(B203,TASKS!A:K,6,FALSE()),0),D203&lt;=IFERROR(VLOOKUP(B203,TASKS!A:K,7,FALSE()),99999)),"OK","OUT OF RANGE"))</f>
        <v>OK</v>
      </c>
    </row>
    <row r="204" spans="1:11" ht="15" customHeight="1" x14ac:dyDescent="0.3">
      <c r="A204" s="5" t="s">
        <v>463</v>
      </c>
      <c r="B204" s="28" t="s">
        <v>243</v>
      </c>
      <c r="C204" s="28" t="s">
        <v>79</v>
      </c>
      <c r="D204" s="29">
        <v>46132</v>
      </c>
      <c r="E204" s="28">
        <v>1.5</v>
      </c>
      <c r="F204" s="28" t="s">
        <v>261</v>
      </c>
      <c r="G204" s="8">
        <f>IFERROR(VLOOKUP(B204,TASKS!A:K,8,FALSE()),"")</f>
        <v>6</v>
      </c>
      <c r="H204" s="8">
        <f t="shared" si="6"/>
        <v>6</v>
      </c>
      <c r="I204" s="8">
        <f t="shared" si="7"/>
        <v>0</v>
      </c>
      <c r="J204" s="8" t="str">
        <f>IF(OR(B204="",C204=""),"",IF(IFERROR(VLOOKUP(C204,RESOURCES!A:C,3,FALSE()),"")=IFERROR(VLOOKUP(B204,TASKS!A:K,4,FALSE()),""),"OK","MISMATCH"))</f>
        <v>OK</v>
      </c>
      <c r="K204" s="8" t="str">
        <f>IF(OR(B204="",D204=""),"",IF(AND(D204&gt;=IFERROR(VLOOKUP(B204,TASKS!A:K,6,FALSE()),0),D204&lt;=IFERROR(VLOOKUP(B204,TASKS!A:K,7,FALSE()),99999)),"OK","OUT OF RANGE"))</f>
        <v>OK</v>
      </c>
    </row>
    <row r="205" spans="1:11" ht="15" customHeight="1" x14ac:dyDescent="0.3">
      <c r="A205" s="5" t="s">
        <v>464</v>
      </c>
      <c r="B205" s="28" t="s">
        <v>243</v>
      </c>
      <c r="C205" s="28" t="s">
        <v>79</v>
      </c>
      <c r="D205" s="29">
        <v>46139</v>
      </c>
      <c r="E205" s="28">
        <v>1.5</v>
      </c>
      <c r="F205" s="28" t="s">
        <v>261</v>
      </c>
      <c r="G205" s="8">
        <f>IFERROR(VLOOKUP(B205,TASKS!A:K,8,FALSE()),"")</f>
        <v>6</v>
      </c>
      <c r="H205" s="8">
        <f t="shared" si="6"/>
        <v>6</v>
      </c>
      <c r="I205" s="8">
        <f t="shared" si="7"/>
        <v>0</v>
      </c>
      <c r="J205" s="8" t="str">
        <f>IF(OR(B205="",C205=""),"",IF(IFERROR(VLOOKUP(C205,RESOURCES!A:C,3,FALSE()),"")=IFERROR(VLOOKUP(B205,TASKS!A:K,4,FALSE()),""),"OK","MISMATCH"))</f>
        <v>OK</v>
      </c>
      <c r="K205" s="8" t="str">
        <f>IF(OR(B205="",D205=""),"",IF(AND(D205&gt;=IFERROR(VLOOKUP(B205,TASKS!A:K,6,FALSE()),0),D205&lt;=IFERROR(VLOOKUP(B205,TASKS!A:K,7,FALSE()),99999)),"OK","OUT OF RANGE"))</f>
        <v>OK</v>
      </c>
    </row>
    <row r="206" spans="1:11" ht="15" customHeight="1" x14ac:dyDescent="0.3">
      <c r="A206" s="5" t="s">
        <v>465</v>
      </c>
      <c r="B206" s="28" t="s">
        <v>246</v>
      </c>
      <c r="C206" s="28" t="s">
        <v>74</v>
      </c>
      <c r="D206" s="29">
        <v>46125</v>
      </c>
      <c r="E206" s="28">
        <v>2</v>
      </c>
      <c r="F206" s="28" t="s">
        <v>261</v>
      </c>
      <c r="G206" s="8">
        <f>IFERROR(VLOOKUP(B206,TASKS!A:K,8,FALSE()),"")</f>
        <v>10</v>
      </c>
      <c r="H206" s="8">
        <f t="shared" si="6"/>
        <v>10</v>
      </c>
      <c r="I206" s="8">
        <f t="shared" si="7"/>
        <v>0</v>
      </c>
      <c r="J206" s="8" t="str">
        <f>IF(OR(B206="",C206=""),"",IF(IFERROR(VLOOKUP(C206,RESOURCES!A:C,3,FALSE()),"")=IFERROR(VLOOKUP(B206,TASKS!A:K,4,FALSE()),""),"OK","MISMATCH"))</f>
        <v>OK</v>
      </c>
      <c r="K206" s="8" t="str">
        <f>IF(OR(B206="",D206=""),"",IF(AND(D206&gt;=IFERROR(VLOOKUP(B206,TASKS!A:K,6,FALSE()),0),D206&lt;=IFERROR(VLOOKUP(B206,TASKS!A:K,7,FALSE()),99999)),"OK","OUT OF RANGE"))</f>
        <v>OK</v>
      </c>
    </row>
    <row r="207" spans="1:11" ht="15" customHeight="1" x14ac:dyDescent="0.3">
      <c r="A207" s="5" t="s">
        <v>466</v>
      </c>
      <c r="B207" s="28" t="s">
        <v>246</v>
      </c>
      <c r="C207" s="28" t="s">
        <v>74</v>
      </c>
      <c r="D207" s="29">
        <v>46132</v>
      </c>
      <c r="E207" s="28">
        <v>2</v>
      </c>
      <c r="F207" s="28" t="s">
        <v>261</v>
      </c>
      <c r="G207" s="8">
        <f>IFERROR(VLOOKUP(B207,TASKS!A:K,8,FALSE()),"")</f>
        <v>10</v>
      </c>
      <c r="H207" s="8">
        <f t="shared" si="6"/>
        <v>10</v>
      </c>
      <c r="I207" s="8">
        <f t="shared" si="7"/>
        <v>0</v>
      </c>
      <c r="J207" s="8" t="str">
        <f>IF(OR(B207="",C207=""),"",IF(IFERROR(VLOOKUP(C207,RESOURCES!A:C,3,FALSE()),"")=IFERROR(VLOOKUP(B207,TASKS!A:K,4,FALSE()),""),"OK","MISMATCH"))</f>
        <v>OK</v>
      </c>
      <c r="K207" s="8" t="str">
        <f>IF(OR(B207="",D207=""),"",IF(AND(D207&gt;=IFERROR(VLOOKUP(B207,TASKS!A:K,6,FALSE()),0),D207&lt;=IFERROR(VLOOKUP(B207,TASKS!A:K,7,FALSE()),99999)),"OK","OUT OF RANGE"))</f>
        <v>OK</v>
      </c>
    </row>
    <row r="208" spans="1:11" ht="15" customHeight="1" x14ac:dyDescent="0.3">
      <c r="A208" s="5" t="s">
        <v>467</v>
      </c>
      <c r="B208" s="28" t="s">
        <v>246</v>
      </c>
      <c r="C208" s="28" t="s">
        <v>74</v>
      </c>
      <c r="D208" s="29">
        <v>46139</v>
      </c>
      <c r="E208" s="28">
        <v>2</v>
      </c>
      <c r="F208" s="28" t="s">
        <v>261</v>
      </c>
      <c r="G208" s="8">
        <f>IFERROR(VLOOKUP(B208,TASKS!A:K,8,FALSE()),"")</f>
        <v>10</v>
      </c>
      <c r="H208" s="8">
        <f t="shared" si="6"/>
        <v>10</v>
      </c>
      <c r="I208" s="8">
        <f t="shared" si="7"/>
        <v>0</v>
      </c>
      <c r="J208" s="8" t="str">
        <f>IF(OR(B208="",C208=""),"",IF(IFERROR(VLOOKUP(C208,RESOURCES!A:C,3,FALSE()),"")=IFERROR(VLOOKUP(B208,TASKS!A:K,4,FALSE()),""),"OK","MISMATCH"))</f>
        <v>OK</v>
      </c>
      <c r="K208" s="8" t="str">
        <f>IF(OR(B208="",D208=""),"",IF(AND(D208&gt;=IFERROR(VLOOKUP(B208,TASKS!A:K,6,FALSE()),0),D208&lt;=IFERROR(VLOOKUP(B208,TASKS!A:K,7,FALSE()),99999)),"OK","OUT OF RANGE"))</f>
        <v>OK</v>
      </c>
    </row>
    <row r="209" spans="1:11" ht="15" customHeight="1" x14ac:dyDescent="0.3">
      <c r="A209" s="5" t="s">
        <v>468</v>
      </c>
      <c r="B209" s="28" t="s">
        <v>246</v>
      </c>
      <c r="C209" s="28" t="s">
        <v>74</v>
      </c>
      <c r="D209" s="29">
        <v>46146</v>
      </c>
      <c r="E209" s="28">
        <v>2</v>
      </c>
      <c r="F209" s="28" t="s">
        <v>261</v>
      </c>
      <c r="G209" s="8">
        <f>IFERROR(VLOOKUP(B209,TASKS!A:K,8,FALSE()),"")</f>
        <v>10</v>
      </c>
      <c r="H209" s="8">
        <f t="shared" si="6"/>
        <v>10</v>
      </c>
      <c r="I209" s="8">
        <f t="shared" si="7"/>
        <v>0</v>
      </c>
      <c r="J209" s="8" t="str">
        <f>IF(OR(B209="",C209=""),"",IF(IFERROR(VLOOKUP(C209,RESOURCES!A:C,3,FALSE()),"")=IFERROR(VLOOKUP(B209,TASKS!A:K,4,FALSE()),""),"OK","MISMATCH"))</f>
        <v>OK</v>
      </c>
      <c r="K209" s="8" t="str">
        <f>IF(OR(B209="",D209=""),"",IF(AND(D209&gt;=IFERROR(VLOOKUP(B209,TASKS!A:K,6,FALSE()),0),D209&lt;=IFERROR(VLOOKUP(B209,TASKS!A:K,7,FALSE()),99999)),"OK","OUT OF RANGE"))</f>
        <v>OK</v>
      </c>
    </row>
    <row r="210" spans="1:11" ht="15" customHeight="1" x14ac:dyDescent="0.3">
      <c r="A210" s="5" t="s">
        <v>469</v>
      </c>
      <c r="B210" s="28" t="s">
        <v>246</v>
      </c>
      <c r="C210" s="28" t="s">
        <v>74</v>
      </c>
      <c r="D210" s="29">
        <v>46153</v>
      </c>
      <c r="E210" s="28">
        <v>2</v>
      </c>
      <c r="F210" s="28" t="s">
        <v>261</v>
      </c>
      <c r="G210" s="8">
        <f>IFERROR(VLOOKUP(B210,TASKS!A:K,8,FALSE()),"")</f>
        <v>10</v>
      </c>
      <c r="H210" s="8">
        <f t="shared" si="6"/>
        <v>10</v>
      </c>
      <c r="I210" s="8">
        <f t="shared" si="7"/>
        <v>0</v>
      </c>
      <c r="J210" s="8" t="str">
        <f>IF(OR(B210="",C210=""),"",IF(IFERROR(VLOOKUP(C210,RESOURCES!A:C,3,FALSE()),"")=IFERROR(VLOOKUP(B210,TASKS!A:K,4,FALSE()),""),"OK","MISMATCH"))</f>
        <v>OK</v>
      </c>
      <c r="K210" s="8" t="str">
        <f>IF(OR(B210="",D210=""),"",IF(AND(D210&gt;=IFERROR(VLOOKUP(B210,TASKS!A:K,6,FALSE()),0),D210&lt;=IFERROR(VLOOKUP(B210,TASKS!A:K,7,FALSE()),99999)),"OK","OUT OF RANGE"))</f>
        <v>OK</v>
      </c>
    </row>
    <row r="211" spans="1:11" ht="15" customHeight="1" x14ac:dyDescent="0.3">
      <c r="A211" s="5" t="s">
        <v>470</v>
      </c>
      <c r="B211" s="28" t="s">
        <v>250</v>
      </c>
      <c r="C211" s="28" t="s">
        <v>74</v>
      </c>
      <c r="D211" s="29">
        <v>46146</v>
      </c>
      <c r="E211" s="28">
        <v>2</v>
      </c>
      <c r="F211" s="28" t="s">
        <v>261</v>
      </c>
      <c r="G211" s="8">
        <f>IFERROR(VLOOKUP(B211,TASKS!A:K,8,FALSE()),"")</f>
        <v>8</v>
      </c>
      <c r="H211" s="8">
        <f t="shared" si="6"/>
        <v>8</v>
      </c>
      <c r="I211" s="8">
        <f t="shared" si="7"/>
        <v>0</v>
      </c>
      <c r="J211" s="8" t="str">
        <f>IF(OR(B211="",C211=""),"",IF(IFERROR(VLOOKUP(C211,RESOURCES!A:C,3,FALSE()),"")=IFERROR(VLOOKUP(B211,TASKS!A:K,4,FALSE()),""),"OK","MISMATCH"))</f>
        <v>OK</v>
      </c>
      <c r="K211" s="8" t="str">
        <f>IF(OR(B211="",D211=""),"",IF(AND(D211&gt;=IFERROR(VLOOKUP(B211,TASKS!A:K,6,FALSE()),0),D211&lt;=IFERROR(VLOOKUP(B211,TASKS!A:K,7,FALSE()),99999)),"OK","OUT OF RANGE"))</f>
        <v>OK</v>
      </c>
    </row>
    <row r="212" spans="1:11" ht="15" customHeight="1" x14ac:dyDescent="0.3">
      <c r="A212" s="5" t="s">
        <v>471</v>
      </c>
      <c r="B212" s="28" t="s">
        <v>250</v>
      </c>
      <c r="C212" s="28" t="s">
        <v>74</v>
      </c>
      <c r="D212" s="29">
        <v>46153</v>
      </c>
      <c r="E212" s="28">
        <v>2</v>
      </c>
      <c r="F212" s="28" t="s">
        <v>261</v>
      </c>
      <c r="G212" s="8">
        <f>IFERROR(VLOOKUP(B212,TASKS!A:K,8,FALSE()),"")</f>
        <v>8</v>
      </c>
      <c r="H212" s="8">
        <f t="shared" si="6"/>
        <v>8</v>
      </c>
      <c r="I212" s="8">
        <f t="shared" si="7"/>
        <v>0</v>
      </c>
      <c r="J212" s="8" t="str">
        <f>IF(OR(B212="",C212=""),"",IF(IFERROR(VLOOKUP(C212,RESOURCES!A:C,3,FALSE()),"")=IFERROR(VLOOKUP(B212,TASKS!A:K,4,FALSE()),""),"OK","MISMATCH"))</f>
        <v>OK</v>
      </c>
      <c r="K212" s="8" t="str">
        <f>IF(OR(B212="",D212=""),"",IF(AND(D212&gt;=IFERROR(VLOOKUP(B212,TASKS!A:K,6,FALSE()),0),D212&lt;=IFERROR(VLOOKUP(B212,TASKS!A:K,7,FALSE()),99999)),"OK","OUT OF RANGE"))</f>
        <v>OK</v>
      </c>
    </row>
    <row r="213" spans="1:11" ht="15" customHeight="1" x14ac:dyDescent="0.3">
      <c r="A213" s="5" t="s">
        <v>472</v>
      </c>
      <c r="B213" s="28" t="s">
        <v>250</v>
      </c>
      <c r="C213" s="28" t="s">
        <v>74</v>
      </c>
      <c r="D213" s="29">
        <v>46160</v>
      </c>
      <c r="E213" s="28">
        <v>2</v>
      </c>
      <c r="F213" s="28" t="s">
        <v>261</v>
      </c>
      <c r="G213" s="8">
        <f>IFERROR(VLOOKUP(B213,TASKS!A:K,8,FALSE()),"")</f>
        <v>8</v>
      </c>
      <c r="H213" s="8">
        <f t="shared" si="6"/>
        <v>8</v>
      </c>
      <c r="I213" s="8">
        <f t="shared" si="7"/>
        <v>0</v>
      </c>
      <c r="J213" s="8" t="str">
        <f>IF(OR(B213="",C213=""),"",IF(IFERROR(VLOOKUP(C213,RESOURCES!A:C,3,FALSE()),"")=IFERROR(VLOOKUP(B213,TASKS!A:K,4,FALSE()),""),"OK","MISMATCH"))</f>
        <v>OK</v>
      </c>
      <c r="K213" s="8" t="str">
        <f>IF(OR(B213="",D213=""),"",IF(AND(D213&gt;=IFERROR(VLOOKUP(B213,TASKS!A:K,6,FALSE()),0),D213&lt;=IFERROR(VLOOKUP(B213,TASKS!A:K,7,FALSE()),99999)),"OK","OUT OF RANGE"))</f>
        <v>OK</v>
      </c>
    </row>
    <row r="214" spans="1:11" ht="15" customHeight="1" x14ac:dyDescent="0.3">
      <c r="A214" s="5" t="s">
        <v>473</v>
      </c>
      <c r="B214" s="28" t="s">
        <v>250</v>
      </c>
      <c r="C214" s="28" t="s">
        <v>74</v>
      </c>
      <c r="D214" s="29">
        <v>46167</v>
      </c>
      <c r="E214" s="28">
        <v>2</v>
      </c>
      <c r="F214" s="28" t="s">
        <v>261</v>
      </c>
      <c r="G214" s="8">
        <f>IFERROR(VLOOKUP(B214,TASKS!A:K,8,FALSE()),"")</f>
        <v>8</v>
      </c>
      <c r="H214" s="8">
        <f t="shared" si="6"/>
        <v>8</v>
      </c>
      <c r="I214" s="8">
        <f t="shared" si="7"/>
        <v>0</v>
      </c>
      <c r="J214" s="8" t="str">
        <f>IF(OR(B214="",C214=""),"",IF(IFERROR(VLOOKUP(C214,RESOURCES!A:C,3,FALSE()),"")=IFERROR(VLOOKUP(B214,TASKS!A:K,4,FALSE()),""),"OK","MISMATCH"))</f>
        <v>OK</v>
      </c>
      <c r="K214" s="8" t="str">
        <f>IF(OR(B214="",D214=""),"",IF(AND(D214&gt;=IFERROR(VLOOKUP(B214,TASKS!A:K,6,FALSE()),0),D214&lt;=IFERROR(VLOOKUP(B214,TASKS!A:K,7,FALSE()),99999)),"OK","OUT OF RANGE"))</f>
        <v>OK</v>
      </c>
    </row>
  </sheetData>
  <conditionalFormatting sqref="J2:J214">
    <cfRule type="cellIs" dxfId="8" priority="2" operator="equal">
      <formula>"MISMATCH"</formula>
    </cfRule>
  </conditionalFormatting>
  <conditionalFormatting sqref="K2:K214">
    <cfRule type="cellIs" dxfId="7" priority="3" operator="equal">
      <formula>"OUT OF RANGE"</formula>
    </cfRule>
  </conditionalFormatting>
  <dataValidations count="3">
    <dataValidation type="list" sqref="C2:C214" xr:uid="{00000000-0002-0000-0500-000000000000}">
      <formula1>"R001,R002,R003,R004,R005,R006,R007"</formula1>
      <formula2>0</formula2>
    </dataValidation>
    <dataValidation type="list" sqref="B2:B214" xr:uid="{00000000-0002-0000-0500-000001000000}">
      <formula1>"T001,T002,T003,T004,T005,T006,T007,T008,T009,T010,T011,T012,T013,T014,T015,T016,T017,T018,T019,T020,T021,T022,T023,T024,T025,T026,T027,T028,T029"</formula1>
      <formula2>0</formula2>
    </dataValidation>
    <dataValidation type="list" sqref="F2:F214" xr:uid="{00000000-0002-0000-0500-000002000000}">
      <formula1>"Planned,In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48235"/>
  </sheetPr>
  <dimension ref="A1:U24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ColWidth="8.6640625" defaultRowHeight="14.4" x14ac:dyDescent="0.3"/>
  <cols>
    <col min="1" max="1" width="12" customWidth="1"/>
    <col min="2" max="2" width="18" customWidth="1"/>
    <col min="3" max="3" width="15" customWidth="1"/>
    <col min="4" max="4" width="14" customWidth="1"/>
    <col min="5" max="5" width="12" customWidth="1"/>
    <col min="6" max="21" width="8" customWidth="1"/>
  </cols>
  <sheetData>
    <row r="1" spans="1:21" ht="17.25" customHeight="1" x14ac:dyDescent="0.3">
      <c r="A1" s="1" t="s">
        <v>474</v>
      </c>
    </row>
    <row r="3" spans="1:21" ht="15" customHeight="1" x14ac:dyDescent="0.3">
      <c r="A3" s="4" t="s">
        <v>65</v>
      </c>
      <c r="B3" s="4" t="s">
        <v>66</v>
      </c>
      <c r="C3" s="4" t="s">
        <v>67</v>
      </c>
      <c r="D3" s="4" t="s">
        <v>475</v>
      </c>
      <c r="E3" s="4" t="s">
        <v>476</v>
      </c>
      <c r="F3" s="4" t="s">
        <v>477</v>
      </c>
      <c r="G3" s="4" t="s">
        <v>478</v>
      </c>
      <c r="H3" s="4" t="s">
        <v>479</v>
      </c>
      <c r="I3" s="4" t="s">
        <v>480</v>
      </c>
      <c r="J3" s="4" t="s">
        <v>481</v>
      </c>
      <c r="K3" s="4" t="s">
        <v>482</v>
      </c>
      <c r="L3" s="4" t="s">
        <v>483</v>
      </c>
      <c r="M3" s="4" t="s">
        <v>484</v>
      </c>
      <c r="N3" s="4" t="s">
        <v>485</v>
      </c>
      <c r="O3" s="4" t="s">
        <v>486</v>
      </c>
      <c r="P3" s="4" t="s">
        <v>487</v>
      </c>
      <c r="Q3" s="4" t="s">
        <v>488</v>
      </c>
      <c r="R3" s="4" t="s">
        <v>489</v>
      </c>
      <c r="S3" s="4" t="s">
        <v>490</v>
      </c>
      <c r="T3" s="4" t="s">
        <v>491</v>
      </c>
      <c r="U3" s="4" t="s">
        <v>492</v>
      </c>
    </row>
    <row r="4" spans="1:21" ht="15" customHeight="1" x14ac:dyDescent="0.3">
      <c r="A4" s="8" t="str">
        <f>VLOOKUP("R001",RESOURCES!A:I,1,FALSE())</f>
        <v>R001</v>
      </c>
      <c r="B4" s="8" t="str">
        <f>VLOOKUP("R001",RESOURCES!A:I,2,FALSE())</f>
        <v>Anis Bouchema</v>
      </c>
      <c r="C4" s="8" t="str">
        <f>VLOOKUP("R001",RESOURCES!A:I,3,FALSE())</f>
        <v>Owner/Operator</v>
      </c>
      <c r="D4" s="8">
        <f>VLOOKUP("R001",RESOURCES!A:I,7,FALSE())</f>
        <v>50</v>
      </c>
      <c r="E4" s="32">
        <f>VLOOKUP("R001",RESOURCES!A:I,8,FALSE())</f>
        <v>1</v>
      </c>
      <c r="F4" s="33">
        <f t="shared" ref="F4:F10" si="0">D4*E4</f>
        <v>50</v>
      </c>
      <c r="G4" s="33">
        <f t="shared" ref="G4:G10" si="1">D4*E4</f>
        <v>50</v>
      </c>
      <c r="H4" s="33">
        <f t="shared" ref="H4:H10" si="2">D4*E4</f>
        <v>50</v>
      </c>
      <c r="I4" s="33">
        <f t="shared" ref="I4:I10" si="3">D4*E4</f>
        <v>50</v>
      </c>
      <c r="J4" s="33">
        <f t="shared" ref="J4:J10" si="4">D4*E4</f>
        <v>50</v>
      </c>
      <c r="K4" s="33">
        <f t="shared" ref="K4:K10" si="5">D4*E4</f>
        <v>50</v>
      </c>
      <c r="L4" s="33">
        <f t="shared" ref="L4:L10" si="6">D4*E4</f>
        <v>50</v>
      </c>
      <c r="M4" s="33">
        <f t="shared" ref="M4:M10" si="7">D4*E4</f>
        <v>50</v>
      </c>
      <c r="N4" s="33">
        <f t="shared" ref="N4:N10" si="8">D4*E4</f>
        <v>50</v>
      </c>
      <c r="O4" s="33">
        <f t="shared" ref="O4:O10" si="9">D4*E4</f>
        <v>50</v>
      </c>
      <c r="P4" s="33">
        <f t="shared" ref="P4:P10" si="10">D4*E4</f>
        <v>50</v>
      </c>
      <c r="Q4" s="33">
        <f t="shared" ref="Q4:Q10" si="11">D4*E4</f>
        <v>50</v>
      </c>
      <c r="R4" s="33">
        <f t="shared" ref="R4:R10" si="12">D4*E4</f>
        <v>50</v>
      </c>
      <c r="S4" s="33">
        <f t="shared" ref="S4:S10" si="13">D4*E4</f>
        <v>50</v>
      </c>
      <c r="T4" s="33">
        <f t="shared" ref="T4:T10" si="14">D4*E4</f>
        <v>50</v>
      </c>
      <c r="U4" s="33">
        <f t="shared" ref="U4:U10" si="15">D4*E4</f>
        <v>50</v>
      </c>
    </row>
    <row r="5" spans="1:21" ht="15" customHeight="1" x14ac:dyDescent="0.3">
      <c r="A5" s="8" t="str">
        <f>VLOOKUP("R002",RESOURCES!A:I,1,FALSE())</f>
        <v>R002</v>
      </c>
      <c r="B5" s="8" t="str">
        <f>VLOOKUP("R002",RESOURCES!A:I,2,FALSE())</f>
        <v>Jess Moreau</v>
      </c>
      <c r="C5" s="8" t="str">
        <f>VLOOKUP("R002",RESOURCES!A:I,3,FALSE())</f>
        <v>Shift Lead</v>
      </c>
      <c r="D5" s="8">
        <f>VLOOKUP("R002",RESOURCES!A:I,7,FALSE())</f>
        <v>35</v>
      </c>
      <c r="E5" s="32">
        <f>VLOOKUP("R002",RESOURCES!A:I,8,FALSE())</f>
        <v>1</v>
      </c>
      <c r="F5" s="33">
        <f t="shared" si="0"/>
        <v>35</v>
      </c>
      <c r="G5" s="33">
        <f t="shared" si="1"/>
        <v>35</v>
      </c>
      <c r="H5" s="33">
        <f t="shared" si="2"/>
        <v>35</v>
      </c>
      <c r="I5" s="33">
        <f t="shared" si="3"/>
        <v>35</v>
      </c>
      <c r="J5" s="33">
        <f t="shared" si="4"/>
        <v>35</v>
      </c>
      <c r="K5" s="33">
        <f t="shared" si="5"/>
        <v>35</v>
      </c>
      <c r="L5" s="33">
        <f t="shared" si="6"/>
        <v>35</v>
      </c>
      <c r="M5" s="33">
        <f t="shared" si="7"/>
        <v>35</v>
      </c>
      <c r="N5" s="33">
        <f t="shared" si="8"/>
        <v>35</v>
      </c>
      <c r="O5" s="33">
        <f t="shared" si="9"/>
        <v>35</v>
      </c>
      <c r="P5" s="33">
        <f t="shared" si="10"/>
        <v>35</v>
      </c>
      <c r="Q5" s="33">
        <f t="shared" si="11"/>
        <v>35</v>
      </c>
      <c r="R5" s="33">
        <f t="shared" si="12"/>
        <v>35</v>
      </c>
      <c r="S5" s="33">
        <f t="shared" si="13"/>
        <v>35</v>
      </c>
      <c r="T5" s="33">
        <f t="shared" si="14"/>
        <v>35</v>
      </c>
      <c r="U5" s="33">
        <f t="shared" si="15"/>
        <v>35</v>
      </c>
    </row>
    <row r="6" spans="1:21" ht="15" customHeight="1" x14ac:dyDescent="0.3">
      <c r="A6" s="8" t="str">
        <f>VLOOKUP("R003",RESOURCES!A:I,1,FALSE())</f>
        <v>R003</v>
      </c>
      <c r="B6" s="8" t="str">
        <f>VLOOKUP("R003",RESOURCES!A:I,2,FALSE())</f>
        <v>Tyler Osei</v>
      </c>
      <c r="C6" s="8" t="str">
        <f>VLOOKUP("R003",RESOURCES!A:I,3,FALSE())</f>
        <v>Shift Lead</v>
      </c>
      <c r="D6" s="8">
        <f>VLOOKUP("R003",RESOURCES!A:I,7,FALSE())</f>
        <v>35</v>
      </c>
      <c r="E6" s="32">
        <f>VLOOKUP("R003",RESOURCES!A:I,8,FALSE())</f>
        <v>1</v>
      </c>
      <c r="F6" s="33">
        <f t="shared" si="0"/>
        <v>35</v>
      </c>
      <c r="G6" s="33">
        <f t="shared" si="1"/>
        <v>35</v>
      </c>
      <c r="H6" s="33">
        <f t="shared" si="2"/>
        <v>35</v>
      </c>
      <c r="I6" s="33">
        <f t="shared" si="3"/>
        <v>35</v>
      </c>
      <c r="J6" s="33">
        <f t="shared" si="4"/>
        <v>35</v>
      </c>
      <c r="K6" s="33">
        <f t="shared" si="5"/>
        <v>35</v>
      </c>
      <c r="L6" s="33">
        <f t="shared" si="6"/>
        <v>35</v>
      </c>
      <c r="M6" s="33">
        <f t="shared" si="7"/>
        <v>35</v>
      </c>
      <c r="N6" s="33">
        <f t="shared" si="8"/>
        <v>35</v>
      </c>
      <c r="O6" s="33">
        <f t="shared" si="9"/>
        <v>35</v>
      </c>
      <c r="P6" s="33">
        <f t="shared" si="10"/>
        <v>35</v>
      </c>
      <c r="Q6" s="33">
        <f t="shared" si="11"/>
        <v>35</v>
      </c>
      <c r="R6" s="33">
        <f t="shared" si="12"/>
        <v>35</v>
      </c>
      <c r="S6" s="33">
        <f t="shared" si="13"/>
        <v>35</v>
      </c>
      <c r="T6" s="33">
        <f t="shared" si="14"/>
        <v>35</v>
      </c>
      <c r="U6" s="33">
        <f t="shared" si="15"/>
        <v>35</v>
      </c>
    </row>
    <row r="7" spans="1:21" ht="15" customHeight="1" x14ac:dyDescent="0.3">
      <c r="A7" s="8" t="str">
        <f>VLOOKUP("R004",RESOURCES!A:I,1,FALSE())</f>
        <v>R004</v>
      </c>
      <c r="B7" s="8" t="str">
        <f>VLOOKUP("R004",RESOURCES!A:I,2,FALSE())</f>
        <v>Maya Singh</v>
      </c>
      <c r="C7" s="8" t="str">
        <f>VLOOKUP("R004",RESOURCES!A:I,3,FALSE())</f>
        <v>Scooper/Barista</v>
      </c>
      <c r="D7" s="8">
        <f>VLOOKUP("R004",RESOURCES!A:I,7,FALSE())</f>
        <v>25</v>
      </c>
      <c r="E7" s="32">
        <f>VLOOKUP("R004",RESOURCES!A:I,8,FALSE())</f>
        <v>1</v>
      </c>
      <c r="F7" s="33">
        <f t="shared" si="0"/>
        <v>25</v>
      </c>
      <c r="G7" s="33">
        <f t="shared" si="1"/>
        <v>25</v>
      </c>
      <c r="H7" s="33">
        <f t="shared" si="2"/>
        <v>25</v>
      </c>
      <c r="I7" s="33">
        <f t="shared" si="3"/>
        <v>25</v>
      </c>
      <c r="J7" s="33">
        <f t="shared" si="4"/>
        <v>25</v>
      </c>
      <c r="K7" s="33">
        <f t="shared" si="5"/>
        <v>25</v>
      </c>
      <c r="L7" s="33">
        <f t="shared" si="6"/>
        <v>25</v>
      </c>
      <c r="M7" s="33">
        <f t="shared" si="7"/>
        <v>25</v>
      </c>
      <c r="N7" s="33">
        <f t="shared" si="8"/>
        <v>25</v>
      </c>
      <c r="O7" s="33">
        <f t="shared" si="9"/>
        <v>25</v>
      </c>
      <c r="P7" s="33">
        <f t="shared" si="10"/>
        <v>25</v>
      </c>
      <c r="Q7" s="33">
        <f t="shared" si="11"/>
        <v>25</v>
      </c>
      <c r="R7" s="33">
        <f t="shared" si="12"/>
        <v>25</v>
      </c>
      <c r="S7" s="33">
        <f t="shared" si="13"/>
        <v>25</v>
      </c>
      <c r="T7" s="33">
        <f t="shared" si="14"/>
        <v>25</v>
      </c>
      <c r="U7" s="33">
        <f t="shared" si="15"/>
        <v>25</v>
      </c>
    </row>
    <row r="8" spans="1:21" ht="15" customHeight="1" x14ac:dyDescent="0.3">
      <c r="A8" s="8" t="str">
        <f>VLOOKUP("R005",RESOURCES!A:I,1,FALSE())</f>
        <v>R005</v>
      </c>
      <c r="B8" s="8" t="str">
        <f>VLOOKUP("R005",RESOURCES!A:I,2,FALSE())</f>
        <v>Ethan Tran</v>
      </c>
      <c r="C8" s="8" t="str">
        <f>VLOOKUP("R005",RESOURCES!A:I,3,FALSE())</f>
        <v>Scooper/Barista</v>
      </c>
      <c r="D8" s="8">
        <f>VLOOKUP("R005",RESOURCES!A:I,7,FALSE())</f>
        <v>28</v>
      </c>
      <c r="E8" s="32">
        <f>VLOOKUP("R005",RESOURCES!A:I,8,FALSE())</f>
        <v>1</v>
      </c>
      <c r="F8" s="33">
        <f t="shared" si="0"/>
        <v>28</v>
      </c>
      <c r="G8" s="33">
        <f t="shared" si="1"/>
        <v>28</v>
      </c>
      <c r="H8" s="33">
        <f t="shared" si="2"/>
        <v>28</v>
      </c>
      <c r="I8" s="33">
        <f t="shared" si="3"/>
        <v>28</v>
      </c>
      <c r="J8" s="33">
        <f t="shared" si="4"/>
        <v>28</v>
      </c>
      <c r="K8" s="33">
        <f t="shared" si="5"/>
        <v>28</v>
      </c>
      <c r="L8" s="33">
        <f t="shared" si="6"/>
        <v>28</v>
      </c>
      <c r="M8" s="33">
        <f t="shared" si="7"/>
        <v>28</v>
      </c>
      <c r="N8" s="33">
        <f t="shared" si="8"/>
        <v>28</v>
      </c>
      <c r="O8" s="33">
        <f t="shared" si="9"/>
        <v>28</v>
      </c>
      <c r="P8" s="33">
        <f t="shared" si="10"/>
        <v>28</v>
      </c>
      <c r="Q8" s="33">
        <f t="shared" si="11"/>
        <v>28</v>
      </c>
      <c r="R8" s="33">
        <f t="shared" si="12"/>
        <v>28</v>
      </c>
      <c r="S8" s="33">
        <f t="shared" si="13"/>
        <v>28</v>
      </c>
      <c r="T8" s="33">
        <f t="shared" si="14"/>
        <v>28</v>
      </c>
      <c r="U8" s="33">
        <f t="shared" si="15"/>
        <v>28</v>
      </c>
    </row>
    <row r="9" spans="1:21" ht="15" customHeight="1" x14ac:dyDescent="0.3">
      <c r="A9" s="8" t="str">
        <f>VLOOKUP("R006",RESOURCES!A:I,1,FALSE())</f>
        <v>R006</v>
      </c>
      <c r="B9" s="8" t="str">
        <f>VLOOKUP("R006",RESOURCES!A:I,2,FALSE())</f>
        <v>Olivia Brown</v>
      </c>
      <c r="C9" s="8" t="str">
        <f>VLOOKUP("R006",RESOURCES!A:I,3,FALSE())</f>
        <v>Scooper/Barista</v>
      </c>
      <c r="D9" s="8">
        <f>VLOOKUP("R006",RESOURCES!A:I,7,FALSE())</f>
        <v>20</v>
      </c>
      <c r="E9" s="32">
        <f>VLOOKUP("R006",RESOURCES!A:I,8,FALSE())</f>
        <v>1</v>
      </c>
      <c r="F9" s="33">
        <f t="shared" si="0"/>
        <v>20</v>
      </c>
      <c r="G9" s="33">
        <f t="shared" si="1"/>
        <v>20</v>
      </c>
      <c r="H9" s="33">
        <f t="shared" si="2"/>
        <v>20</v>
      </c>
      <c r="I9" s="33">
        <f t="shared" si="3"/>
        <v>20</v>
      </c>
      <c r="J9" s="33">
        <f t="shared" si="4"/>
        <v>20</v>
      </c>
      <c r="K9" s="33">
        <f t="shared" si="5"/>
        <v>20</v>
      </c>
      <c r="L9" s="33">
        <f t="shared" si="6"/>
        <v>20</v>
      </c>
      <c r="M9" s="33">
        <f t="shared" si="7"/>
        <v>20</v>
      </c>
      <c r="N9" s="33">
        <f t="shared" si="8"/>
        <v>20</v>
      </c>
      <c r="O9" s="33">
        <f t="shared" si="9"/>
        <v>20</v>
      </c>
      <c r="P9" s="33">
        <f t="shared" si="10"/>
        <v>20</v>
      </c>
      <c r="Q9" s="33">
        <f t="shared" si="11"/>
        <v>20</v>
      </c>
      <c r="R9" s="33">
        <f t="shared" si="12"/>
        <v>20</v>
      </c>
      <c r="S9" s="33">
        <f t="shared" si="13"/>
        <v>20</v>
      </c>
      <c r="T9" s="33">
        <f t="shared" si="14"/>
        <v>20</v>
      </c>
      <c r="U9" s="33">
        <f t="shared" si="15"/>
        <v>20</v>
      </c>
    </row>
    <row r="10" spans="1:21" ht="15" customHeight="1" x14ac:dyDescent="0.3">
      <c r="A10" s="8" t="str">
        <f>VLOOKUP("R007",RESOURCES!A:I,1,FALSE())</f>
        <v>R007</v>
      </c>
      <c r="B10" s="8" t="str">
        <f>VLOOKUP("R007",RESOURCES!A:I,2,FALSE())</f>
        <v>Noah Lafleur</v>
      </c>
      <c r="C10" s="8" t="str">
        <f>VLOOKUP("R007",RESOURCES!A:I,3,FALSE())</f>
        <v>Barista</v>
      </c>
      <c r="D10" s="8">
        <f>VLOOKUP("R007",RESOURCES!A:I,7,FALSE())</f>
        <v>25</v>
      </c>
      <c r="E10" s="32">
        <f>VLOOKUP("R007",RESOURCES!A:I,8,FALSE())</f>
        <v>0.8</v>
      </c>
      <c r="F10" s="33">
        <f t="shared" si="0"/>
        <v>20</v>
      </c>
      <c r="G10" s="33">
        <f t="shared" si="1"/>
        <v>20</v>
      </c>
      <c r="H10" s="33">
        <f t="shared" si="2"/>
        <v>20</v>
      </c>
      <c r="I10" s="33">
        <f t="shared" si="3"/>
        <v>20</v>
      </c>
      <c r="J10" s="33">
        <f t="shared" si="4"/>
        <v>20</v>
      </c>
      <c r="K10" s="33">
        <f t="shared" si="5"/>
        <v>20</v>
      </c>
      <c r="L10" s="33">
        <f t="shared" si="6"/>
        <v>20</v>
      </c>
      <c r="M10" s="33">
        <f t="shared" si="7"/>
        <v>20</v>
      </c>
      <c r="N10" s="33">
        <f t="shared" si="8"/>
        <v>20</v>
      </c>
      <c r="O10" s="33">
        <f t="shared" si="9"/>
        <v>20</v>
      </c>
      <c r="P10" s="33">
        <f t="shared" si="10"/>
        <v>20</v>
      </c>
      <c r="Q10" s="33">
        <f t="shared" si="11"/>
        <v>20</v>
      </c>
      <c r="R10" s="33">
        <f t="shared" si="12"/>
        <v>20</v>
      </c>
      <c r="S10" s="33">
        <f t="shared" si="13"/>
        <v>20</v>
      </c>
      <c r="T10" s="33">
        <f t="shared" si="14"/>
        <v>20</v>
      </c>
      <c r="U10" s="33">
        <f t="shared" si="15"/>
        <v>20</v>
      </c>
    </row>
    <row r="13" spans="1:21" ht="15" customHeight="1" x14ac:dyDescent="0.3">
      <c r="A13" s="2" t="s">
        <v>493</v>
      </c>
    </row>
    <row r="14" spans="1:21" ht="23.25" customHeight="1" x14ac:dyDescent="0.3">
      <c r="A14" s="4" t="s">
        <v>65</v>
      </c>
      <c r="B14" s="4" t="s">
        <v>66</v>
      </c>
      <c r="C14" s="4" t="s">
        <v>112</v>
      </c>
      <c r="D14" s="4" t="s">
        <v>113</v>
      </c>
      <c r="E14" s="4" t="s">
        <v>494</v>
      </c>
      <c r="F14" s="4" t="s">
        <v>495</v>
      </c>
    </row>
    <row r="15" spans="1:21" ht="15" customHeight="1" x14ac:dyDescent="0.3">
      <c r="A15" s="28" t="s">
        <v>74</v>
      </c>
      <c r="B15" s="8" t="str">
        <f>IFERROR(VLOOKUP(A15,RESOURCES!A:B,2,FALSE()),"")</f>
        <v>Anis Bouchema</v>
      </c>
      <c r="C15" s="29">
        <v>46115</v>
      </c>
      <c r="D15" s="29">
        <v>46117</v>
      </c>
      <c r="E15" s="28">
        <v>16</v>
      </c>
      <c r="F15" s="28" t="s">
        <v>496</v>
      </c>
    </row>
    <row r="16" spans="1:21" ht="15" customHeight="1" x14ac:dyDescent="0.3">
      <c r="A16" s="28" t="s">
        <v>90</v>
      </c>
      <c r="B16" s="8" t="str">
        <f>IFERROR(VLOOKUP(A16,RESOURCES!A:B,2,FALSE()),"")</f>
        <v>Maya Singh</v>
      </c>
      <c r="C16" s="29">
        <v>46097</v>
      </c>
      <c r="D16" s="29">
        <v>46103</v>
      </c>
      <c r="E16" s="28">
        <v>25</v>
      </c>
      <c r="F16" s="28" t="s">
        <v>497</v>
      </c>
    </row>
    <row r="17" spans="1:6" ht="15" customHeight="1" x14ac:dyDescent="0.3">
      <c r="A17" s="28" t="s">
        <v>103</v>
      </c>
      <c r="B17" s="8" t="str">
        <f>IFERROR(VLOOKUP(A17,RESOURCES!A:B,2,FALSE()),"")</f>
        <v>Noah Lafleur</v>
      </c>
      <c r="C17" s="29">
        <v>46118</v>
      </c>
      <c r="D17" s="29">
        <v>46124</v>
      </c>
      <c r="E17" s="28">
        <v>20</v>
      </c>
      <c r="F17" s="28" t="s">
        <v>498</v>
      </c>
    </row>
    <row r="18" spans="1:6" ht="15" customHeight="1" x14ac:dyDescent="0.3">
      <c r="A18" s="28" t="s">
        <v>99</v>
      </c>
      <c r="B18" s="8" t="str">
        <f>IFERROR(VLOOKUP(A18,RESOURCES!A:B,2,FALSE()),"")</f>
        <v>Olivia Brown</v>
      </c>
      <c r="C18" s="29">
        <v>46132</v>
      </c>
      <c r="D18" s="29">
        <v>46138</v>
      </c>
      <c r="E18" s="28">
        <v>20</v>
      </c>
      <c r="F18" s="28" t="s">
        <v>499</v>
      </c>
    </row>
    <row r="19" spans="1:6" ht="15" customHeight="1" x14ac:dyDescent="0.3">
      <c r="A19" s="28" t="s">
        <v>85</v>
      </c>
      <c r="B19" s="8" t="str">
        <f>IFERROR(VLOOKUP(A19,RESOURCES!A:B,2,FALSE()),"")</f>
        <v>Tyler Osei</v>
      </c>
      <c r="C19" s="29">
        <v>46160</v>
      </c>
      <c r="D19" s="29">
        <v>46164</v>
      </c>
      <c r="E19" s="28">
        <v>35</v>
      </c>
      <c r="F19" s="28" t="s">
        <v>500</v>
      </c>
    </row>
    <row r="20" spans="1:6" ht="15" customHeight="1" x14ac:dyDescent="0.3">
      <c r="A20" s="7"/>
      <c r="B20" s="7"/>
      <c r="C20" s="7"/>
      <c r="D20" s="7"/>
      <c r="E20" s="7"/>
      <c r="F20" s="7"/>
    </row>
    <row r="21" spans="1:6" ht="15" customHeight="1" x14ac:dyDescent="0.3">
      <c r="A21" s="7"/>
      <c r="B21" s="7"/>
      <c r="C21" s="7"/>
      <c r="D21" s="7"/>
      <c r="E21" s="7"/>
      <c r="F21" s="7"/>
    </row>
    <row r="22" spans="1:6" ht="15" customHeight="1" x14ac:dyDescent="0.3">
      <c r="A22" s="7"/>
      <c r="B22" s="7"/>
      <c r="C22" s="7"/>
      <c r="D22" s="7"/>
      <c r="E22" s="7"/>
      <c r="F22" s="7"/>
    </row>
    <row r="23" spans="1:6" ht="15" customHeight="1" x14ac:dyDescent="0.3">
      <c r="A23" s="7"/>
      <c r="B23" s="7"/>
      <c r="C23" s="7"/>
      <c r="D23" s="7"/>
      <c r="E23" s="7"/>
      <c r="F23" s="7"/>
    </row>
    <row r="24" spans="1:6" ht="15" customHeight="1" x14ac:dyDescent="0.3">
      <c r="A24" s="7"/>
      <c r="B24" s="7"/>
      <c r="C24" s="7"/>
      <c r="D24" s="7"/>
      <c r="E24" s="7"/>
      <c r="F24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0000"/>
  </sheetPr>
  <dimension ref="A1:S42"/>
  <sheetViews>
    <sheetView zoomScaleNormal="100" workbookViewId="0">
      <pane xSplit="3" ySplit="4" topLeftCell="D19" activePane="bottomRight" state="frozen"/>
      <selection pane="topRight" activeCell="D1" sqref="D1"/>
      <selection pane="bottomLeft" activeCell="A5" sqref="A5"/>
      <selection pane="bottomRight" activeCell="B36" sqref="B36"/>
    </sheetView>
  </sheetViews>
  <sheetFormatPr defaultColWidth="8.6640625" defaultRowHeight="14.4" x14ac:dyDescent="0.3"/>
  <cols>
    <col min="1" max="1" width="12" customWidth="1"/>
    <col min="2" max="2" width="18" customWidth="1"/>
    <col min="3" max="3" width="16" customWidth="1"/>
    <col min="4" max="19" width="8" customWidth="1"/>
  </cols>
  <sheetData>
    <row r="1" spans="1:19" ht="17.25" customHeight="1" x14ac:dyDescent="0.3">
      <c r="A1" s="1" t="s">
        <v>501</v>
      </c>
    </row>
    <row r="2" spans="1:19" ht="15" customHeight="1" x14ac:dyDescent="0.3">
      <c r="A2" s="34" t="s">
        <v>502</v>
      </c>
      <c r="D2" s="35">
        <v>46076</v>
      </c>
      <c r="E2" s="35">
        <v>46083</v>
      </c>
      <c r="F2" s="35">
        <v>46090</v>
      </c>
      <c r="G2" s="35">
        <v>46097</v>
      </c>
      <c r="H2" s="35">
        <v>46104</v>
      </c>
      <c r="I2" s="35">
        <v>46111</v>
      </c>
      <c r="J2" s="35">
        <v>46118</v>
      </c>
      <c r="K2" s="35">
        <v>46125</v>
      </c>
      <c r="L2" s="35">
        <v>46132</v>
      </c>
      <c r="M2" s="35">
        <v>46139</v>
      </c>
      <c r="N2" s="35">
        <v>46146</v>
      </c>
      <c r="O2" s="35">
        <v>46153</v>
      </c>
      <c r="P2" s="35">
        <v>46160</v>
      </c>
      <c r="Q2" s="35">
        <v>46167</v>
      </c>
      <c r="R2" s="35">
        <v>46174</v>
      </c>
      <c r="S2" s="35">
        <v>46181</v>
      </c>
    </row>
    <row r="3" spans="1:19" ht="15" customHeight="1" x14ac:dyDescent="0.3">
      <c r="A3" s="2" t="s">
        <v>503</v>
      </c>
    </row>
    <row r="4" spans="1:19" ht="15" customHeight="1" x14ac:dyDescent="0.3">
      <c r="A4" s="4" t="s">
        <v>65</v>
      </c>
      <c r="B4" s="4" t="s">
        <v>66</v>
      </c>
      <c r="C4" s="4" t="s">
        <v>67</v>
      </c>
      <c r="D4" s="4" t="s">
        <v>477</v>
      </c>
      <c r="E4" s="4" t="s">
        <v>478</v>
      </c>
      <c r="F4" s="4" t="s">
        <v>479</v>
      </c>
      <c r="G4" s="4" t="s">
        <v>480</v>
      </c>
      <c r="H4" s="4" t="s">
        <v>481</v>
      </c>
      <c r="I4" s="4" t="s">
        <v>482</v>
      </c>
      <c r="J4" s="4" t="s">
        <v>483</v>
      </c>
      <c r="K4" s="4" t="s">
        <v>484</v>
      </c>
      <c r="L4" s="4" t="s">
        <v>485</v>
      </c>
      <c r="M4" s="4" t="s">
        <v>486</v>
      </c>
      <c r="N4" s="4" t="s">
        <v>487</v>
      </c>
      <c r="O4" s="4" t="s">
        <v>488</v>
      </c>
      <c r="P4" s="4" t="s">
        <v>489</v>
      </c>
      <c r="Q4" s="4" t="s">
        <v>490</v>
      </c>
      <c r="R4" s="4" t="s">
        <v>491</v>
      </c>
      <c r="S4" s="4" t="s">
        <v>492</v>
      </c>
    </row>
    <row r="5" spans="1:19" ht="15" customHeight="1" x14ac:dyDescent="0.3">
      <c r="A5" s="5" t="s">
        <v>74</v>
      </c>
      <c r="B5" s="5" t="s">
        <v>549</v>
      </c>
      <c r="C5" s="5" t="s">
        <v>75</v>
      </c>
      <c r="D5" s="33">
        <f>SUMPRODUCT((ASSIGNMENTS!$C$2:$C$214="R001")*(INT(ASSIGNMENTS!$D$2:$D$214)=INT(D$2))*(ASSIGNMENTS!$E$2:$E$214))</f>
        <v>0</v>
      </c>
      <c r="E5" s="33">
        <f>SUMPRODUCT((ASSIGNMENTS!$C$2:$C$214="R001")*(INT(ASSIGNMENTS!$D$2:$D$214)=INT(E$2))*(ASSIGNMENTS!$E$2:$E$214))</f>
        <v>7</v>
      </c>
      <c r="F5" s="33">
        <f>SUMPRODUCT((ASSIGNMENTS!$C$2:$C$214="R001")*(INT(ASSIGNMENTS!$D$2:$D$214)=INT(F$2))*(ASSIGNMENTS!$E$2:$E$214))</f>
        <v>12.4</v>
      </c>
      <c r="G5" s="33">
        <f>SUMPRODUCT((ASSIGNMENTS!$C$2:$C$214="R001")*(INT(ASSIGNMENTS!$D$2:$D$214)=INT(G$2))*(ASSIGNMENTS!$E$2:$E$214))</f>
        <v>14.4</v>
      </c>
      <c r="H5" s="33">
        <f>SUMPRODUCT((ASSIGNMENTS!$C$2:$C$214="R001")*(INT(ASSIGNMENTS!$D$2:$D$214)=INT(H$2))*(ASSIGNMENTS!$E$2:$E$214))</f>
        <v>13.2</v>
      </c>
      <c r="I5" s="33">
        <f>SUMPRODUCT((ASSIGNMENTS!$C$2:$C$214="R001")*(INT(ASSIGNMENTS!$D$2:$D$214)=INT(I$2))*(ASSIGNMENTS!$E$2:$E$214))</f>
        <v>10.7</v>
      </c>
      <c r="J5" s="33">
        <f>SUMPRODUCT((ASSIGNMENTS!$C$2:$C$214="R001")*(INT(ASSIGNMENTS!$D$2:$D$214)=INT(J$2))*(ASSIGNMENTS!$E$2:$E$214))</f>
        <v>10.7</v>
      </c>
      <c r="K5" s="33">
        <f>SUMPRODUCT((ASSIGNMENTS!$C$2:$C$214="R001")*(INT(ASSIGNMENTS!$D$2:$D$214)=INT(K$2))*(ASSIGNMENTS!$E$2:$E$214))</f>
        <v>10.6</v>
      </c>
      <c r="L5" s="33">
        <f>SUMPRODUCT((ASSIGNMENTS!$C$2:$C$214="R001")*(INT(ASSIGNMENTS!$D$2:$D$214)=INT(L$2))*(ASSIGNMENTS!$E$2:$E$214))</f>
        <v>5</v>
      </c>
      <c r="M5" s="33">
        <f>SUMPRODUCT((ASSIGNMENTS!$C$2:$C$214="R001")*(INT(ASSIGNMENTS!$D$2:$D$214)=INT(M$2))*(ASSIGNMENTS!$E$2:$E$214))</f>
        <v>2</v>
      </c>
      <c r="N5" s="33">
        <f>SUMPRODUCT((ASSIGNMENTS!$C$2:$C$214="R001")*(INT(ASSIGNMENTS!$D$2:$D$214)=INT(N$2))*(ASSIGNMENTS!$E$2:$E$214))</f>
        <v>4</v>
      </c>
      <c r="O5" s="33">
        <f>SUMPRODUCT((ASSIGNMENTS!$C$2:$C$214="R001")*(INT(ASSIGNMENTS!$D$2:$D$214)=INT(O$2))*(ASSIGNMENTS!$E$2:$E$214))</f>
        <v>4</v>
      </c>
      <c r="P5" s="33">
        <f>SUMPRODUCT((ASSIGNMENTS!$C$2:$C$214="R001")*(INT(ASSIGNMENTS!$D$2:$D$214)=INT(P$2))*(ASSIGNMENTS!$E$2:$E$214))</f>
        <v>2</v>
      </c>
      <c r="Q5" s="33">
        <f>SUMPRODUCT((ASSIGNMENTS!$C$2:$C$214="R001")*(INT(ASSIGNMENTS!$D$2:$D$214)=INT(Q$2))*(ASSIGNMENTS!$E$2:$E$214))</f>
        <v>2</v>
      </c>
      <c r="R5" s="33">
        <f>SUMPRODUCT((ASSIGNMENTS!$C$2:$C$214="R001")*(INT(ASSIGNMENTS!$D$2:$D$214)=INT(R$2))*(ASSIGNMENTS!$E$2:$E$214))</f>
        <v>0</v>
      </c>
      <c r="S5" s="33">
        <f>SUMPRODUCT((ASSIGNMENTS!$C$2:$C$214="R001")*(INT(ASSIGNMENTS!$D$2:$D$214)=INT(S$2))*(ASSIGNMENTS!$E$2:$E$214))</f>
        <v>0</v>
      </c>
    </row>
    <row r="6" spans="1:19" ht="15" customHeight="1" x14ac:dyDescent="0.3">
      <c r="A6" s="5" t="s">
        <v>79</v>
      </c>
      <c r="B6" s="5" t="s">
        <v>80</v>
      </c>
      <c r="C6" s="5" t="s">
        <v>81</v>
      </c>
      <c r="D6" s="33">
        <f>SUMPRODUCT((ASSIGNMENTS!$C$2:$C$214="R002")*(INT(ASSIGNMENTS!$D$2:$D$214)=INT(D$2))*(ASSIGNMENTS!$E$2:$E$214))</f>
        <v>18</v>
      </c>
      <c r="E6" s="33">
        <f>SUMPRODUCT((ASSIGNMENTS!$C$2:$C$214="R002")*(INT(ASSIGNMENTS!$D$2:$D$214)=INT(E$2))*(ASSIGNMENTS!$E$2:$E$214))</f>
        <v>18</v>
      </c>
      <c r="F6" s="33">
        <f>SUMPRODUCT((ASSIGNMENTS!$C$2:$C$214="R002")*(INT(ASSIGNMENTS!$D$2:$D$214)=INT(F$2))*(ASSIGNMENTS!$E$2:$E$214))</f>
        <v>18</v>
      </c>
      <c r="G6" s="33">
        <f>SUMPRODUCT((ASSIGNMENTS!$C$2:$C$214="R002")*(INT(ASSIGNMENTS!$D$2:$D$214)=INT(G$2))*(ASSIGNMENTS!$E$2:$E$214))</f>
        <v>18</v>
      </c>
      <c r="H6" s="33">
        <f>SUMPRODUCT((ASSIGNMENTS!$C$2:$C$214="R002")*(INT(ASSIGNMENTS!$D$2:$D$214)=INT(H$2))*(ASSIGNMENTS!$E$2:$E$214))</f>
        <v>18</v>
      </c>
      <c r="I6" s="33">
        <f>SUMPRODUCT((ASSIGNMENTS!$C$2:$C$214="R002")*(INT(ASSIGNMENTS!$D$2:$D$214)=INT(I$2))*(ASSIGNMENTS!$E$2:$E$214))</f>
        <v>22</v>
      </c>
      <c r="J6" s="33">
        <f>SUMPRODUCT((ASSIGNMENTS!$C$2:$C$214="R002")*(INT(ASSIGNMENTS!$D$2:$D$214)=INT(J$2))*(ASSIGNMENTS!$E$2:$E$214))</f>
        <v>23.5</v>
      </c>
      <c r="K6" s="33">
        <f>SUMPRODUCT((ASSIGNMENTS!$C$2:$C$214="R002")*(INT(ASSIGNMENTS!$D$2:$D$214)=INT(K$2))*(ASSIGNMENTS!$E$2:$E$214))</f>
        <v>19.5</v>
      </c>
      <c r="L6" s="33">
        <f>SUMPRODUCT((ASSIGNMENTS!$C$2:$C$214="R002")*(INT(ASSIGNMENTS!$D$2:$D$214)=INT(L$2))*(ASSIGNMENTS!$E$2:$E$214))</f>
        <v>30.5</v>
      </c>
      <c r="M6" s="33">
        <f>SUMPRODUCT((ASSIGNMENTS!$C$2:$C$214="R002")*(INT(ASSIGNMENTS!$D$2:$D$214)=INT(M$2))*(ASSIGNMENTS!$E$2:$E$214))</f>
        <v>30.5</v>
      </c>
      <c r="N6" s="33">
        <f>SUMPRODUCT((ASSIGNMENTS!$C$2:$C$214="R002")*(INT(ASSIGNMENTS!$D$2:$D$214)=INT(N$2))*(ASSIGNMENTS!$E$2:$E$214))</f>
        <v>23</v>
      </c>
      <c r="O6" s="33">
        <f>SUMPRODUCT((ASSIGNMENTS!$C$2:$C$214="R002")*(INT(ASSIGNMENTS!$D$2:$D$214)=INT(O$2))*(ASSIGNMENTS!$E$2:$E$214))</f>
        <v>18</v>
      </c>
      <c r="P6" s="33">
        <f>SUMPRODUCT((ASSIGNMENTS!$C$2:$C$214="R002")*(INT(ASSIGNMENTS!$D$2:$D$214)=INT(P$2))*(ASSIGNMENTS!$E$2:$E$214))</f>
        <v>18</v>
      </c>
      <c r="Q6" s="33">
        <f>SUMPRODUCT((ASSIGNMENTS!$C$2:$C$214="R002")*(INT(ASSIGNMENTS!$D$2:$D$214)=INT(Q$2))*(ASSIGNMENTS!$E$2:$E$214))</f>
        <v>18</v>
      </c>
      <c r="R6" s="33">
        <f>SUMPRODUCT((ASSIGNMENTS!$C$2:$C$214="R002")*(INT(ASSIGNMENTS!$D$2:$D$214)=INT(R$2))*(ASSIGNMENTS!$E$2:$E$214))</f>
        <v>18</v>
      </c>
      <c r="S6" s="33">
        <f>SUMPRODUCT((ASSIGNMENTS!$C$2:$C$214="R002")*(INT(ASSIGNMENTS!$D$2:$D$214)=INT(S$2))*(ASSIGNMENTS!$E$2:$E$214))</f>
        <v>18</v>
      </c>
    </row>
    <row r="7" spans="1:19" ht="15" customHeight="1" x14ac:dyDescent="0.3">
      <c r="A7" s="5" t="s">
        <v>85</v>
      </c>
      <c r="B7" s="5" t="s">
        <v>86</v>
      </c>
      <c r="C7" s="5" t="s">
        <v>81</v>
      </c>
      <c r="D7" s="33">
        <f>SUMPRODUCT((ASSIGNMENTS!$C$2:$C$214="R003")*(INT(ASSIGNMENTS!$D$2:$D$214)=INT(D$2))*(ASSIGNMENTS!$E$2:$E$214))</f>
        <v>20</v>
      </c>
      <c r="E7" s="33">
        <f>SUMPRODUCT((ASSIGNMENTS!$C$2:$C$214="R003")*(INT(ASSIGNMENTS!$D$2:$D$214)=INT(E$2))*(ASSIGNMENTS!$E$2:$E$214))</f>
        <v>20</v>
      </c>
      <c r="F7" s="33">
        <f>SUMPRODUCT((ASSIGNMENTS!$C$2:$C$214="R003")*(INT(ASSIGNMENTS!$D$2:$D$214)=INT(F$2))*(ASSIGNMENTS!$E$2:$E$214))</f>
        <v>20</v>
      </c>
      <c r="G7" s="33">
        <f>SUMPRODUCT((ASSIGNMENTS!$C$2:$C$214="R003")*(INT(ASSIGNMENTS!$D$2:$D$214)=INT(G$2))*(ASSIGNMENTS!$E$2:$E$214))</f>
        <v>20</v>
      </c>
      <c r="H7" s="33">
        <f>SUMPRODUCT((ASSIGNMENTS!$C$2:$C$214="R003")*(INT(ASSIGNMENTS!$D$2:$D$214)=INT(H$2))*(ASSIGNMENTS!$E$2:$E$214))</f>
        <v>20</v>
      </c>
      <c r="I7" s="33">
        <f>SUMPRODUCT((ASSIGNMENTS!$C$2:$C$214="R003")*(INT(ASSIGNMENTS!$D$2:$D$214)=INT(I$2))*(ASSIGNMENTS!$E$2:$E$214))</f>
        <v>22.7</v>
      </c>
      <c r="J7" s="33">
        <f>SUMPRODUCT((ASSIGNMENTS!$C$2:$C$214="R003")*(INT(ASSIGNMENTS!$D$2:$D$214)=INT(J$2))*(ASSIGNMENTS!$E$2:$E$214))</f>
        <v>22.7</v>
      </c>
      <c r="K7" s="33">
        <f>SUMPRODUCT((ASSIGNMENTS!$C$2:$C$214="R003")*(INT(ASSIGNMENTS!$D$2:$D$214)=INT(K$2))*(ASSIGNMENTS!$E$2:$E$214))</f>
        <v>22.6</v>
      </c>
      <c r="L7" s="33">
        <f>SUMPRODUCT((ASSIGNMENTS!$C$2:$C$214="R003")*(INT(ASSIGNMENTS!$D$2:$D$214)=INT(L$2))*(ASSIGNMENTS!$E$2:$E$214))</f>
        <v>23.8</v>
      </c>
      <c r="M7" s="33">
        <f>SUMPRODUCT((ASSIGNMENTS!$C$2:$C$214="R003")*(INT(ASSIGNMENTS!$D$2:$D$214)=INT(M$2))*(ASSIGNMENTS!$E$2:$E$214))</f>
        <v>23.8</v>
      </c>
      <c r="N7" s="33">
        <f>SUMPRODUCT((ASSIGNMENTS!$C$2:$C$214="R003")*(INT(ASSIGNMENTS!$D$2:$D$214)=INT(N$2))*(ASSIGNMENTS!$E$2:$E$214))</f>
        <v>23.8</v>
      </c>
      <c r="O7" s="33">
        <f>SUMPRODUCT((ASSIGNMENTS!$C$2:$C$214="R003")*(INT(ASSIGNMENTS!$D$2:$D$214)=INT(O$2))*(ASSIGNMENTS!$E$2:$E$214))</f>
        <v>23.6</v>
      </c>
      <c r="P7" s="33">
        <f>SUMPRODUCT((ASSIGNMENTS!$C$2:$C$214="R003")*(INT(ASSIGNMENTS!$D$2:$D$214)=INT(P$2))*(ASSIGNMENTS!$E$2:$E$214))</f>
        <v>20</v>
      </c>
      <c r="Q7" s="33">
        <f>SUMPRODUCT((ASSIGNMENTS!$C$2:$C$214="R003")*(INT(ASSIGNMENTS!$D$2:$D$214)=INT(Q$2))*(ASSIGNMENTS!$E$2:$E$214))</f>
        <v>20</v>
      </c>
      <c r="R7" s="33">
        <f>SUMPRODUCT((ASSIGNMENTS!$C$2:$C$214="R003")*(INT(ASSIGNMENTS!$D$2:$D$214)=INT(R$2))*(ASSIGNMENTS!$E$2:$E$214))</f>
        <v>20</v>
      </c>
      <c r="S7" s="33">
        <f>SUMPRODUCT((ASSIGNMENTS!$C$2:$C$214="R003")*(INT(ASSIGNMENTS!$D$2:$D$214)=INT(S$2))*(ASSIGNMENTS!$E$2:$E$214))</f>
        <v>20</v>
      </c>
    </row>
    <row r="8" spans="1:19" ht="15" customHeight="1" x14ac:dyDescent="0.3">
      <c r="A8" s="5" t="s">
        <v>90</v>
      </c>
      <c r="B8" s="5" t="s">
        <v>91</v>
      </c>
      <c r="C8" s="5" t="s">
        <v>92</v>
      </c>
      <c r="D8" s="33">
        <f>SUMPRODUCT((ASSIGNMENTS!$C$2:$C$214="R004")*(INT(ASSIGNMENTS!$D$2:$D$214)=INT(D$2))*(ASSIGNMENTS!$E$2:$E$214))</f>
        <v>12</v>
      </c>
      <c r="E8" s="33">
        <f>SUMPRODUCT((ASSIGNMENTS!$C$2:$C$214="R004")*(INT(ASSIGNMENTS!$D$2:$D$214)=INT(E$2))*(ASSIGNMENTS!$E$2:$E$214))</f>
        <v>12</v>
      </c>
      <c r="F8" s="33">
        <f>SUMPRODUCT((ASSIGNMENTS!$C$2:$C$214="R004")*(INT(ASSIGNMENTS!$D$2:$D$214)=INT(F$2))*(ASSIGNMENTS!$E$2:$E$214))</f>
        <v>12</v>
      </c>
      <c r="G8" s="33">
        <f>SUMPRODUCT((ASSIGNMENTS!$C$2:$C$214="R004")*(INT(ASSIGNMENTS!$D$2:$D$214)=INT(G$2))*(ASSIGNMENTS!$E$2:$E$214))</f>
        <v>12</v>
      </c>
      <c r="H8" s="33">
        <f>SUMPRODUCT((ASSIGNMENTS!$C$2:$C$214="R004")*(INT(ASSIGNMENTS!$D$2:$D$214)=INT(H$2))*(ASSIGNMENTS!$E$2:$E$214))</f>
        <v>12</v>
      </c>
      <c r="I8" s="33">
        <f>SUMPRODUCT((ASSIGNMENTS!$C$2:$C$214="R004")*(INT(ASSIGNMENTS!$D$2:$D$214)=INT(I$2))*(ASSIGNMENTS!$E$2:$E$214))</f>
        <v>12</v>
      </c>
      <c r="J8" s="33">
        <f>SUMPRODUCT((ASSIGNMENTS!$C$2:$C$214="R004")*(INT(ASSIGNMENTS!$D$2:$D$214)=INT(J$2))*(ASSIGNMENTS!$E$2:$E$214))</f>
        <v>12</v>
      </c>
      <c r="K8" s="33">
        <f>SUMPRODUCT((ASSIGNMENTS!$C$2:$C$214="R004")*(INT(ASSIGNMENTS!$D$2:$D$214)=INT(K$2))*(ASSIGNMENTS!$E$2:$E$214))</f>
        <v>12</v>
      </c>
      <c r="L8" s="33">
        <f>SUMPRODUCT((ASSIGNMENTS!$C$2:$C$214="R004")*(INT(ASSIGNMENTS!$D$2:$D$214)=INT(L$2))*(ASSIGNMENTS!$E$2:$E$214))</f>
        <v>12</v>
      </c>
      <c r="M8" s="33">
        <f>SUMPRODUCT((ASSIGNMENTS!$C$2:$C$214="R004")*(INT(ASSIGNMENTS!$D$2:$D$214)=INT(M$2))*(ASSIGNMENTS!$E$2:$E$214))</f>
        <v>12</v>
      </c>
      <c r="N8" s="33">
        <f>SUMPRODUCT((ASSIGNMENTS!$C$2:$C$214="R004")*(INT(ASSIGNMENTS!$D$2:$D$214)=INT(N$2))*(ASSIGNMENTS!$E$2:$E$214))</f>
        <v>12</v>
      </c>
      <c r="O8" s="33">
        <f>SUMPRODUCT((ASSIGNMENTS!$C$2:$C$214="R004")*(INT(ASSIGNMENTS!$D$2:$D$214)=INT(O$2))*(ASSIGNMENTS!$E$2:$E$214))</f>
        <v>12</v>
      </c>
      <c r="P8" s="33">
        <f>SUMPRODUCT((ASSIGNMENTS!$C$2:$C$214="R004")*(INT(ASSIGNMENTS!$D$2:$D$214)=INT(P$2))*(ASSIGNMENTS!$E$2:$E$214))</f>
        <v>12</v>
      </c>
      <c r="Q8" s="33">
        <f>SUMPRODUCT((ASSIGNMENTS!$C$2:$C$214="R004")*(INT(ASSIGNMENTS!$D$2:$D$214)=INT(Q$2))*(ASSIGNMENTS!$E$2:$E$214))</f>
        <v>12</v>
      </c>
      <c r="R8" s="33">
        <f>SUMPRODUCT((ASSIGNMENTS!$C$2:$C$214="R004")*(INT(ASSIGNMENTS!$D$2:$D$214)=INT(R$2))*(ASSIGNMENTS!$E$2:$E$214))</f>
        <v>12</v>
      </c>
      <c r="S8" s="33">
        <f>SUMPRODUCT((ASSIGNMENTS!$C$2:$C$214="R004")*(INT(ASSIGNMENTS!$D$2:$D$214)=INT(S$2))*(ASSIGNMENTS!$E$2:$E$214))</f>
        <v>12</v>
      </c>
    </row>
    <row r="9" spans="1:19" ht="15" customHeight="1" x14ac:dyDescent="0.3">
      <c r="A9" s="5" t="s">
        <v>95</v>
      </c>
      <c r="B9" s="5" t="s">
        <v>96</v>
      </c>
      <c r="C9" s="5" t="s">
        <v>92</v>
      </c>
      <c r="D9" s="33">
        <f>SUMPRODUCT((ASSIGNMENTS!$C$2:$C$214="R005")*(INT(ASSIGNMENTS!$D$2:$D$214)=INT(D$2))*(ASSIGNMENTS!$E$2:$E$214))</f>
        <v>17.5</v>
      </c>
      <c r="E9" s="33">
        <f>SUMPRODUCT((ASSIGNMENTS!$C$2:$C$214="R005")*(INT(ASSIGNMENTS!$D$2:$D$214)=INT(E$2))*(ASSIGNMENTS!$E$2:$E$214))</f>
        <v>17.5</v>
      </c>
      <c r="F9" s="33">
        <f>SUMPRODUCT((ASSIGNMENTS!$C$2:$C$214="R005")*(INT(ASSIGNMENTS!$D$2:$D$214)=INT(F$2))*(ASSIGNMENTS!$E$2:$E$214))</f>
        <v>17.5</v>
      </c>
      <c r="G9" s="33">
        <f>SUMPRODUCT((ASSIGNMENTS!$C$2:$C$214="R005")*(INT(ASSIGNMENTS!$D$2:$D$214)=INT(G$2))*(ASSIGNMENTS!$E$2:$E$214))</f>
        <v>17.5</v>
      </c>
      <c r="H9" s="33">
        <f>SUMPRODUCT((ASSIGNMENTS!$C$2:$C$214="R005")*(INT(ASSIGNMENTS!$D$2:$D$214)=INT(H$2))*(ASSIGNMENTS!$E$2:$E$214))</f>
        <v>17.5</v>
      </c>
      <c r="I9" s="33">
        <f>SUMPRODUCT((ASSIGNMENTS!$C$2:$C$214="R005")*(INT(ASSIGNMENTS!$D$2:$D$214)=INT(I$2))*(ASSIGNMENTS!$E$2:$E$214))</f>
        <v>17.5</v>
      </c>
      <c r="J9" s="33">
        <f>SUMPRODUCT((ASSIGNMENTS!$C$2:$C$214="R005")*(INT(ASSIGNMENTS!$D$2:$D$214)=INT(J$2))*(ASSIGNMENTS!$E$2:$E$214))</f>
        <v>17.5</v>
      </c>
      <c r="K9" s="33">
        <f>SUMPRODUCT((ASSIGNMENTS!$C$2:$C$214="R005")*(INT(ASSIGNMENTS!$D$2:$D$214)=INT(K$2))*(ASSIGNMENTS!$E$2:$E$214))</f>
        <v>17.5</v>
      </c>
      <c r="L9" s="33">
        <f>SUMPRODUCT((ASSIGNMENTS!$C$2:$C$214="R005")*(INT(ASSIGNMENTS!$D$2:$D$214)=INT(L$2))*(ASSIGNMENTS!$E$2:$E$214))</f>
        <v>17.5</v>
      </c>
      <c r="M9" s="33">
        <f>SUMPRODUCT((ASSIGNMENTS!$C$2:$C$214="R005")*(INT(ASSIGNMENTS!$D$2:$D$214)=INT(M$2))*(ASSIGNMENTS!$E$2:$E$214))</f>
        <v>17.5</v>
      </c>
      <c r="N9" s="33">
        <f>SUMPRODUCT((ASSIGNMENTS!$C$2:$C$214="R005")*(INT(ASSIGNMENTS!$D$2:$D$214)=INT(N$2))*(ASSIGNMENTS!$E$2:$E$214))</f>
        <v>17.5</v>
      </c>
      <c r="O9" s="33">
        <f>SUMPRODUCT((ASSIGNMENTS!$C$2:$C$214="R005")*(INT(ASSIGNMENTS!$D$2:$D$214)=INT(O$2))*(ASSIGNMENTS!$E$2:$E$214))</f>
        <v>17.5</v>
      </c>
      <c r="P9" s="33">
        <f>SUMPRODUCT((ASSIGNMENTS!$C$2:$C$214="R005")*(INT(ASSIGNMENTS!$D$2:$D$214)=INT(P$2))*(ASSIGNMENTS!$E$2:$E$214))</f>
        <v>17.5</v>
      </c>
      <c r="Q9" s="33">
        <f>SUMPRODUCT((ASSIGNMENTS!$C$2:$C$214="R005")*(INT(ASSIGNMENTS!$D$2:$D$214)=INT(Q$2))*(ASSIGNMENTS!$E$2:$E$214))</f>
        <v>17.5</v>
      </c>
      <c r="R9" s="33">
        <f>SUMPRODUCT((ASSIGNMENTS!$C$2:$C$214="R005")*(INT(ASSIGNMENTS!$D$2:$D$214)=INT(R$2))*(ASSIGNMENTS!$E$2:$E$214))</f>
        <v>17.5</v>
      </c>
      <c r="S9" s="33">
        <f>SUMPRODUCT((ASSIGNMENTS!$C$2:$C$214="R005")*(INT(ASSIGNMENTS!$D$2:$D$214)=INT(S$2))*(ASSIGNMENTS!$E$2:$E$214))</f>
        <v>17.5</v>
      </c>
    </row>
    <row r="10" spans="1:19" ht="15" customHeight="1" x14ac:dyDescent="0.3">
      <c r="A10" s="5" t="s">
        <v>99</v>
      </c>
      <c r="B10" s="5" t="s">
        <v>100</v>
      </c>
      <c r="C10" s="5" t="s">
        <v>92</v>
      </c>
      <c r="D10" s="33">
        <f>SUMPRODUCT((ASSIGNMENTS!$C$2:$C$214="R006")*(INT(ASSIGNMENTS!$D$2:$D$214)=INT(D$2))*(ASSIGNMENTS!$E$2:$E$214))</f>
        <v>8</v>
      </c>
      <c r="E10" s="33">
        <f>SUMPRODUCT((ASSIGNMENTS!$C$2:$C$214="R006")*(INT(ASSIGNMENTS!$D$2:$D$214)=INT(E$2))*(ASSIGNMENTS!$E$2:$E$214))</f>
        <v>8</v>
      </c>
      <c r="F10" s="33">
        <f>SUMPRODUCT((ASSIGNMENTS!$C$2:$C$214="R006")*(INT(ASSIGNMENTS!$D$2:$D$214)=INT(F$2))*(ASSIGNMENTS!$E$2:$E$214))</f>
        <v>8</v>
      </c>
      <c r="G10" s="33">
        <f>SUMPRODUCT((ASSIGNMENTS!$C$2:$C$214="R006")*(INT(ASSIGNMENTS!$D$2:$D$214)=INT(G$2))*(ASSIGNMENTS!$E$2:$E$214))</f>
        <v>8</v>
      </c>
      <c r="H10" s="33">
        <f>SUMPRODUCT((ASSIGNMENTS!$C$2:$C$214="R006")*(INT(ASSIGNMENTS!$D$2:$D$214)=INT(H$2))*(ASSIGNMENTS!$E$2:$E$214))</f>
        <v>8</v>
      </c>
      <c r="I10" s="33">
        <f>SUMPRODUCT((ASSIGNMENTS!$C$2:$C$214="R006")*(INT(ASSIGNMENTS!$D$2:$D$214)=INT(I$2))*(ASSIGNMENTS!$E$2:$E$214))</f>
        <v>8</v>
      </c>
      <c r="J10" s="33">
        <f>SUMPRODUCT((ASSIGNMENTS!$C$2:$C$214="R006")*(INT(ASSIGNMENTS!$D$2:$D$214)=INT(J$2))*(ASSIGNMENTS!$E$2:$E$214))</f>
        <v>8</v>
      </c>
      <c r="K10" s="33">
        <f>SUMPRODUCT((ASSIGNMENTS!$C$2:$C$214="R006")*(INT(ASSIGNMENTS!$D$2:$D$214)=INT(K$2))*(ASSIGNMENTS!$E$2:$E$214))</f>
        <v>8</v>
      </c>
      <c r="L10" s="33">
        <f>SUMPRODUCT((ASSIGNMENTS!$C$2:$C$214="R006")*(INT(ASSIGNMENTS!$D$2:$D$214)=INT(L$2))*(ASSIGNMENTS!$E$2:$E$214))</f>
        <v>8</v>
      </c>
      <c r="M10" s="33">
        <f>SUMPRODUCT((ASSIGNMENTS!$C$2:$C$214="R006")*(INT(ASSIGNMENTS!$D$2:$D$214)=INT(M$2))*(ASSIGNMENTS!$E$2:$E$214))</f>
        <v>8</v>
      </c>
      <c r="N10" s="33">
        <f>SUMPRODUCT((ASSIGNMENTS!$C$2:$C$214="R006")*(INT(ASSIGNMENTS!$D$2:$D$214)=INT(N$2))*(ASSIGNMENTS!$E$2:$E$214))</f>
        <v>8</v>
      </c>
      <c r="O10" s="33">
        <f>SUMPRODUCT((ASSIGNMENTS!$C$2:$C$214="R006")*(INT(ASSIGNMENTS!$D$2:$D$214)=INT(O$2))*(ASSIGNMENTS!$E$2:$E$214))</f>
        <v>8</v>
      </c>
      <c r="P10" s="33">
        <f>SUMPRODUCT((ASSIGNMENTS!$C$2:$C$214="R006")*(INT(ASSIGNMENTS!$D$2:$D$214)=INT(P$2))*(ASSIGNMENTS!$E$2:$E$214))</f>
        <v>8</v>
      </c>
      <c r="Q10" s="33">
        <f>SUMPRODUCT((ASSIGNMENTS!$C$2:$C$214="R006")*(INT(ASSIGNMENTS!$D$2:$D$214)=INT(Q$2))*(ASSIGNMENTS!$E$2:$E$214))</f>
        <v>8</v>
      </c>
      <c r="R10" s="33">
        <f>SUMPRODUCT((ASSIGNMENTS!$C$2:$C$214="R006")*(INT(ASSIGNMENTS!$D$2:$D$214)=INT(R$2))*(ASSIGNMENTS!$E$2:$E$214))</f>
        <v>8</v>
      </c>
      <c r="S10" s="33">
        <f>SUMPRODUCT((ASSIGNMENTS!$C$2:$C$214="R006")*(INT(ASSIGNMENTS!$D$2:$D$214)=INT(S$2))*(ASSIGNMENTS!$E$2:$E$214))</f>
        <v>8</v>
      </c>
    </row>
    <row r="11" spans="1:19" ht="15" customHeight="1" x14ac:dyDescent="0.3">
      <c r="A11" s="5" t="s">
        <v>103</v>
      </c>
      <c r="B11" s="5" t="s">
        <v>104</v>
      </c>
      <c r="C11" s="5" t="s">
        <v>105</v>
      </c>
      <c r="D11" s="33">
        <f>SUMPRODUCT((ASSIGNMENTS!$C$2:$C$214="R007")*(INT(ASSIGNMENTS!$D$2:$D$214)=INT(D$2))*(ASSIGNMENTS!$E$2:$E$214))</f>
        <v>10</v>
      </c>
      <c r="E11" s="33">
        <f>SUMPRODUCT((ASSIGNMENTS!$C$2:$C$214="R007")*(INT(ASSIGNMENTS!$D$2:$D$214)=INT(E$2))*(ASSIGNMENTS!$E$2:$E$214))</f>
        <v>10</v>
      </c>
      <c r="F11" s="33">
        <f>SUMPRODUCT((ASSIGNMENTS!$C$2:$C$214="R007")*(INT(ASSIGNMENTS!$D$2:$D$214)=INT(F$2))*(ASSIGNMENTS!$E$2:$E$214))</f>
        <v>10</v>
      </c>
      <c r="G11" s="33">
        <f>SUMPRODUCT((ASSIGNMENTS!$C$2:$C$214="R007")*(INT(ASSIGNMENTS!$D$2:$D$214)=INT(G$2))*(ASSIGNMENTS!$E$2:$E$214))</f>
        <v>10</v>
      </c>
      <c r="H11" s="33">
        <f>SUMPRODUCT((ASSIGNMENTS!$C$2:$C$214="R007")*(INT(ASSIGNMENTS!$D$2:$D$214)=INT(H$2))*(ASSIGNMENTS!$E$2:$E$214))</f>
        <v>10</v>
      </c>
      <c r="I11" s="33">
        <f>SUMPRODUCT((ASSIGNMENTS!$C$2:$C$214="R007")*(INT(ASSIGNMENTS!$D$2:$D$214)=INT(I$2))*(ASSIGNMENTS!$E$2:$E$214))</f>
        <v>10</v>
      </c>
      <c r="J11" s="33">
        <f>SUMPRODUCT((ASSIGNMENTS!$C$2:$C$214="R007")*(INT(ASSIGNMENTS!$D$2:$D$214)=INT(J$2))*(ASSIGNMENTS!$E$2:$E$214))</f>
        <v>10</v>
      </c>
      <c r="K11" s="33">
        <f>SUMPRODUCT((ASSIGNMENTS!$C$2:$C$214="R007")*(INT(ASSIGNMENTS!$D$2:$D$214)=INT(K$2))*(ASSIGNMENTS!$E$2:$E$214))</f>
        <v>10</v>
      </c>
      <c r="L11" s="33">
        <f>SUMPRODUCT((ASSIGNMENTS!$C$2:$C$214="R007")*(INT(ASSIGNMENTS!$D$2:$D$214)=INT(L$2))*(ASSIGNMENTS!$E$2:$E$214))</f>
        <v>10</v>
      </c>
      <c r="M11" s="33">
        <f>SUMPRODUCT((ASSIGNMENTS!$C$2:$C$214="R007")*(INT(ASSIGNMENTS!$D$2:$D$214)=INT(M$2))*(ASSIGNMENTS!$E$2:$E$214))</f>
        <v>10</v>
      </c>
      <c r="N11" s="33">
        <f>SUMPRODUCT((ASSIGNMENTS!$C$2:$C$214="R007")*(INT(ASSIGNMENTS!$D$2:$D$214)=INT(N$2))*(ASSIGNMENTS!$E$2:$E$214))</f>
        <v>10</v>
      </c>
      <c r="O11" s="33">
        <f>SUMPRODUCT((ASSIGNMENTS!$C$2:$C$214="R007")*(INT(ASSIGNMENTS!$D$2:$D$214)=INT(O$2))*(ASSIGNMENTS!$E$2:$E$214))</f>
        <v>10</v>
      </c>
      <c r="P11" s="33">
        <f>SUMPRODUCT((ASSIGNMENTS!$C$2:$C$214="R007")*(INT(ASSIGNMENTS!$D$2:$D$214)=INT(P$2))*(ASSIGNMENTS!$E$2:$E$214))</f>
        <v>10</v>
      </c>
      <c r="Q11" s="33">
        <f>SUMPRODUCT((ASSIGNMENTS!$C$2:$C$214="R007")*(INT(ASSIGNMENTS!$D$2:$D$214)=INT(Q$2))*(ASSIGNMENTS!$E$2:$E$214))</f>
        <v>10</v>
      </c>
      <c r="R11" s="33">
        <f>SUMPRODUCT((ASSIGNMENTS!$C$2:$C$214="R007")*(INT(ASSIGNMENTS!$D$2:$D$214)=INT(R$2))*(ASSIGNMENTS!$E$2:$E$214))</f>
        <v>10</v>
      </c>
      <c r="S11" s="33">
        <f>SUMPRODUCT((ASSIGNMENTS!$C$2:$C$214="R007")*(INT(ASSIGNMENTS!$D$2:$D$214)=INT(S$2))*(ASSIGNMENTS!$E$2:$E$214))</f>
        <v>10</v>
      </c>
    </row>
    <row r="14" spans="1:19" ht="15" customHeight="1" x14ac:dyDescent="0.3">
      <c r="A14" s="2" t="s">
        <v>504</v>
      </c>
    </row>
    <row r="15" spans="1:19" ht="15" customHeight="1" x14ac:dyDescent="0.3">
      <c r="A15" s="4" t="s">
        <v>65</v>
      </c>
      <c r="B15" s="4" t="s">
        <v>66</v>
      </c>
      <c r="C15" s="4" t="s">
        <v>67</v>
      </c>
      <c r="D15" s="4" t="s">
        <v>477</v>
      </c>
      <c r="E15" s="4" t="s">
        <v>478</v>
      </c>
      <c r="F15" s="4" t="s">
        <v>479</v>
      </c>
      <c r="G15" s="4" t="s">
        <v>480</v>
      </c>
      <c r="H15" s="4" t="s">
        <v>481</v>
      </c>
      <c r="I15" s="4" t="s">
        <v>482</v>
      </c>
      <c r="J15" s="4" t="s">
        <v>483</v>
      </c>
      <c r="K15" s="4" t="s">
        <v>484</v>
      </c>
      <c r="L15" s="4" t="s">
        <v>485</v>
      </c>
      <c r="M15" s="4" t="s">
        <v>486</v>
      </c>
      <c r="N15" s="4" t="s">
        <v>487</v>
      </c>
      <c r="O15" s="4" t="s">
        <v>488</v>
      </c>
      <c r="P15" s="4" t="s">
        <v>489</v>
      </c>
      <c r="Q15" s="4" t="s">
        <v>490</v>
      </c>
      <c r="R15" s="4" t="s">
        <v>491</v>
      </c>
      <c r="S15" s="4" t="s">
        <v>492</v>
      </c>
    </row>
    <row r="16" spans="1:19" ht="15" customHeight="1" x14ac:dyDescent="0.3">
      <c r="A16" s="5" t="s">
        <v>74</v>
      </c>
      <c r="B16" s="5" t="s">
        <v>549</v>
      </c>
      <c r="C16" s="5" t="s">
        <v>75</v>
      </c>
      <c r="D16" s="33">
        <f>CAPACITY_MODEL!F4</f>
        <v>50</v>
      </c>
      <c r="E16" s="33">
        <f>CAPACITY_MODEL!G4</f>
        <v>50</v>
      </c>
      <c r="F16" s="33">
        <f>CAPACITY_MODEL!H4</f>
        <v>50</v>
      </c>
      <c r="G16" s="33">
        <f>CAPACITY_MODEL!I4</f>
        <v>50</v>
      </c>
      <c r="H16" s="33">
        <f>CAPACITY_MODEL!J4</f>
        <v>50</v>
      </c>
      <c r="I16" s="33">
        <f>CAPACITY_MODEL!K4</f>
        <v>50</v>
      </c>
      <c r="J16" s="33">
        <f>CAPACITY_MODEL!L4</f>
        <v>50</v>
      </c>
      <c r="K16" s="33">
        <f>CAPACITY_MODEL!M4</f>
        <v>50</v>
      </c>
      <c r="L16" s="33">
        <f>CAPACITY_MODEL!N4</f>
        <v>50</v>
      </c>
      <c r="M16" s="33">
        <f>CAPACITY_MODEL!O4</f>
        <v>50</v>
      </c>
      <c r="N16" s="33">
        <f>CAPACITY_MODEL!P4</f>
        <v>50</v>
      </c>
      <c r="O16" s="33">
        <f>CAPACITY_MODEL!Q4</f>
        <v>50</v>
      </c>
      <c r="P16" s="33">
        <f>CAPACITY_MODEL!R4</f>
        <v>50</v>
      </c>
      <c r="Q16" s="33">
        <f>CAPACITY_MODEL!S4</f>
        <v>50</v>
      </c>
      <c r="R16" s="33">
        <f>CAPACITY_MODEL!T4</f>
        <v>50</v>
      </c>
      <c r="S16" s="33">
        <f>CAPACITY_MODEL!U4</f>
        <v>50</v>
      </c>
    </row>
    <row r="17" spans="1:19" ht="15" customHeight="1" x14ac:dyDescent="0.3">
      <c r="A17" s="5" t="s">
        <v>79</v>
      </c>
      <c r="B17" s="5" t="s">
        <v>80</v>
      </c>
      <c r="C17" s="5" t="s">
        <v>81</v>
      </c>
      <c r="D17" s="33">
        <f>CAPACITY_MODEL!F5</f>
        <v>35</v>
      </c>
      <c r="E17" s="33">
        <f>CAPACITY_MODEL!G5</f>
        <v>35</v>
      </c>
      <c r="F17" s="33">
        <f>CAPACITY_MODEL!H5</f>
        <v>35</v>
      </c>
      <c r="G17" s="33">
        <f>CAPACITY_MODEL!I5</f>
        <v>35</v>
      </c>
      <c r="H17" s="33">
        <f>CAPACITY_MODEL!J5</f>
        <v>35</v>
      </c>
      <c r="I17" s="33">
        <f>CAPACITY_MODEL!K5</f>
        <v>35</v>
      </c>
      <c r="J17" s="33">
        <f>CAPACITY_MODEL!L5</f>
        <v>35</v>
      </c>
      <c r="K17" s="33">
        <f>CAPACITY_MODEL!M5</f>
        <v>35</v>
      </c>
      <c r="L17" s="33">
        <f>CAPACITY_MODEL!N5</f>
        <v>35</v>
      </c>
      <c r="M17" s="33">
        <f>CAPACITY_MODEL!O5</f>
        <v>35</v>
      </c>
      <c r="N17" s="33">
        <f>CAPACITY_MODEL!P5</f>
        <v>35</v>
      </c>
      <c r="O17" s="33">
        <f>CAPACITY_MODEL!Q5</f>
        <v>35</v>
      </c>
      <c r="P17" s="33">
        <f>CAPACITY_MODEL!R5</f>
        <v>35</v>
      </c>
      <c r="Q17" s="33">
        <f>CAPACITY_MODEL!S5</f>
        <v>35</v>
      </c>
      <c r="R17" s="33">
        <f>CAPACITY_MODEL!T5</f>
        <v>35</v>
      </c>
      <c r="S17" s="33">
        <f>CAPACITY_MODEL!U5</f>
        <v>35</v>
      </c>
    </row>
    <row r="18" spans="1:19" ht="15" customHeight="1" x14ac:dyDescent="0.3">
      <c r="A18" s="5" t="s">
        <v>85</v>
      </c>
      <c r="B18" s="5" t="s">
        <v>86</v>
      </c>
      <c r="C18" s="5" t="s">
        <v>81</v>
      </c>
      <c r="D18" s="33">
        <f>CAPACITY_MODEL!F6</f>
        <v>35</v>
      </c>
      <c r="E18" s="33">
        <f>CAPACITY_MODEL!G6</f>
        <v>35</v>
      </c>
      <c r="F18" s="33">
        <f>CAPACITY_MODEL!H6</f>
        <v>35</v>
      </c>
      <c r="G18" s="33">
        <f>CAPACITY_MODEL!I6</f>
        <v>35</v>
      </c>
      <c r="H18" s="33">
        <f>CAPACITY_MODEL!J6</f>
        <v>35</v>
      </c>
      <c r="I18" s="33">
        <f>CAPACITY_MODEL!K6</f>
        <v>35</v>
      </c>
      <c r="J18" s="33">
        <f>CAPACITY_MODEL!L6</f>
        <v>35</v>
      </c>
      <c r="K18" s="33">
        <f>CAPACITY_MODEL!M6</f>
        <v>35</v>
      </c>
      <c r="L18" s="33">
        <f>CAPACITY_MODEL!N6</f>
        <v>35</v>
      </c>
      <c r="M18" s="33">
        <f>CAPACITY_MODEL!O6</f>
        <v>35</v>
      </c>
      <c r="N18" s="33">
        <f>CAPACITY_MODEL!P6</f>
        <v>35</v>
      </c>
      <c r="O18" s="33">
        <f>CAPACITY_MODEL!Q6</f>
        <v>35</v>
      </c>
      <c r="P18" s="33">
        <f>CAPACITY_MODEL!R6</f>
        <v>35</v>
      </c>
      <c r="Q18" s="33">
        <f>CAPACITY_MODEL!S6</f>
        <v>35</v>
      </c>
      <c r="R18" s="33">
        <f>CAPACITY_MODEL!T6</f>
        <v>35</v>
      </c>
      <c r="S18" s="33">
        <f>CAPACITY_MODEL!U6</f>
        <v>35</v>
      </c>
    </row>
    <row r="19" spans="1:19" ht="15" customHeight="1" x14ac:dyDescent="0.3">
      <c r="A19" s="5" t="s">
        <v>90</v>
      </c>
      <c r="B19" s="5" t="s">
        <v>91</v>
      </c>
      <c r="C19" s="5" t="s">
        <v>92</v>
      </c>
      <c r="D19" s="33">
        <f>CAPACITY_MODEL!F7</f>
        <v>25</v>
      </c>
      <c r="E19" s="33">
        <f>CAPACITY_MODEL!G7</f>
        <v>25</v>
      </c>
      <c r="F19" s="33">
        <f>CAPACITY_MODEL!H7</f>
        <v>25</v>
      </c>
      <c r="G19" s="33">
        <f>CAPACITY_MODEL!I7</f>
        <v>25</v>
      </c>
      <c r="H19" s="33">
        <f>CAPACITY_MODEL!J7</f>
        <v>25</v>
      </c>
      <c r="I19" s="33">
        <f>CAPACITY_MODEL!K7</f>
        <v>25</v>
      </c>
      <c r="J19" s="33">
        <f>CAPACITY_MODEL!L7</f>
        <v>25</v>
      </c>
      <c r="K19" s="33">
        <f>CAPACITY_MODEL!M7</f>
        <v>25</v>
      </c>
      <c r="L19" s="33">
        <f>CAPACITY_MODEL!N7</f>
        <v>25</v>
      </c>
      <c r="M19" s="33">
        <f>CAPACITY_MODEL!O7</f>
        <v>25</v>
      </c>
      <c r="N19" s="33">
        <f>CAPACITY_MODEL!P7</f>
        <v>25</v>
      </c>
      <c r="O19" s="33">
        <f>CAPACITY_MODEL!Q7</f>
        <v>25</v>
      </c>
      <c r="P19" s="33">
        <f>CAPACITY_MODEL!R7</f>
        <v>25</v>
      </c>
      <c r="Q19" s="33">
        <f>CAPACITY_MODEL!S7</f>
        <v>25</v>
      </c>
      <c r="R19" s="33">
        <f>CAPACITY_MODEL!T7</f>
        <v>25</v>
      </c>
      <c r="S19" s="33">
        <f>CAPACITY_MODEL!U7</f>
        <v>25</v>
      </c>
    </row>
    <row r="20" spans="1:19" ht="15" customHeight="1" x14ac:dyDescent="0.3">
      <c r="A20" s="5" t="s">
        <v>95</v>
      </c>
      <c r="B20" s="5" t="s">
        <v>96</v>
      </c>
      <c r="C20" s="5" t="s">
        <v>92</v>
      </c>
      <c r="D20" s="33">
        <f>CAPACITY_MODEL!F8</f>
        <v>28</v>
      </c>
      <c r="E20" s="33">
        <f>CAPACITY_MODEL!G8</f>
        <v>28</v>
      </c>
      <c r="F20" s="33">
        <f>CAPACITY_MODEL!H8</f>
        <v>28</v>
      </c>
      <c r="G20" s="33">
        <f>CAPACITY_MODEL!I8</f>
        <v>28</v>
      </c>
      <c r="H20" s="33">
        <f>CAPACITY_MODEL!J8</f>
        <v>28</v>
      </c>
      <c r="I20" s="33">
        <f>CAPACITY_MODEL!K8</f>
        <v>28</v>
      </c>
      <c r="J20" s="33">
        <f>CAPACITY_MODEL!L8</f>
        <v>28</v>
      </c>
      <c r="K20" s="33">
        <f>CAPACITY_MODEL!M8</f>
        <v>28</v>
      </c>
      <c r="L20" s="33">
        <f>CAPACITY_MODEL!N8</f>
        <v>28</v>
      </c>
      <c r="M20" s="33">
        <f>CAPACITY_MODEL!O8</f>
        <v>28</v>
      </c>
      <c r="N20" s="33">
        <f>CAPACITY_MODEL!P8</f>
        <v>28</v>
      </c>
      <c r="O20" s="33">
        <f>CAPACITY_MODEL!Q8</f>
        <v>28</v>
      </c>
      <c r="P20" s="33">
        <f>CAPACITY_MODEL!R8</f>
        <v>28</v>
      </c>
      <c r="Q20" s="33">
        <f>CAPACITY_MODEL!S8</f>
        <v>28</v>
      </c>
      <c r="R20" s="33">
        <f>CAPACITY_MODEL!T8</f>
        <v>28</v>
      </c>
      <c r="S20" s="33">
        <f>CAPACITY_MODEL!U8</f>
        <v>28</v>
      </c>
    </row>
    <row r="21" spans="1:19" ht="15" customHeight="1" x14ac:dyDescent="0.3">
      <c r="A21" s="5" t="s">
        <v>99</v>
      </c>
      <c r="B21" s="5" t="s">
        <v>100</v>
      </c>
      <c r="C21" s="5" t="s">
        <v>92</v>
      </c>
      <c r="D21" s="33">
        <f>CAPACITY_MODEL!F9</f>
        <v>20</v>
      </c>
      <c r="E21" s="33">
        <f>CAPACITY_MODEL!G9</f>
        <v>20</v>
      </c>
      <c r="F21" s="33">
        <f>CAPACITY_MODEL!H9</f>
        <v>20</v>
      </c>
      <c r="G21" s="33">
        <f>CAPACITY_MODEL!I9</f>
        <v>20</v>
      </c>
      <c r="H21" s="33">
        <f>CAPACITY_MODEL!J9</f>
        <v>20</v>
      </c>
      <c r="I21" s="33">
        <f>CAPACITY_MODEL!K9</f>
        <v>20</v>
      </c>
      <c r="J21" s="33">
        <f>CAPACITY_MODEL!L9</f>
        <v>20</v>
      </c>
      <c r="K21" s="33">
        <f>CAPACITY_MODEL!M9</f>
        <v>20</v>
      </c>
      <c r="L21" s="33">
        <f>CAPACITY_MODEL!N9</f>
        <v>20</v>
      </c>
      <c r="M21" s="33">
        <f>CAPACITY_MODEL!O9</f>
        <v>20</v>
      </c>
      <c r="N21" s="33">
        <f>CAPACITY_MODEL!P9</f>
        <v>20</v>
      </c>
      <c r="O21" s="33">
        <f>CAPACITY_MODEL!Q9</f>
        <v>20</v>
      </c>
      <c r="P21" s="33">
        <f>CAPACITY_MODEL!R9</f>
        <v>20</v>
      </c>
      <c r="Q21" s="33">
        <f>CAPACITY_MODEL!S9</f>
        <v>20</v>
      </c>
      <c r="R21" s="33">
        <f>CAPACITY_MODEL!T9</f>
        <v>20</v>
      </c>
      <c r="S21" s="33">
        <f>CAPACITY_MODEL!U9</f>
        <v>20</v>
      </c>
    </row>
    <row r="22" spans="1:19" ht="15" customHeight="1" x14ac:dyDescent="0.3">
      <c r="A22" s="5" t="s">
        <v>103</v>
      </c>
      <c r="B22" s="5" t="s">
        <v>104</v>
      </c>
      <c r="C22" s="5" t="s">
        <v>105</v>
      </c>
      <c r="D22" s="33">
        <f>CAPACITY_MODEL!F10</f>
        <v>20</v>
      </c>
      <c r="E22" s="33">
        <f>CAPACITY_MODEL!G10</f>
        <v>20</v>
      </c>
      <c r="F22" s="33">
        <f>CAPACITY_MODEL!H10</f>
        <v>20</v>
      </c>
      <c r="G22" s="33">
        <f>CAPACITY_MODEL!I10</f>
        <v>20</v>
      </c>
      <c r="H22" s="33">
        <f>CAPACITY_MODEL!J10</f>
        <v>20</v>
      </c>
      <c r="I22" s="33">
        <f>CAPACITY_MODEL!K10</f>
        <v>20</v>
      </c>
      <c r="J22" s="33">
        <f>CAPACITY_MODEL!L10</f>
        <v>20</v>
      </c>
      <c r="K22" s="33">
        <f>CAPACITY_MODEL!M10</f>
        <v>20</v>
      </c>
      <c r="L22" s="33">
        <f>CAPACITY_MODEL!N10</f>
        <v>20</v>
      </c>
      <c r="M22" s="33">
        <f>CAPACITY_MODEL!O10</f>
        <v>20</v>
      </c>
      <c r="N22" s="33">
        <f>CAPACITY_MODEL!P10</f>
        <v>20</v>
      </c>
      <c r="O22" s="33">
        <f>CAPACITY_MODEL!Q10</f>
        <v>20</v>
      </c>
      <c r="P22" s="33">
        <f>CAPACITY_MODEL!R10</f>
        <v>20</v>
      </c>
      <c r="Q22" s="33">
        <f>CAPACITY_MODEL!S10</f>
        <v>20</v>
      </c>
      <c r="R22" s="33">
        <f>CAPACITY_MODEL!T10</f>
        <v>20</v>
      </c>
      <c r="S22" s="33">
        <f>CAPACITY_MODEL!U10</f>
        <v>20</v>
      </c>
    </row>
    <row r="24" spans="1:19" ht="15" customHeight="1" x14ac:dyDescent="0.3">
      <c r="A24" s="2" t="s">
        <v>505</v>
      </c>
    </row>
    <row r="25" spans="1:19" ht="15" customHeight="1" x14ac:dyDescent="0.3">
      <c r="A25" s="4" t="s">
        <v>65</v>
      </c>
      <c r="B25" s="4" t="s">
        <v>66</v>
      </c>
      <c r="C25" s="4" t="s">
        <v>67</v>
      </c>
      <c r="D25" s="4" t="s">
        <v>477</v>
      </c>
      <c r="E25" s="4" t="s">
        <v>478</v>
      </c>
      <c r="F25" s="4" t="s">
        <v>479</v>
      </c>
      <c r="G25" s="4" t="s">
        <v>480</v>
      </c>
      <c r="H25" s="4" t="s">
        <v>481</v>
      </c>
      <c r="I25" s="4" t="s">
        <v>482</v>
      </c>
      <c r="J25" s="4" t="s">
        <v>483</v>
      </c>
      <c r="K25" s="4" t="s">
        <v>484</v>
      </c>
      <c r="L25" s="4" t="s">
        <v>485</v>
      </c>
      <c r="M25" s="4" t="s">
        <v>486</v>
      </c>
      <c r="N25" s="4" t="s">
        <v>487</v>
      </c>
      <c r="O25" s="4" t="s">
        <v>488</v>
      </c>
      <c r="P25" s="4" t="s">
        <v>489</v>
      </c>
      <c r="Q25" s="4" t="s">
        <v>490</v>
      </c>
      <c r="R25" s="4" t="s">
        <v>491</v>
      </c>
      <c r="S25" s="4" t="s">
        <v>492</v>
      </c>
    </row>
    <row r="26" spans="1:19" ht="15" customHeight="1" x14ac:dyDescent="0.3">
      <c r="A26" s="5" t="s">
        <v>74</v>
      </c>
      <c r="B26" s="5" t="s">
        <v>549</v>
      </c>
      <c r="C26" s="5" t="s">
        <v>75</v>
      </c>
      <c r="D26" s="32">
        <f t="shared" ref="D26:S26" si="0">IFERROR(D5/D16,0)</f>
        <v>0</v>
      </c>
      <c r="E26" s="32">
        <f t="shared" si="0"/>
        <v>0.14000000000000001</v>
      </c>
      <c r="F26" s="32">
        <f t="shared" si="0"/>
        <v>0.248</v>
      </c>
      <c r="G26" s="32">
        <f t="shared" si="0"/>
        <v>0.28800000000000003</v>
      </c>
      <c r="H26" s="32">
        <f t="shared" si="0"/>
        <v>0.26400000000000001</v>
      </c>
      <c r="I26" s="32">
        <f t="shared" si="0"/>
        <v>0.214</v>
      </c>
      <c r="J26" s="32">
        <f t="shared" si="0"/>
        <v>0.214</v>
      </c>
      <c r="K26" s="32">
        <f t="shared" si="0"/>
        <v>0.21199999999999999</v>
      </c>
      <c r="L26" s="32">
        <f t="shared" si="0"/>
        <v>0.1</v>
      </c>
      <c r="M26" s="32">
        <f t="shared" si="0"/>
        <v>0.04</v>
      </c>
      <c r="N26" s="32">
        <f t="shared" si="0"/>
        <v>0.08</v>
      </c>
      <c r="O26" s="32">
        <f t="shared" si="0"/>
        <v>0.08</v>
      </c>
      <c r="P26" s="32">
        <f t="shared" si="0"/>
        <v>0.04</v>
      </c>
      <c r="Q26" s="32">
        <f t="shared" si="0"/>
        <v>0.04</v>
      </c>
      <c r="R26" s="32">
        <f t="shared" si="0"/>
        <v>0</v>
      </c>
      <c r="S26" s="32">
        <f t="shared" si="0"/>
        <v>0</v>
      </c>
    </row>
    <row r="27" spans="1:19" ht="15" customHeight="1" x14ac:dyDescent="0.3">
      <c r="A27" s="5" t="s">
        <v>79</v>
      </c>
      <c r="B27" s="5" t="s">
        <v>80</v>
      </c>
      <c r="C27" s="5" t="s">
        <v>81</v>
      </c>
      <c r="D27" s="32">
        <f t="shared" ref="D27:S27" si="1">IFERROR(D6/D17,0)</f>
        <v>0.51428571428571423</v>
      </c>
      <c r="E27" s="32">
        <f t="shared" si="1"/>
        <v>0.51428571428571423</v>
      </c>
      <c r="F27" s="32">
        <f t="shared" si="1"/>
        <v>0.51428571428571423</v>
      </c>
      <c r="G27" s="32">
        <f t="shared" si="1"/>
        <v>0.51428571428571423</v>
      </c>
      <c r="H27" s="32">
        <f t="shared" si="1"/>
        <v>0.51428571428571423</v>
      </c>
      <c r="I27" s="32">
        <f t="shared" si="1"/>
        <v>0.62857142857142856</v>
      </c>
      <c r="J27" s="32">
        <f t="shared" si="1"/>
        <v>0.67142857142857137</v>
      </c>
      <c r="K27" s="32">
        <f t="shared" si="1"/>
        <v>0.55714285714285716</v>
      </c>
      <c r="L27" s="32">
        <f t="shared" si="1"/>
        <v>0.87142857142857144</v>
      </c>
      <c r="M27" s="32">
        <f t="shared" si="1"/>
        <v>0.87142857142857144</v>
      </c>
      <c r="N27" s="32">
        <f t="shared" si="1"/>
        <v>0.65714285714285714</v>
      </c>
      <c r="O27" s="32">
        <f t="shared" si="1"/>
        <v>0.51428571428571423</v>
      </c>
      <c r="P27" s="32">
        <f t="shared" si="1"/>
        <v>0.51428571428571423</v>
      </c>
      <c r="Q27" s="32">
        <f t="shared" si="1"/>
        <v>0.51428571428571423</v>
      </c>
      <c r="R27" s="32">
        <f t="shared" si="1"/>
        <v>0.51428571428571423</v>
      </c>
      <c r="S27" s="32">
        <f t="shared" si="1"/>
        <v>0.51428571428571423</v>
      </c>
    </row>
    <row r="28" spans="1:19" ht="15" customHeight="1" x14ac:dyDescent="0.3">
      <c r="A28" s="5" t="s">
        <v>85</v>
      </c>
      <c r="B28" s="5" t="s">
        <v>86</v>
      </c>
      <c r="C28" s="5" t="s">
        <v>81</v>
      </c>
      <c r="D28" s="32">
        <f t="shared" ref="D28:S28" si="2">IFERROR(D7/D18,0)</f>
        <v>0.5714285714285714</v>
      </c>
      <c r="E28" s="32">
        <f t="shared" si="2"/>
        <v>0.5714285714285714</v>
      </c>
      <c r="F28" s="32">
        <f t="shared" si="2"/>
        <v>0.5714285714285714</v>
      </c>
      <c r="G28" s="32">
        <f t="shared" si="2"/>
        <v>0.5714285714285714</v>
      </c>
      <c r="H28" s="32">
        <f t="shared" si="2"/>
        <v>0.5714285714285714</v>
      </c>
      <c r="I28" s="32">
        <f t="shared" si="2"/>
        <v>0.64857142857142858</v>
      </c>
      <c r="J28" s="32">
        <f t="shared" si="2"/>
        <v>0.64857142857142858</v>
      </c>
      <c r="K28" s="32">
        <f t="shared" si="2"/>
        <v>0.6457142857142858</v>
      </c>
      <c r="L28" s="32">
        <f t="shared" si="2"/>
        <v>0.68</v>
      </c>
      <c r="M28" s="32">
        <f t="shared" si="2"/>
        <v>0.68</v>
      </c>
      <c r="N28" s="32">
        <f t="shared" si="2"/>
        <v>0.68</v>
      </c>
      <c r="O28" s="32">
        <f t="shared" si="2"/>
        <v>0.67428571428571438</v>
      </c>
      <c r="P28" s="32">
        <f t="shared" si="2"/>
        <v>0.5714285714285714</v>
      </c>
      <c r="Q28" s="32">
        <f t="shared" si="2"/>
        <v>0.5714285714285714</v>
      </c>
      <c r="R28" s="32">
        <f t="shared" si="2"/>
        <v>0.5714285714285714</v>
      </c>
      <c r="S28" s="32">
        <f t="shared" si="2"/>
        <v>0.5714285714285714</v>
      </c>
    </row>
    <row r="29" spans="1:19" ht="15" customHeight="1" x14ac:dyDescent="0.3">
      <c r="A29" s="5" t="s">
        <v>90</v>
      </c>
      <c r="B29" s="5" t="s">
        <v>91</v>
      </c>
      <c r="C29" s="5" t="s">
        <v>92</v>
      </c>
      <c r="D29" s="32">
        <f t="shared" ref="D29:S29" si="3">IFERROR(D8/D19,0)</f>
        <v>0.48</v>
      </c>
      <c r="E29" s="32">
        <f t="shared" si="3"/>
        <v>0.48</v>
      </c>
      <c r="F29" s="32">
        <f t="shared" si="3"/>
        <v>0.48</v>
      </c>
      <c r="G29" s="32">
        <f t="shared" si="3"/>
        <v>0.48</v>
      </c>
      <c r="H29" s="32">
        <f t="shared" si="3"/>
        <v>0.48</v>
      </c>
      <c r="I29" s="32">
        <f t="shared" si="3"/>
        <v>0.48</v>
      </c>
      <c r="J29" s="32">
        <f t="shared" si="3"/>
        <v>0.48</v>
      </c>
      <c r="K29" s="32">
        <f t="shared" si="3"/>
        <v>0.48</v>
      </c>
      <c r="L29" s="32">
        <f t="shared" si="3"/>
        <v>0.48</v>
      </c>
      <c r="M29" s="32">
        <f t="shared" si="3"/>
        <v>0.48</v>
      </c>
      <c r="N29" s="32">
        <f t="shared" si="3"/>
        <v>0.48</v>
      </c>
      <c r="O29" s="32">
        <f t="shared" si="3"/>
        <v>0.48</v>
      </c>
      <c r="P29" s="32">
        <f t="shared" si="3"/>
        <v>0.48</v>
      </c>
      <c r="Q29" s="32">
        <f t="shared" si="3"/>
        <v>0.48</v>
      </c>
      <c r="R29" s="32">
        <f t="shared" si="3"/>
        <v>0.48</v>
      </c>
      <c r="S29" s="32">
        <f t="shared" si="3"/>
        <v>0.48</v>
      </c>
    </row>
    <row r="30" spans="1:19" ht="15" customHeight="1" x14ac:dyDescent="0.3">
      <c r="A30" s="5" t="s">
        <v>95</v>
      </c>
      <c r="B30" s="5" t="s">
        <v>96</v>
      </c>
      <c r="C30" s="5" t="s">
        <v>92</v>
      </c>
      <c r="D30" s="32">
        <f t="shared" ref="D30:S30" si="4">IFERROR(D9/D20,0)</f>
        <v>0.625</v>
      </c>
      <c r="E30" s="32">
        <f t="shared" si="4"/>
        <v>0.625</v>
      </c>
      <c r="F30" s="32">
        <f t="shared" si="4"/>
        <v>0.625</v>
      </c>
      <c r="G30" s="32">
        <f t="shared" si="4"/>
        <v>0.625</v>
      </c>
      <c r="H30" s="32">
        <f t="shared" si="4"/>
        <v>0.625</v>
      </c>
      <c r="I30" s="32">
        <f t="shared" si="4"/>
        <v>0.625</v>
      </c>
      <c r="J30" s="32">
        <f t="shared" si="4"/>
        <v>0.625</v>
      </c>
      <c r="K30" s="32">
        <f t="shared" si="4"/>
        <v>0.625</v>
      </c>
      <c r="L30" s="32">
        <f t="shared" si="4"/>
        <v>0.625</v>
      </c>
      <c r="M30" s="32">
        <f t="shared" si="4"/>
        <v>0.625</v>
      </c>
      <c r="N30" s="32">
        <f t="shared" si="4"/>
        <v>0.625</v>
      </c>
      <c r="O30" s="32">
        <f t="shared" si="4"/>
        <v>0.625</v>
      </c>
      <c r="P30" s="32">
        <f t="shared" si="4"/>
        <v>0.625</v>
      </c>
      <c r="Q30" s="32">
        <f t="shared" si="4"/>
        <v>0.625</v>
      </c>
      <c r="R30" s="32">
        <f t="shared" si="4"/>
        <v>0.625</v>
      </c>
      <c r="S30" s="32">
        <f t="shared" si="4"/>
        <v>0.625</v>
      </c>
    </row>
    <row r="31" spans="1:19" ht="15" customHeight="1" x14ac:dyDescent="0.3">
      <c r="A31" s="5" t="s">
        <v>99</v>
      </c>
      <c r="B31" s="5" t="s">
        <v>100</v>
      </c>
      <c r="C31" s="5" t="s">
        <v>92</v>
      </c>
      <c r="D31" s="32">
        <f t="shared" ref="D31:S31" si="5">IFERROR(D10/D21,0)</f>
        <v>0.4</v>
      </c>
      <c r="E31" s="32">
        <f t="shared" si="5"/>
        <v>0.4</v>
      </c>
      <c r="F31" s="32">
        <f t="shared" si="5"/>
        <v>0.4</v>
      </c>
      <c r="G31" s="32">
        <f t="shared" si="5"/>
        <v>0.4</v>
      </c>
      <c r="H31" s="32">
        <f t="shared" si="5"/>
        <v>0.4</v>
      </c>
      <c r="I31" s="32">
        <f t="shared" si="5"/>
        <v>0.4</v>
      </c>
      <c r="J31" s="32">
        <f t="shared" si="5"/>
        <v>0.4</v>
      </c>
      <c r="K31" s="32">
        <f t="shared" si="5"/>
        <v>0.4</v>
      </c>
      <c r="L31" s="32">
        <f t="shared" si="5"/>
        <v>0.4</v>
      </c>
      <c r="M31" s="32">
        <f t="shared" si="5"/>
        <v>0.4</v>
      </c>
      <c r="N31" s="32">
        <f t="shared" si="5"/>
        <v>0.4</v>
      </c>
      <c r="O31" s="32">
        <f t="shared" si="5"/>
        <v>0.4</v>
      </c>
      <c r="P31" s="32">
        <f t="shared" si="5"/>
        <v>0.4</v>
      </c>
      <c r="Q31" s="32">
        <f t="shared" si="5"/>
        <v>0.4</v>
      </c>
      <c r="R31" s="32">
        <f t="shared" si="5"/>
        <v>0.4</v>
      </c>
      <c r="S31" s="32">
        <f t="shared" si="5"/>
        <v>0.4</v>
      </c>
    </row>
    <row r="32" spans="1:19" ht="15" customHeight="1" x14ac:dyDescent="0.3">
      <c r="A32" s="5" t="s">
        <v>103</v>
      </c>
      <c r="B32" s="5" t="s">
        <v>104</v>
      </c>
      <c r="C32" s="5" t="s">
        <v>105</v>
      </c>
      <c r="D32" s="32">
        <f t="shared" ref="D32:S32" si="6">IFERROR(D11/D22,0)</f>
        <v>0.5</v>
      </c>
      <c r="E32" s="32">
        <f t="shared" si="6"/>
        <v>0.5</v>
      </c>
      <c r="F32" s="32">
        <f t="shared" si="6"/>
        <v>0.5</v>
      </c>
      <c r="G32" s="32">
        <f t="shared" si="6"/>
        <v>0.5</v>
      </c>
      <c r="H32" s="32">
        <f t="shared" si="6"/>
        <v>0.5</v>
      </c>
      <c r="I32" s="32">
        <f t="shared" si="6"/>
        <v>0.5</v>
      </c>
      <c r="J32" s="32">
        <f t="shared" si="6"/>
        <v>0.5</v>
      </c>
      <c r="K32" s="32">
        <f t="shared" si="6"/>
        <v>0.5</v>
      </c>
      <c r="L32" s="32">
        <f t="shared" si="6"/>
        <v>0.5</v>
      </c>
      <c r="M32" s="32">
        <f t="shared" si="6"/>
        <v>0.5</v>
      </c>
      <c r="N32" s="32">
        <f t="shared" si="6"/>
        <v>0.5</v>
      </c>
      <c r="O32" s="32">
        <f t="shared" si="6"/>
        <v>0.5</v>
      </c>
      <c r="P32" s="32">
        <f t="shared" si="6"/>
        <v>0.5</v>
      </c>
      <c r="Q32" s="32">
        <f t="shared" si="6"/>
        <v>0.5</v>
      </c>
      <c r="R32" s="32">
        <f t="shared" si="6"/>
        <v>0.5</v>
      </c>
      <c r="S32" s="32">
        <f t="shared" si="6"/>
        <v>0.5</v>
      </c>
    </row>
    <row r="34" spans="1:19" ht="15" customHeight="1" x14ac:dyDescent="0.3">
      <c r="A34" s="2" t="s">
        <v>506</v>
      </c>
    </row>
    <row r="35" spans="1:19" ht="15" customHeight="1" x14ac:dyDescent="0.3">
      <c r="A35" s="4" t="s">
        <v>65</v>
      </c>
      <c r="B35" s="4" t="s">
        <v>66</v>
      </c>
      <c r="C35" s="4" t="s">
        <v>67</v>
      </c>
      <c r="D35" s="4" t="s">
        <v>477</v>
      </c>
      <c r="E35" s="4" t="s">
        <v>478</v>
      </c>
      <c r="F35" s="4" t="s">
        <v>479</v>
      </c>
      <c r="G35" s="4" t="s">
        <v>480</v>
      </c>
      <c r="H35" s="4" t="s">
        <v>481</v>
      </c>
      <c r="I35" s="4" t="s">
        <v>482</v>
      </c>
      <c r="J35" s="4" t="s">
        <v>483</v>
      </c>
      <c r="K35" s="4" t="s">
        <v>484</v>
      </c>
      <c r="L35" s="4" t="s">
        <v>485</v>
      </c>
      <c r="M35" s="4" t="s">
        <v>486</v>
      </c>
      <c r="N35" s="4" t="s">
        <v>487</v>
      </c>
      <c r="O35" s="4" t="s">
        <v>488</v>
      </c>
      <c r="P35" s="4" t="s">
        <v>489</v>
      </c>
      <c r="Q35" s="4" t="s">
        <v>490</v>
      </c>
      <c r="R35" s="4" t="s">
        <v>491</v>
      </c>
      <c r="S35" s="4" t="s">
        <v>492</v>
      </c>
    </row>
    <row r="36" spans="1:19" ht="15" customHeight="1" x14ac:dyDescent="0.3">
      <c r="A36" s="5" t="s">
        <v>74</v>
      </c>
      <c r="B36" s="5" t="s">
        <v>549</v>
      </c>
      <c r="C36" s="5" t="s">
        <v>75</v>
      </c>
      <c r="D36" s="8" t="str">
        <f t="shared" ref="D36:S36" si="7">IF(D26&gt;1,"OVER","")</f>
        <v/>
      </c>
      <c r="E36" s="8" t="str">
        <f t="shared" si="7"/>
        <v/>
      </c>
      <c r="F36" s="8" t="str">
        <f t="shared" si="7"/>
        <v/>
      </c>
      <c r="G36" s="8" t="str">
        <f t="shared" si="7"/>
        <v/>
      </c>
      <c r="H36" s="8" t="str">
        <f t="shared" si="7"/>
        <v/>
      </c>
      <c r="I36" s="8" t="str">
        <f t="shared" si="7"/>
        <v/>
      </c>
      <c r="J36" s="8" t="str">
        <f t="shared" si="7"/>
        <v/>
      </c>
      <c r="K36" s="8" t="str">
        <f t="shared" si="7"/>
        <v/>
      </c>
      <c r="L36" s="8" t="str">
        <f t="shared" si="7"/>
        <v/>
      </c>
      <c r="M36" s="8" t="str">
        <f t="shared" si="7"/>
        <v/>
      </c>
      <c r="N36" s="8" t="str">
        <f t="shared" si="7"/>
        <v/>
      </c>
      <c r="O36" s="8" t="str">
        <f t="shared" si="7"/>
        <v/>
      </c>
      <c r="P36" s="8" t="str">
        <f t="shared" si="7"/>
        <v/>
      </c>
      <c r="Q36" s="8" t="str">
        <f t="shared" si="7"/>
        <v/>
      </c>
      <c r="R36" s="8" t="str">
        <f t="shared" si="7"/>
        <v/>
      </c>
      <c r="S36" s="8" t="str">
        <f t="shared" si="7"/>
        <v/>
      </c>
    </row>
    <row r="37" spans="1:19" ht="15" customHeight="1" x14ac:dyDescent="0.3">
      <c r="A37" s="5" t="s">
        <v>79</v>
      </c>
      <c r="B37" s="5" t="s">
        <v>80</v>
      </c>
      <c r="C37" s="5" t="s">
        <v>81</v>
      </c>
      <c r="D37" s="8" t="str">
        <f t="shared" ref="D37:S37" si="8">IF(D27&gt;1,"OVER","")</f>
        <v/>
      </c>
      <c r="E37" s="8" t="str">
        <f t="shared" si="8"/>
        <v/>
      </c>
      <c r="F37" s="8" t="str">
        <f t="shared" si="8"/>
        <v/>
      </c>
      <c r="G37" s="8" t="str">
        <f t="shared" si="8"/>
        <v/>
      </c>
      <c r="H37" s="8" t="str">
        <f t="shared" si="8"/>
        <v/>
      </c>
      <c r="I37" s="8" t="str">
        <f t="shared" si="8"/>
        <v/>
      </c>
      <c r="J37" s="8" t="str">
        <f t="shared" si="8"/>
        <v/>
      </c>
      <c r="K37" s="8" t="str">
        <f t="shared" si="8"/>
        <v/>
      </c>
      <c r="L37" s="8" t="str">
        <f t="shared" si="8"/>
        <v/>
      </c>
      <c r="M37" s="8" t="str">
        <f t="shared" si="8"/>
        <v/>
      </c>
      <c r="N37" s="8" t="str">
        <f t="shared" si="8"/>
        <v/>
      </c>
      <c r="O37" s="8" t="str">
        <f t="shared" si="8"/>
        <v/>
      </c>
      <c r="P37" s="8" t="str">
        <f t="shared" si="8"/>
        <v/>
      </c>
      <c r="Q37" s="8" t="str">
        <f t="shared" si="8"/>
        <v/>
      </c>
      <c r="R37" s="8" t="str">
        <f t="shared" si="8"/>
        <v/>
      </c>
      <c r="S37" s="8" t="str">
        <f t="shared" si="8"/>
        <v/>
      </c>
    </row>
    <row r="38" spans="1:19" ht="15" customHeight="1" x14ac:dyDescent="0.3">
      <c r="A38" s="5" t="s">
        <v>85</v>
      </c>
      <c r="B38" s="5" t="s">
        <v>86</v>
      </c>
      <c r="C38" s="5" t="s">
        <v>81</v>
      </c>
      <c r="D38" s="8" t="str">
        <f t="shared" ref="D38:S38" si="9">IF(D28&gt;1,"OVER","")</f>
        <v/>
      </c>
      <c r="E38" s="8" t="str">
        <f t="shared" si="9"/>
        <v/>
      </c>
      <c r="F38" s="8" t="str">
        <f t="shared" si="9"/>
        <v/>
      </c>
      <c r="G38" s="8" t="str">
        <f t="shared" si="9"/>
        <v/>
      </c>
      <c r="H38" s="8" t="str">
        <f t="shared" si="9"/>
        <v/>
      </c>
      <c r="I38" s="8" t="str">
        <f t="shared" si="9"/>
        <v/>
      </c>
      <c r="J38" s="8" t="str">
        <f t="shared" si="9"/>
        <v/>
      </c>
      <c r="K38" s="8" t="str">
        <f t="shared" si="9"/>
        <v/>
      </c>
      <c r="L38" s="8" t="str">
        <f t="shared" si="9"/>
        <v/>
      </c>
      <c r="M38" s="8" t="str">
        <f t="shared" si="9"/>
        <v/>
      </c>
      <c r="N38" s="8" t="str">
        <f t="shared" si="9"/>
        <v/>
      </c>
      <c r="O38" s="8" t="str">
        <f t="shared" si="9"/>
        <v/>
      </c>
      <c r="P38" s="8" t="str">
        <f t="shared" si="9"/>
        <v/>
      </c>
      <c r="Q38" s="8" t="str">
        <f t="shared" si="9"/>
        <v/>
      </c>
      <c r="R38" s="8" t="str">
        <f t="shared" si="9"/>
        <v/>
      </c>
      <c r="S38" s="8" t="str">
        <f t="shared" si="9"/>
        <v/>
      </c>
    </row>
    <row r="39" spans="1:19" ht="15" customHeight="1" x14ac:dyDescent="0.3">
      <c r="A39" s="5" t="s">
        <v>90</v>
      </c>
      <c r="B39" s="5" t="s">
        <v>91</v>
      </c>
      <c r="C39" s="5" t="s">
        <v>92</v>
      </c>
      <c r="D39" s="8" t="str">
        <f t="shared" ref="D39:S39" si="10">IF(D29&gt;1,"OVER","")</f>
        <v/>
      </c>
      <c r="E39" s="8" t="str">
        <f t="shared" si="10"/>
        <v/>
      </c>
      <c r="F39" s="8" t="str">
        <f t="shared" si="10"/>
        <v/>
      </c>
      <c r="G39" s="8" t="str">
        <f t="shared" si="10"/>
        <v/>
      </c>
      <c r="H39" s="8" t="str">
        <f t="shared" si="10"/>
        <v/>
      </c>
      <c r="I39" s="8" t="str">
        <f t="shared" si="10"/>
        <v/>
      </c>
      <c r="J39" s="8" t="str">
        <f t="shared" si="10"/>
        <v/>
      </c>
      <c r="K39" s="8" t="str">
        <f t="shared" si="10"/>
        <v/>
      </c>
      <c r="L39" s="8" t="str">
        <f t="shared" si="10"/>
        <v/>
      </c>
      <c r="M39" s="8" t="str">
        <f t="shared" si="10"/>
        <v/>
      </c>
      <c r="N39" s="8" t="str">
        <f t="shared" si="10"/>
        <v/>
      </c>
      <c r="O39" s="8" t="str">
        <f t="shared" si="10"/>
        <v/>
      </c>
      <c r="P39" s="8" t="str">
        <f t="shared" si="10"/>
        <v/>
      </c>
      <c r="Q39" s="8" t="str">
        <f t="shared" si="10"/>
        <v/>
      </c>
      <c r="R39" s="8" t="str">
        <f t="shared" si="10"/>
        <v/>
      </c>
      <c r="S39" s="8" t="str">
        <f t="shared" si="10"/>
        <v/>
      </c>
    </row>
    <row r="40" spans="1:19" ht="15" customHeight="1" x14ac:dyDescent="0.3">
      <c r="A40" s="5" t="s">
        <v>95</v>
      </c>
      <c r="B40" s="5" t="s">
        <v>96</v>
      </c>
      <c r="C40" s="5" t="s">
        <v>92</v>
      </c>
      <c r="D40" s="8" t="str">
        <f t="shared" ref="D40:S40" si="11">IF(D30&gt;1,"OVER","")</f>
        <v/>
      </c>
      <c r="E40" s="8" t="str">
        <f t="shared" si="11"/>
        <v/>
      </c>
      <c r="F40" s="8" t="str">
        <f t="shared" si="11"/>
        <v/>
      </c>
      <c r="G40" s="8" t="str">
        <f t="shared" si="11"/>
        <v/>
      </c>
      <c r="H40" s="8" t="str">
        <f t="shared" si="11"/>
        <v/>
      </c>
      <c r="I40" s="8" t="str">
        <f t="shared" si="11"/>
        <v/>
      </c>
      <c r="J40" s="8" t="str">
        <f t="shared" si="11"/>
        <v/>
      </c>
      <c r="K40" s="8" t="str">
        <f t="shared" si="11"/>
        <v/>
      </c>
      <c r="L40" s="8" t="str">
        <f t="shared" si="11"/>
        <v/>
      </c>
      <c r="M40" s="8" t="str">
        <f t="shared" si="11"/>
        <v/>
      </c>
      <c r="N40" s="8" t="str">
        <f t="shared" si="11"/>
        <v/>
      </c>
      <c r="O40" s="8" t="str">
        <f t="shared" si="11"/>
        <v/>
      </c>
      <c r="P40" s="8" t="str">
        <f t="shared" si="11"/>
        <v/>
      </c>
      <c r="Q40" s="8" t="str">
        <f t="shared" si="11"/>
        <v/>
      </c>
      <c r="R40" s="8" t="str">
        <f t="shared" si="11"/>
        <v/>
      </c>
      <c r="S40" s="8" t="str">
        <f t="shared" si="11"/>
        <v/>
      </c>
    </row>
    <row r="41" spans="1:19" ht="15" customHeight="1" x14ac:dyDescent="0.3">
      <c r="A41" s="5" t="s">
        <v>99</v>
      </c>
      <c r="B41" s="5" t="s">
        <v>100</v>
      </c>
      <c r="C41" s="5" t="s">
        <v>92</v>
      </c>
      <c r="D41" s="8" t="str">
        <f t="shared" ref="D41:S41" si="12">IF(D31&gt;1,"OVER","")</f>
        <v/>
      </c>
      <c r="E41" s="8" t="str">
        <f t="shared" si="12"/>
        <v/>
      </c>
      <c r="F41" s="8" t="str">
        <f t="shared" si="12"/>
        <v/>
      </c>
      <c r="G41" s="8" t="str">
        <f t="shared" si="12"/>
        <v/>
      </c>
      <c r="H41" s="8" t="str">
        <f t="shared" si="12"/>
        <v/>
      </c>
      <c r="I41" s="8" t="str">
        <f t="shared" si="12"/>
        <v/>
      </c>
      <c r="J41" s="8" t="str">
        <f t="shared" si="12"/>
        <v/>
      </c>
      <c r="K41" s="8" t="str">
        <f t="shared" si="12"/>
        <v/>
      </c>
      <c r="L41" s="8" t="str">
        <f t="shared" si="12"/>
        <v/>
      </c>
      <c r="M41" s="8" t="str">
        <f t="shared" si="12"/>
        <v/>
      </c>
      <c r="N41" s="8" t="str">
        <f t="shared" si="12"/>
        <v/>
      </c>
      <c r="O41" s="8" t="str">
        <f t="shared" si="12"/>
        <v/>
      </c>
      <c r="P41" s="8" t="str">
        <f t="shared" si="12"/>
        <v/>
      </c>
      <c r="Q41" s="8" t="str">
        <f t="shared" si="12"/>
        <v/>
      </c>
      <c r="R41" s="8" t="str">
        <f t="shared" si="12"/>
        <v/>
      </c>
      <c r="S41" s="8" t="str">
        <f t="shared" si="12"/>
        <v/>
      </c>
    </row>
    <row r="42" spans="1:19" ht="15" customHeight="1" x14ac:dyDescent="0.3">
      <c r="A42" s="5" t="s">
        <v>103</v>
      </c>
      <c r="B42" s="5" t="s">
        <v>104</v>
      </c>
      <c r="C42" s="5" t="s">
        <v>105</v>
      </c>
      <c r="D42" s="8" t="str">
        <f t="shared" ref="D42:S42" si="13">IF(D32&gt;1,"OVER","")</f>
        <v/>
      </c>
      <c r="E42" s="8" t="str">
        <f t="shared" si="13"/>
        <v/>
      </c>
      <c r="F42" s="8" t="str">
        <f t="shared" si="13"/>
        <v/>
      </c>
      <c r="G42" s="8" t="str">
        <f t="shared" si="13"/>
        <v/>
      </c>
      <c r="H42" s="8" t="str">
        <f t="shared" si="13"/>
        <v/>
      </c>
      <c r="I42" s="8" t="str">
        <f t="shared" si="13"/>
        <v/>
      </c>
      <c r="J42" s="8" t="str">
        <f t="shared" si="13"/>
        <v/>
      </c>
      <c r="K42" s="8" t="str">
        <f t="shared" si="13"/>
        <v/>
      </c>
      <c r="L42" s="8" t="str">
        <f t="shared" si="13"/>
        <v/>
      </c>
      <c r="M42" s="8" t="str">
        <f t="shared" si="13"/>
        <v/>
      </c>
      <c r="N42" s="8" t="str">
        <f t="shared" si="13"/>
        <v/>
      </c>
      <c r="O42" s="8" t="str">
        <f t="shared" si="13"/>
        <v/>
      </c>
      <c r="P42" s="8" t="str">
        <f t="shared" si="13"/>
        <v/>
      </c>
      <c r="Q42" s="8" t="str">
        <f t="shared" si="13"/>
        <v/>
      </c>
      <c r="R42" s="8" t="str">
        <f t="shared" si="13"/>
        <v/>
      </c>
      <c r="S42" s="8" t="str">
        <f t="shared" si="13"/>
        <v/>
      </c>
    </row>
  </sheetData>
  <conditionalFormatting sqref="D26:S32">
    <cfRule type="expression" dxfId="6" priority="2">
      <formula>D26&gt;1</formula>
    </cfRule>
    <cfRule type="expression" dxfId="5" priority="3">
      <formula>AND(D26&gt;=0.7,D26&lt;=1)</formula>
    </cfRule>
    <cfRule type="expression" dxfId="4" priority="4">
      <formula>AND(D26&gt;=UtilWarn,D26&lt;1)</formula>
    </cfRule>
  </conditionalFormatting>
  <conditionalFormatting sqref="D36:S42">
    <cfRule type="cellIs" dxfId="3" priority="5" operator="equal">
      <formula>"OVER"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A1:S11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5" sqref="A5"/>
    </sheetView>
  </sheetViews>
  <sheetFormatPr defaultColWidth="8.6640625" defaultRowHeight="14.4" x14ac:dyDescent="0.3"/>
  <cols>
    <col min="1" max="1" width="18" customWidth="1"/>
    <col min="2" max="2" width="16" customWidth="1"/>
    <col min="3" max="3" width="28" customWidth="1"/>
    <col min="4" max="19" width="9" customWidth="1"/>
  </cols>
  <sheetData>
    <row r="1" spans="1:19" ht="17.25" customHeight="1" x14ac:dyDescent="0.3">
      <c r="A1" s="1" t="s">
        <v>507</v>
      </c>
    </row>
    <row r="2" spans="1:19" ht="15" customHeight="1" x14ac:dyDescent="0.3">
      <c r="A2" s="3" t="s">
        <v>508</v>
      </c>
    </row>
    <row r="3" spans="1:19" ht="15" customHeight="1" x14ac:dyDescent="0.3">
      <c r="D3" s="35">
        <v>46076</v>
      </c>
      <c r="E3" s="35">
        <v>46083</v>
      </c>
      <c r="F3" s="35">
        <v>46090</v>
      </c>
      <c r="G3" s="35">
        <v>46097</v>
      </c>
      <c r="H3" s="35">
        <v>46104</v>
      </c>
      <c r="I3" s="35">
        <v>46111</v>
      </c>
      <c r="J3" s="35">
        <v>46118</v>
      </c>
      <c r="K3" s="35">
        <v>46125</v>
      </c>
      <c r="L3" s="35">
        <v>46132</v>
      </c>
      <c r="M3" s="35">
        <v>46139</v>
      </c>
      <c r="N3" s="35">
        <v>46146</v>
      </c>
      <c r="O3" s="35">
        <v>46153</v>
      </c>
      <c r="P3" s="35">
        <v>46160</v>
      </c>
      <c r="Q3" s="35">
        <v>46167</v>
      </c>
      <c r="R3" s="35">
        <v>46174</v>
      </c>
      <c r="S3" s="35">
        <v>46181</v>
      </c>
    </row>
    <row r="4" spans="1:19" ht="15" customHeight="1" x14ac:dyDescent="0.3">
      <c r="A4" s="4" t="s">
        <v>509</v>
      </c>
      <c r="B4" s="4" t="s">
        <v>67</v>
      </c>
      <c r="C4" s="4" t="s">
        <v>510</v>
      </c>
      <c r="D4" s="4" t="s">
        <v>477</v>
      </c>
      <c r="E4" s="4" t="s">
        <v>478</v>
      </c>
      <c r="F4" s="4" t="s">
        <v>479</v>
      </c>
      <c r="G4" s="4" t="s">
        <v>480</v>
      </c>
      <c r="H4" s="4" t="s">
        <v>481</v>
      </c>
      <c r="I4" s="4" t="s">
        <v>482</v>
      </c>
      <c r="J4" s="4" t="s">
        <v>483</v>
      </c>
      <c r="K4" s="4" t="s">
        <v>484</v>
      </c>
      <c r="L4" s="4" t="s">
        <v>485</v>
      </c>
      <c r="M4" s="4" t="s">
        <v>486</v>
      </c>
      <c r="N4" s="4" t="s">
        <v>487</v>
      </c>
      <c r="O4" s="4" t="s">
        <v>488</v>
      </c>
      <c r="P4" s="4" t="s">
        <v>489</v>
      </c>
      <c r="Q4" s="4" t="s">
        <v>490</v>
      </c>
      <c r="R4" s="4" t="s">
        <v>491</v>
      </c>
      <c r="S4" s="4" t="s">
        <v>492</v>
      </c>
    </row>
    <row r="5" spans="1:19" ht="15" customHeight="1" x14ac:dyDescent="0.3">
      <c r="A5" s="15" t="s">
        <v>549</v>
      </c>
      <c r="B5" s="5" t="s">
        <v>75</v>
      </c>
      <c r="C5" s="5" t="s">
        <v>77</v>
      </c>
      <c r="D5" s="8" t="str">
        <f>IFERROR(IF(DEMAND_VS_CAPACITY!D5=0,"—",DEMAND_VS_CAPACITY!D5&amp;"h"),"")</f>
        <v>—</v>
      </c>
      <c r="E5" s="8" t="str">
        <f>IFERROR(IF(DEMAND_VS_CAPACITY!E5=0,"—",DEMAND_VS_CAPACITY!E5&amp;"h"),"")</f>
        <v>7h</v>
      </c>
      <c r="F5" s="8" t="str">
        <f>IFERROR(IF(DEMAND_VS_CAPACITY!F5=0,"—",DEMAND_VS_CAPACITY!F5&amp;"h"),"")</f>
        <v>12.4h</v>
      </c>
      <c r="G5" s="8" t="str">
        <f>IFERROR(IF(DEMAND_VS_CAPACITY!G5=0,"—",DEMAND_VS_CAPACITY!G5&amp;"h"),"")</f>
        <v>14.4h</v>
      </c>
      <c r="H5" s="8" t="str">
        <f>IFERROR(IF(DEMAND_VS_CAPACITY!H5=0,"—",DEMAND_VS_CAPACITY!H5&amp;"h"),"")</f>
        <v>13.2h</v>
      </c>
      <c r="I5" s="8" t="str">
        <f>IFERROR(IF(DEMAND_VS_CAPACITY!I5=0,"—",DEMAND_VS_CAPACITY!I5&amp;"h"),"")</f>
        <v>10.7h</v>
      </c>
      <c r="J5" s="8" t="str">
        <f>IFERROR(IF(DEMAND_VS_CAPACITY!J5=0,"—",DEMAND_VS_CAPACITY!J5&amp;"h"),"")</f>
        <v>10.7h</v>
      </c>
      <c r="K5" s="8" t="str">
        <f>IFERROR(IF(DEMAND_VS_CAPACITY!K5=0,"—",DEMAND_VS_CAPACITY!K5&amp;"h"),"")</f>
        <v>10.6h</v>
      </c>
      <c r="L5" s="8" t="str">
        <f>IFERROR(IF(DEMAND_VS_CAPACITY!L5=0,"—",DEMAND_VS_CAPACITY!L5&amp;"h"),"")</f>
        <v>5h</v>
      </c>
      <c r="M5" s="8" t="str">
        <f>IFERROR(IF(DEMAND_VS_CAPACITY!M5=0,"—",DEMAND_VS_CAPACITY!M5&amp;"h"),"")</f>
        <v>2h</v>
      </c>
      <c r="N5" s="8" t="str">
        <f>IFERROR(IF(DEMAND_VS_CAPACITY!N5=0,"—",DEMAND_VS_CAPACITY!N5&amp;"h"),"")</f>
        <v>4h</v>
      </c>
      <c r="O5" s="8" t="str">
        <f>IFERROR(IF(DEMAND_VS_CAPACITY!O5=0,"—",DEMAND_VS_CAPACITY!O5&amp;"h"),"")</f>
        <v>4h</v>
      </c>
      <c r="P5" s="8" t="str">
        <f>IFERROR(IF(DEMAND_VS_CAPACITY!P5=0,"—",DEMAND_VS_CAPACITY!P5&amp;"h"),"")</f>
        <v>2h</v>
      </c>
      <c r="Q5" s="8" t="str">
        <f>IFERROR(IF(DEMAND_VS_CAPACITY!Q5=0,"—",DEMAND_VS_CAPACITY!Q5&amp;"h"),"")</f>
        <v>2h</v>
      </c>
      <c r="R5" s="8" t="str">
        <f>IFERROR(IF(DEMAND_VS_CAPACITY!R5=0,"—",DEMAND_VS_CAPACITY!R5&amp;"h"),"")</f>
        <v>—</v>
      </c>
      <c r="S5" s="8" t="str">
        <f>IFERROR(IF(DEMAND_VS_CAPACITY!S5=0,"—",DEMAND_VS_CAPACITY!S5&amp;"h"),"")</f>
        <v>—</v>
      </c>
    </row>
    <row r="6" spans="1:19" ht="15" customHeight="1" x14ac:dyDescent="0.3">
      <c r="A6" s="15" t="s">
        <v>80</v>
      </c>
      <c r="B6" s="5" t="s">
        <v>81</v>
      </c>
      <c r="C6" s="5" t="s">
        <v>83</v>
      </c>
      <c r="D6" s="8" t="str">
        <f>IFERROR(IF(DEMAND_VS_CAPACITY!D6=0,"—",DEMAND_VS_CAPACITY!D6&amp;"h"),"")</f>
        <v>18h</v>
      </c>
      <c r="E6" s="8" t="str">
        <f>IFERROR(IF(DEMAND_VS_CAPACITY!E6=0,"—",DEMAND_VS_CAPACITY!E6&amp;"h"),"")</f>
        <v>18h</v>
      </c>
      <c r="F6" s="8" t="str">
        <f>IFERROR(IF(DEMAND_VS_CAPACITY!F6=0,"—",DEMAND_VS_CAPACITY!F6&amp;"h"),"")</f>
        <v>18h</v>
      </c>
      <c r="G6" s="8" t="str">
        <f>IFERROR(IF(DEMAND_VS_CAPACITY!G6=0,"—",DEMAND_VS_CAPACITY!G6&amp;"h"),"")</f>
        <v>18h</v>
      </c>
      <c r="H6" s="8" t="str">
        <f>IFERROR(IF(DEMAND_VS_CAPACITY!H6=0,"—",DEMAND_VS_CAPACITY!H6&amp;"h"),"")</f>
        <v>18h</v>
      </c>
      <c r="I6" s="8" t="str">
        <f>IFERROR(IF(DEMAND_VS_CAPACITY!I6=0,"—",DEMAND_VS_CAPACITY!I6&amp;"h"),"")</f>
        <v>22h</v>
      </c>
      <c r="J6" s="8" t="str">
        <f>IFERROR(IF(DEMAND_VS_CAPACITY!J6=0,"—",DEMAND_VS_CAPACITY!J6&amp;"h"),"")</f>
        <v>23.5h</v>
      </c>
      <c r="K6" s="8" t="str">
        <f>IFERROR(IF(DEMAND_VS_CAPACITY!K6=0,"—",DEMAND_VS_CAPACITY!K6&amp;"h"),"")</f>
        <v>19.5h</v>
      </c>
      <c r="L6" s="8" t="str">
        <f>IFERROR(IF(DEMAND_VS_CAPACITY!L6=0,"—",DEMAND_VS_CAPACITY!L6&amp;"h"),"")</f>
        <v>30.5h</v>
      </c>
      <c r="M6" s="8" t="str">
        <f>IFERROR(IF(DEMAND_VS_CAPACITY!M6=0,"—",DEMAND_VS_CAPACITY!M6&amp;"h"),"")</f>
        <v>30.5h</v>
      </c>
      <c r="N6" s="8" t="str">
        <f>IFERROR(IF(DEMAND_VS_CAPACITY!N6=0,"—",DEMAND_VS_CAPACITY!N6&amp;"h"),"")</f>
        <v>23h</v>
      </c>
      <c r="O6" s="8" t="str">
        <f>IFERROR(IF(DEMAND_VS_CAPACITY!O6=0,"—",DEMAND_VS_CAPACITY!O6&amp;"h"),"")</f>
        <v>18h</v>
      </c>
      <c r="P6" s="8" t="str">
        <f>IFERROR(IF(DEMAND_VS_CAPACITY!P6=0,"—",DEMAND_VS_CAPACITY!P6&amp;"h"),"")</f>
        <v>18h</v>
      </c>
      <c r="Q6" s="8" t="str">
        <f>IFERROR(IF(DEMAND_VS_CAPACITY!Q6=0,"—",DEMAND_VS_CAPACITY!Q6&amp;"h"),"")</f>
        <v>18h</v>
      </c>
      <c r="R6" s="8" t="str">
        <f>IFERROR(IF(DEMAND_VS_CAPACITY!R6=0,"—",DEMAND_VS_CAPACITY!R6&amp;"h"),"")</f>
        <v>18h</v>
      </c>
      <c r="S6" s="8" t="str">
        <f>IFERROR(IF(DEMAND_VS_CAPACITY!S6=0,"—",DEMAND_VS_CAPACITY!S6&amp;"h"),"")</f>
        <v>18h</v>
      </c>
    </row>
    <row r="7" spans="1:19" ht="15" customHeight="1" x14ac:dyDescent="0.3">
      <c r="A7" s="15" t="s">
        <v>86</v>
      </c>
      <c r="B7" s="5" t="s">
        <v>81</v>
      </c>
      <c r="C7" s="5" t="s">
        <v>88</v>
      </c>
      <c r="D7" s="8" t="str">
        <f>IFERROR(IF(DEMAND_VS_CAPACITY!D7=0,"—",DEMAND_VS_CAPACITY!D7&amp;"h"),"")</f>
        <v>20h</v>
      </c>
      <c r="E7" s="8" t="str">
        <f>IFERROR(IF(DEMAND_VS_CAPACITY!E7=0,"—",DEMAND_VS_CAPACITY!E7&amp;"h"),"")</f>
        <v>20h</v>
      </c>
      <c r="F7" s="8" t="str">
        <f>IFERROR(IF(DEMAND_VS_CAPACITY!F7=0,"—",DEMAND_VS_CAPACITY!F7&amp;"h"),"")</f>
        <v>20h</v>
      </c>
      <c r="G7" s="8" t="str">
        <f>IFERROR(IF(DEMAND_VS_CAPACITY!G7=0,"—",DEMAND_VS_CAPACITY!G7&amp;"h"),"")</f>
        <v>20h</v>
      </c>
      <c r="H7" s="8" t="str">
        <f>IFERROR(IF(DEMAND_VS_CAPACITY!H7=0,"—",DEMAND_VS_CAPACITY!H7&amp;"h"),"")</f>
        <v>20h</v>
      </c>
      <c r="I7" s="8" t="str">
        <f>IFERROR(IF(DEMAND_VS_CAPACITY!I7=0,"—",DEMAND_VS_CAPACITY!I7&amp;"h"),"")</f>
        <v>22.7h</v>
      </c>
      <c r="J7" s="8" t="str">
        <f>IFERROR(IF(DEMAND_VS_CAPACITY!J7=0,"—",DEMAND_VS_CAPACITY!J7&amp;"h"),"")</f>
        <v>22.7h</v>
      </c>
      <c r="K7" s="8" t="str">
        <f>IFERROR(IF(DEMAND_VS_CAPACITY!K7=0,"—",DEMAND_VS_CAPACITY!K7&amp;"h"),"")</f>
        <v>22.6h</v>
      </c>
      <c r="L7" s="8" t="str">
        <f>IFERROR(IF(DEMAND_VS_CAPACITY!L7=0,"—",DEMAND_VS_CAPACITY!L7&amp;"h"),"")</f>
        <v>23.8h</v>
      </c>
      <c r="M7" s="8" t="str">
        <f>IFERROR(IF(DEMAND_VS_CAPACITY!M7=0,"—",DEMAND_VS_CAPACITY!M7&amp;"h"),"")</f>
        <v>23.8h</v>
      </c>
      <c r="N7" s="8" t="str">
        <f>IFERROR(IF(DEMAND_VS_CAPACITY!N7=0,"—",DEMAND_VS_CAPACITY!N7&amp;"h"),"")</f>
        <v>23.8h</v>
      </c>
      <c r="O7" s="8" t="str">
        <f>IFERROR(IF(DEMAND_VS_CAPACITY!O7=0,"—",DEMAND_VS_CAPACITY!O7&amp;"h"),"")</f>
        <v>23.6h</v>
      </c>
      <c r="P7" s="8" t="str">
        <f>IFERROR(IF(DEMAND_VS_CAPACITY!P7=0,"—",DEMAND_VS_CAPACITY!P7&amp;"h"),"")</f>
        <v>20h</v>
      </c>
      <c r="Q7" s="8" t="str">
        <f>IFERROR(IF(DEMAND_VS_CAPACITY!Q7=0,"—",DEMAND_VS_CAPACITY!Q7&amp;"h"),"")</f>
        <v>20h</v>
      </c>
      <c r="R7" s="8" t="str">
        <f>IFERROR(IF(DEMAND_VS_CAPACITY!R7=0,"—",DEMAND_VS_CAPACITY!R7&amp;"h"),"")</f>
        <v>20h</v>
      </c>
      <c r="S7" s="8" t="str">
        <f>IFERROR(IF(DEMAND_VS_CAPACITY!S7=0,"—",DEMAND_VS_CAPACITY!S7&amp;"h"),"")</f>
        <v>20h</v>
      </c>
    </row>
    <row r="8" spans="1:19" ht="15" customHeight="1" x14ac:dyDescent="0.3">
      <c r="A8" s="15" t="s">
        <v>91</v>
      </c>
      <c r="B8" s="5" t="s">
        <v>92</v>
      </c>
      <c r="C8" s="5" t="s">
        <v>83</v>
      </c>
      <c r="D8" s="8" t="str">
        <f>IFERROR(IF(DEMAND_VS_CAPACITY!D8=0,"—",DEMAND_VS_CAPACITY!D8&amp;"h"),"")</f>
        <v>12h</v>
      </c>
      <c r="E8" s="8" t="str">
        <f>IFERROR(IF(DEMAND_VS_CAPACITY!E8=0,"—",DEMAND_VS_CAPACITY!E8&amp;"h"),"")</f>
        <v>12h</v>
      </c>
      <c r="F8" s="8" t="str">
        <f>IFERROR(IF(DEMAND_VS_CAPACITY!F8=0,"—",DEMAND_VS_CAPACITY!F8&amp;"h"),"")</f>
        <v>12h</v>
      </c>
      <c r="G8" s="8" t="str">
        <f>IFERROR(IF(DEMAND_VS_CAPACITY!G8=0,"—",DEMAND_VS_CAPACITY!G8&amp;"h"),"")</f>
        <v>12h</v>
      </c>
      <c r="H8" s="8" t="str">
        <f>IFERROR(IF(DEMAND_VS_CAPACITY!H8=0,"—",DEMAND_VS_CAPACITY!H8&amp;"h"),"")</f>
        <v>12h</v>
      </c>
      <c r="I8" s="8" t="str">
        <f>IFERROR(IF(DEMAND_VS_CAPACITY!I8=0,"—",DEMAND_VS_CAPACITY!I8&amp;"h"),"")</f>
        <v>12h</v>
      </c>
      <c r="J8" s="8" t="str">
        <f>IFERROR(IF(DEMAND_VS_CAPACITY!J8=0,"—",DEMAND_VS_CAPACITY!J8&amp;"h"),"")</f>
        <v>12h</v>
      </c>
      <c r="K8" s="8" t="str">
        <f>IFERROR(IF(DEMAND_VS_CAPACITY!K8=0,"—",DEMAND_VS_CAPACITY!K8&amp;"h"),"")</f>
        <v>12h</v>
      </c>
      <c r="L8" s="8" t="str">
        <f>IFERROR(IF(DEMAND_VS_CAPACITY!L8=0,"—",DEMAND_VS_CAPACITY!L8&amp;"h"),"")</f>
        <v>12h</v>
      </c>
      <c r="M8" s="8" t="str">
        <f>IFERROR(IF(DEMAND_VS_CAPACITY!M8=0,"—",DEMAND_VS_CAPACITY!M8&amp;"h"),"")</f>
        <v>12h</v>
      </c>
      <c r="N8" s="8" t="str">
        <f>IFERROR(IF(DEMAND_VS_CAPACITY!N8=0,"—",DEMAND_VS_CAPACITY!N8&amp;"h"),"")</f>
        <v>12h</v>
      </c>
      <c r="O8" s="8" t="str">
        <f>IFERROR(IF(DEMAND_VS_CAPACITY!O8=0,"—",DEMAND_VS_CAPACITY!O8&amp;"h"),"")</f>
        <v>12h</v>
      </c>
      <c r="P8" s="8" t="str">
        <f>IFERROR(IF(DEMAND_VS_CAPACITY!P8=0,"—",DEMAND_VS_CAPACITY!P8&amp;"h"),"")</f>
        <v>12h</v>
      </c>
      <c r="Q8" s="8" t="str">
        <f>IFERROR(IF(DEMAND_VS_CAPACITY!Q8=0,"—",DEMAND_VS_CAPACITY!Q8&amp;"h"),"")</f>
        <v>12h</v>
      </c>
      <c r="R8" s="8" t="str">
        <f>IFERROR(IF(DEMAND_VS_CAPACITY!R8=0,"—",DEMAND_VS_CAPACITY!R8&amp;"h"),"")</f>
        <v>12h</v>
      </c>
      <c r="S8" s="8" t="str">
        <f>IFERROR(IF(DEMAND_VS_CAPACITY!S8=0,"—",DEMAND_VS_CAPACITY!S8&amp;"h"),"")</f>
        <v>12h</v>
      </c>
    </row>
    <row r="9" spans="1:19" ht="15" customHeight="1" x14ac:dyDescent="0.3">
      <c r="A9" s="15" t="s">
        <v>96</v>
      </c>
      <c r="B9" s="5" t="s">
        <v>92</v>
      </c>
      <c r="C9" s="5" t="s">
        <v>88</v>
      </c>
      <c r="D9" s="8" t="str">
        <f>IFERROR(IF(DEMAND_VS_CAPACITY!D9=0,"—",DEMAND_VS_CAPACITY!D9&amp;"h"),"")</f>
        <v>17.5h</v>
      </c>
      <c r="E9" s="8" t="str">
        <f>IFERROR(IF(DEMAND_VS_CAPACITY!E9=0,"—",DEMAND_VS_CAPACITY!E9&amp;"h"),"")</f>
        <v>17.5h</v>
      </c>
      <c r="F9" s="8" t="str">
        <f>IFERROR(IF(DEMAND_VS_CAPACITY!F9=0,"—",DEMAND_VS_CAPACITY!F9&amp;"h"),"")</f>
        <v>17.5h</v>
      </c>
      <c r="G9" s="8" t="str">
        <f>IFERROR(IF(DEMAND_VS_CAPACITY!G9=0,"—",DEMAND_VS_CAPACITY!G9&amp;"h"),"")</f>
        <v>17.5h</v>
      </c>
      <c r="H9" s="8" t="str">
        <f>IFERROR(IF(DEMAND_VS_CAPACITY!H9=0,"—",DEMAND_VS_CAPACITY!H9&amp;"h"),"")</f>
        <v>17.5h</v>
      </c>
      <c r="I9" s="8" t="str">
        <f>IFERROR(IF(DEMAND_VS_CAPACITY!I9=0,"—",DEMAND_VS_CAPACITY!I9&amp;"h"),"")</f>
        <v>17.5h</v>
      </c>
      <c r="J9" s="8" t="str">
        <f>IFERROR(IF(DEMAND_VS_CAPACITY!J9=0,"—",DEMAND_VS_CAPACITY!J9&amp;"h"),"")</f>
        <v>17.5h</v>
      </c>
      <c r="K9" s="8" t="str">
        <f>IFERROR(IF(DEMAND_VS_CAPACITY!K9=0,"—",DEMAND_VS_CAPACITY!K9&amp;"h"),"")</f>
        <v>17.5h</v>
      </c>
      <c r="L9" s="8" t="str">
        <f>IFERROR(IF(DEMAND_VS_CAPACITY!L9=0,"—",DEMAND_VS_CAPACITY!L9&amp;"h"),"")</f>
        <v>17.5h</v>
      </c>
      <c r="M9" s="8" t="str">
        <f>IFERROR(IF(DEMAND_VS_CAPACITY!M9=0,"—",DEMAND_VS_CAPACITY!M9&amp;"h"),"")</f>
        <v>17.5h</v>
      </c>
      <c r="N9" s="8" t="str">
        <f>IFERROR(IF(DEMAND_VS_CAPACITY!N9=0,"—",DEMAND_VS_CAPACITY!N9&amp;"h"),"")</f>
        <v>17.5h</v>
      </c>
      <c r="O9" s="8" t="str">
        <f>IFERROR(IF(DEMAND_VS_CAPACITY!O9=0,"—",DEMAND_VS_CAPACITY!O9&amp;"h"),"")</f>
        <v>17.5h</v>
      </c>
      <c r="P9" s="8" t="str">
        <f>IFERROR(IF(DEMAND_VS_CAPACITY!P9=0,"—",DEMAND_VS_CAPACITY!P9&amp;"h"),"")</f>
        <v>17.5h</v>
      </c>
      <c r="Q9" s="8" t="str">
        <f>IFERROR(IF(DEMAND_VS_CAPACITY!Q9=0,"—",DEMAND_VS_CAPACITY!Q9&amp;"h"),"")</f>
        <v>17.5h</v>
      </c>
      <c r="R9" s="8" t="str">
        <f>IFERROR(IF(DEMAND_VS_CAPACITY!R9=0,"—",DEMAND_VS_CAPACITY!R9&amp;"h"),"")</f>
        <v>17.5h</v>
      </c>
      <c r="S9" s="8" t="str">
        <f>IFERROR(IF(DEMAND_VS_CAPACITY!S9=0,"—",DEMAND_VS_CAPACITY!S9&amp;"h"),"")</f>
        <v>17.5h</v>
      </c>
    </row>
    <row r="10" spans="1:19" ht="15" customHeight="1" x14ac:dyDescent="0.3">
      <c r="A10" s="15" t="s">
        <v>100</v>
      </c>
      <c r="B10" s="5" t="s">
        <v>92</v>
      </c>
      <c r="C10" s="5" t="s">
        <v>83</v>
      </c>
      <c r="D10" s="8" t="str">
        <f>IFERROR(IF(DEMAND_VS_CAPACITY!D10=0,"—",DEMAND_VS_CAPACITY!D10&amp;"h"),"")</f>
        <v>8h</v>
      </c>
      <c r="E10" s="8" t="str">
        <f>IFERROR(IF(DEMAND_VS_CAPACITY!E10=0,"—",DEMAND_VS_CAPACITY!E10&amp;"h"),"")</f>
        <v>8h</v>
      </c>
      <c r="F10" s="8" t="str">
        <f>IFERROR(IF(DEMAND_VS_CAPACITY!F10=0,"—",DEMAND_VS_CAPACITY!F10&amp;"h"),"")</f>
        <v>8h</v>
      </c>
      <c r="G10" s="8" t="str">
        <f>IFERROR(IF(DEMAND_VS_CAPACITY!G10=0,"—",DEMAND_VS_CAPACITY!G10&amp;"h"),"")</f>
        <v>8h</v>
      </c>
      <c r="H10" s="8" t="str">
        <f>IFERROR(IF(DEMAND_VS_CAPACITY!H10=0,"—",DEMAND_VS_CAPACITY!H10&amp;"h"),"")</f>
        <v>8h</v>
      </c>
      <c r="I10" s="8" t="str">
        <f>IFERROR(IF(DEMAND_VS_CAPACITY!I10=0,"—",DEMAND_VS_CAPACITY!I10&amp;"h"),"")</f>
        <v>8h</v>
      </c>
      <c r="J10" s="8" t="str">
        <f>IFERROR(IF(DEMAND_VS_CAPACITY!J10=0,"—",DEMAND_VS_CAPACITY!J10&amp;"h"),"")</f>
        <v>8h</v>
      </c>
      <c r="K10" s="8" t="str">
        <f>IFERROR(IF(DEMAND_VS_CAPACITY!K10=0,"—",DEMAND_VS_CAPACITY!K10&amp;"h"),"")</f>
        <v>8h</v>
      </c>
      <c r="L10" s="8" t="str">
        <f>IFERROR(IF(DEMAND_VS_CAPACITY!L10=0,"—",DEMAND_VS_CAPACITY!L10&amp;"h"),"")</f>
        <v>8h</v>
      </c>
      <c r="M10" s="8" t="str">
        <f>IFERROR(IF(DEMAND_VS_CAPACITY!M10=0,"—",DEMAND_VS_CAPACITY!M10&amp;"h"),"")</f>
        <v>8h</v>
      </c>
      <c r="N10" s="8" t="str">
        <f>IFERROR(IF(DEMAND_VS_CAPACITY!N10=0,"—",DEMAND_VS_CAPACITY!N10&amp;"h"),"")</f>
        <v>8h</v>
      </c>
      <c r="O10" s="8" t="str">
        <f>IFERROR(IF(DEMAND_VS_CAPACITY!O10=0,"—",DEMAND_VS_CAPACITY!O10&amp;"h"),"")</f>
        <v>8h</v>
      </c>
      <c r="P10" s="8" t="str">
        <f>IFERROR(IF(DEMAND_VS_CAPACITY!P10=0,"—",DEMAND_VS_CAPACITY!P10&amp;"h"),"")</f>
        <v>8h</v>
      </c>
      <c r="Q10" s="8" t="str">
        <f>IFERROR(IF(DEMAND_VS_CAPACITY!Q10=0,"—",DEMAND_VS_CAPACITY!Q10&amp;"h"),"")</f>
        <v>8h</v>
      </c>
      <c r="R10" s="8" t="str">
        <f>IFERROR(IF(DEMAND_VS_CAPACITY!R10=0,"—",DEMAND_VS_CAPACITY!R10&amp;"h"),"")</f>
        <v>8h</v>
      </c>
      <c r="S10" s="8" t="str">
        <f>IFERROR(IF(DEMAND_VS_CAPACITY!S10=0,"—",DEMAND_VS_CAPACITY!S10&amp;"h"),"")</f>
        <v>8h</v>
      </c>
    </row>
    <row r="11" spans="1:19" ht="15" customHeight="1" x14ac:dyDescent="0.3">
      <c r="A11" s="15" t="s">
        <v>104</v>
      </c>
      <c r="B11" s="5" t="s">
        <v>105</v>
      </c>
      <c r="C11" s="5" t="s">
        <v>107</v>
      </c>
      <c r="D11" s="8" t="str">
        <f>IFERROR(IF(DEMAND_VS_CAPACITY!D11=0,"—",DEMAND_VS_CAPACITY!D11&amp;"h"),"")</f>
        <v>10h</v>
      </c>
      <c r="E11" s="8" t="str">
        <f>IFERROR(IF(DEMAND_VS_CAPACITY!E11=0,"—",DEMAND_VS_CAPACITY!E11&amp;"h"),"")</f>
        <v>10h</v>
      </c>
      <c r="F11" s="8" t="str">
        <f>IFERROR(IF(DEMAND_VS_CAPACITY!F11=0,"—",DEMAND_VS_CAPACITY!F11&amp;"h"),"")</f>
        <v>10h</v>
      </c>
      <c r="G11" s="8" t="str">
        <f>IFERROR(IF(DEMAND_VS_CAPACITY!G11=0,"—",DEMAND_VS_CAPACITY!G11&amp;"h"),"")</f>
        <v>10h</v>
      </c>
      <c r="H11" s="8" t="str">
        <f>IFERROR(IF(DEMAND_VS_CAPACITY!H11=0,"—",DEMAND_VS_CAPACITY!H11&amp;"h"),"")</f>
        <v>10h</v>
      </c>
      <c r="I11" s="8" t="str">
        <f>IFERROR(IF(DEMAND_VS_CAPACITY!I11=0,"—",DEMAND_VS_CAPACITY!I11&amp;"h"),"")</f>
        <v>10h</v>
      </c>
      <c r="J11" s="8" t="str">
        <f>IFERROR(IF(DEMAND_VS_CAPACITY!J11=0,"—",DEMAND_VS_CAPACITY!J11&amp;"h"),"")</f>
        <v>10h</v>
      </c>
      <c r="K11" s="8" t="str">
        <f>IFERROR(IF(DEMAND_VS_CAPACITY!K11=0,"—",DEMAND_VS_CAPACITY!K11&amp;"h"),"")</f>
        <v>10h</v>
      </c>
      <c r="L11" s="8" t="str">
        <f>IFERROR(IF(DEMAND_VS_CAPACITY!L11=0,"—",DEMAND_VS_CAPACITY!L11&amp;"h"),"")</f>
        <v>10h</v>
      </c>
      <c r="M11" s="8" t="str">
        <f>IFERROR(IF(DEMAND_VS_CAPACITY!M11=0,"—",DEMAND_VS_CAPACITY!M11&amp;"h"),"")</f>
        <v>10h</v>
      </c>
      <c r="N11" s="8" t="str">
        <f>IFERROR(IF(DEMAND_VS_CAPACITY!N11=0,"—",DEMAND_VS_CAPACITY!N11&amp;"h"),"")</f>
        <v>10h</v>
      </c>
      <c r="O11" s="8" t="str">
        <f>IFERROR(IF(DEMAND_VS_CAPACITY!O11=0,"—",DEMAND_VS_CAPACITY!O11&amp;"h"),"")</f>
        <v>10h</v>
      </c>
      <c r="P11" s="8" t="str">
        <f>IFERROR(IF(DEMAND_VS_CAPACITY!P11=0,"—",DEMAND_VS_CAPACITY!P11&amp;"h"),"")</f>
        <v>10h</v>
      </c>
      <c r="Q11" s="8" t="str">
        <f>IFERROR(IF(DEMAND_VS_CAPACITY!Q11=0,"—",DEMAND_VS_CAPACITY!Q11&amp;"h"),"")</f>
        <v>10h</v>
      </c>
      <c r="R11" s="8" t="str">
        <f>IFERROR(IF(DEMAND_VS_CAPACITY!R11=0,"—",DEMAND_VS_CAPACITY!R11&amp;"h"),"")</f>
        <v>10h</v>
      </c>
      <c r="S11" s="8" t="str">
        <f>IFERROR(IF(DEMAND_VS_CAPACITY!S11=0,"—",DEMAND_VS_CAPACITY!S11&amp;"h"),"")</f>
        <v>10h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K10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32" customWidth="1"/>
    <col min="3" max="3" width="10" customWidth="1"/>
    <col min="4" max="9" width="14" customWidth="1"/>
    <col min="10" max="10" width="12" customWidth="1"/>
    <col min="11" max="11" width="16" customWidth="1"/>
  </cols>
  <sheetData>
    <row r="1" spans="1:11" ht="17.25" customHeight="1" x14ac:dyDescent="0.3">
      <c r="A1" s="1" t="s">
        <v>511</v>
      </c>
    </row>
    <row r="3" spans="1:11" ht="23.25" customHeight="1" x14ac:dyDescent="0.3">
      <c r="A3" s="4" t="s">
        <v>109</v>
      </c>
      <c r="B3" s="4" t="s">
        <v>110</v>
      </c>
      <c r="C3" s="4" t="s">
        <v>111</v>
      </c>
      <c r="D3" s="4" t="s">
        <v>114</v>
      </c>
      <c r="E3" s="4" t="s">
        <v>512</v>
      </c>
      <c r="F3" s="4" t="s">
        <v>513</v>
      </c>
      <c r="G3" s="4" t="s">
        <v>514</v>
      </c>
      <c r="H3" s="4" t="s">
        <v>515</v>
      </c>
      <c r="I3" s="4" t="s">
        <v>516</v>
      </c>
      <c r="J3" s="4" t="s">
        <v>517</v>
      </c>
      <c r="K3" s="4" t="s">
        <v>518</v>
      </c>
    </row>
    <row r="4" spans="1:11" ht="15" customHeight="1" x14ac:dyDescent="0.3">
      <c r="A4" s="5" t="s">
        <v>116</v>
      </c>
      <c r="B4" s="5" t="s">
        <v>117</v>
      </c>
      <c r="C4" s="5">
        <v>1</v>
      </c>
      <c r="D4" s="5" t="s">
        <v>118</v>
      </c>
      <c r="E4" s="11">
        <v>46083</v>
      </c>
      <c r="F4" s="11">
        <v>46143</v>
      </c>
      <c r="G4" s="8">
        <f>SUMIF(TASKS!B:B,A4,TASKS!H:H)</f>
        <v>52</v>
      </c>
      <c r="H4" s="8">
        <f>SUMPRODUCT((IFERROR(VLOOKUP(ASSIGNMENTS!$B$2:$B$214,TASKS!$A:$B,2,FALSE()),"")=$A4)*ASSIGNMENTS!$E$2:$E$214)</f>
        <v>1530</v>
      </c>
      <c r="I4" s="8">
        <f t="shared" ref="I4:I10" si="0">G4-H4</f>
        <v>-1478</v>
      </c>
      <c r="J4" s="32">
        <f t="shared" ref="J4:J10" si="1">IFERROR(H4/G4,0)</f>
        <v>29.423076923076923</v>
      </c>
      <c r="K4" s="8" t="str">
        <f t="shared" ref="K4:K10" si="2">IF(I4&gt;0,"UNDERSTAFFED",IF(J4&lt;0.8,"LOW COVERAGE","OK"))</f>
        <v>OK</v>
      </c>
    </row>
    <row r="5" spans="1:11" ht="15" customHeight="1" x14ac:dyDescent="0.3">
      <c r="A5" s="5" t="s">
        <v>120</v>
      </c>
      <c r="B5" s="5" t="s">
        <v>121</v>
      </c>
      <c r="C5" s="5">
        <v>1</v>
      </c>
      <c r="D5" s="5" t="s">
        <v>118</v>
      </c>
      <c r="E5" s="11">
        <v>46090</v>
      </c>
      <c r="F5" s="11">
        <v>46157</v>
      </c>
      <c r="G5" s="8">
        <f>SUMIF(TASKS!B:B,A5,TASKS!H:H)</f>
        <v>54</v>
      </c>
      <c r="H5" s="8">
        <f>SUMPRODUCT((IFERROR(VLOOKUP(ASSIGNMENTS!$B$2:$B$214,TASKS!$A:$B,2,FALSE()),"")=$A5)*ASSIGNMENTS!$E$2:$E$214)</f>
        <v>0</v>
      </c>
      <c r="I5" s="8">
        <f t="shared" si="0"/>
        <v>54</v>
      </c>
      <c r="J5" s="32">
        <f t="shared" si="1"/>
        <v>0</v>
      </c>
      <c r="K5" s="8" t="str">
        <f t="shared" si="2"/>
        <v>UNDERSTAFFED</v>
      </c>
    </row>
    <row r="6" spans="1:11" ht="15" customHeight="1" x14ac:dyDescent="0.3">
      <c r="A6" s="36" t="s">
        <v>123</v>
      </c>
      <c r="B6" s="36" t="s">
        <v>124</v>
      </c>
      <c r="C6" s="36">
        <v>2</v>
      </c>
      <c r="D6" s="36" t="s">
        <v>125</v>
      </c>
      <c r="E6" s="37">
        <v>46076</v>
      </c>
      <c r="F6" s="37">
        <v>46185</v>
      </c>
      <c r="G6" s="38">
        <f>SUMIF(TASKS!B:B,A6,TASKS!H:H)</f>
        <v>608</v>
      </c>
      <c r="H6" s="38">
        <f>SUMPRODUCT((IFERROR(VLOOKUP(ASSIGNMENTS!$B$2:$B$214,TASKS!$A:$B,2,FALSE()),"")=$A6)*ASSIGNMENTS!$E$2:$E$214)</f>
        <v>0</v>
      </c>
      <c r="I6" s="38">
        <f t="shared" si="0"/>
        <v>608</v>
      </c>
      <c r="J6" s="39">
        <f t="shared" si="1"/>
        <v>0</v>
      </c>
      <c r="K6" s="38" t="str">
        <f t="shared" si="2"/>
        <v>UNDERSTAFFED</v>
      </c>
    </row>
    <row r="7" spans="1:11" ht="15" customHeight="1" x14ac:dyDescent="0.3">
      <c r="A7" s="40" t="s">
        <v>127</v>
      </c>
      <c r="B7" s="40" t="s">
        <v>128</v>
      </c>
      <c r="C7" s="40">
        <v>2</v>
      </c>
      <c r="D7" s="40" t="s">
        <v>125</v>
      </c>
      <c r="E7" s="41">
        <v>46076</v>
      </c>
      <c r="F7" s="41">
        <v>46185</v>
      </c>
      <c r="G7" s="42">
        <f>SUMIF(TASKS!B:B,A7,TASKS!H:H)</f>
        <v>456</v>
      </c>
      <c r="H7" s="42">
        <f>SUMPRODUCT((IFERROR(VLOOKUP(ASSIGNMENTS!$B$2:$B$214,TASKS!$A:$B,2,FALSE()),"")=$A7)*ASSIGNMENTS!$E$2:$E$214)</f>
        <v>0</v>
      </c>
      <c r="I7" s="42">
        <f t="shared" si="0"/>
        <v>456</v>
      </c>
      <c r="J7" s="43">
        <f t="shared" si="1"/>
        <v>0</v>
      </c>
      <c r="K7" s="42" t="str">
        <f t="shared" si="2"/>
        <v>UNDERSTAFFED</v>
      </c>
    </row>
    <row r="8" spans="1:11" ht="15" customHeight="1" x14ac:dyDescent="0.3">
      <c r="A8" s="40" t="s">
        <v>130</v>
      </c>
      <c r="B8" s="40" t="s">
        <v>131</v>
      </c>
      <c r="C8" s="40">
        <v>2</v>
      </c>
      <c r="D8" s="40" t="s">
        <v>125</v>
      </c>
      <c r="E8" s="41">
        <v>46076</v>
      </c>
      <c r="F8" s="41">
        <v>46185</v>
      </c>
      <c r="G8" s="42">
        <f>SUMIF(TASKS!B:B,A8,TASKS!H:H)</f>
        <v>304</v>
      </c>
      <c r="H8" s="42">
        <f>SUMPRODUCT((IFERROR(VLOOKUP(ASSIGNMENTS!$B$2:$B$214,TASKS!$A:$B,2,FALSE()),"")=$A8)*ASSIGNMENTS!$E$2:$E$214)</f>
        <v>0</v>
      </c>
      <c r="I8" s="42">
        <f t="shared" si="0"/>
        <v>304</v>
      </c>
      <c r="J8" s="43">
        <f t="shared" si="1"/>
        <v>0</v>
      </c>
      <c r="K8" s="42" t="str">
        <f t="shared" si="2"/>
        <v>UNDERSTAFFED</v>
      </c>
    </row>
    <row r="9" spans="1:11" ht="15" customHeight="1" x14ac:dyDescent="0.3">
      <c r="A9" s="5" t="s">
        <v>133</v>
      </c>
      <c r="B9" s="5" t="s">
        <v>134</v>
      </c>
      <c r="C9" s="5">
        <v>3</v>
      </c>
      <c r="D9" s="5" t="s">
        <v>118</v>
      </c>
      <c r="E9" s="11">
        <v>46083</v>
      </c>
      <c r="F9" s="11">
        <v>46129</v>
      </c>
      <c r="G9" s="8">
        <f>SUMIF(TASKS!B:B,A9,TASKS!H:H)</f>
        <v>19</v>
      </c>
      <c r="H9" s="8">
        <f>SUMPRODUCT((IFERROR(VLOOKUP(ASSIGNMENTS!$B$2:$B$214,TASKS!$A:$B,2,FALSE()),"")=$A9)*ASSIGNMENTS!$E$2:$E$214)</f>
        <v>0</v>
      </c>
      <c r="I9" s="8">
        <f t="shared" si="0"/>
        <v>19</v>
      </c>
      <c r="J9" s="32">
        <f t="shared" si="1"/>
        <v>0</v>
      </c>
      <c r="K9" s="8" t="str">
        <f t="shared" si="2"/>
        <v>UNDERSTAFFED</v>
      </c>
    </row>
    <row r="10" spans="1:11" ht="15" customHeight="1" x14ac:dyDescent="0.3">
      <c r="A10" s="5" t="s">
        <v>136</v>
      </c>
      <c r="B10" s="5" t="s">
        <v>137</v>
      </c>
      <c r="C10" s="5">
        <v>3</v>
      </c>
      <c r="D10" s="5" t="s">
        <v>138</v>
      </c>
      <c r="E10" s="11">
        <v>46097</v>
      </c>
      <c r="F10" s="11">
        <v>46171</v>
      </c>
      <c r="G10" s="8">
        <f>SUMIF(TASKS!B:B,A10,TASKS!H:H)</f>
        <v>37</v>
      </c>
      <c r="H10" s="8">
        <f>SUMPRODUCT((IFERROR(VLOOKUP(ASSIGNMENTS!$B$2:$B$214,TASKS!$A:$B,2,FALSE()),"")=$A10)*ASSIGNMENTS!$E$2:$E$214)</f>
        <v>0</v>
      </c>
      <c r="I10" s="8">
        <f t="shared" si="0"/>
        <v>37</v>
      </c>
      <c r="J10" s="32">
        <f t="shared" si="1"/>
        <v>0</v>
      </c>
      <c r="K10" s="8" t="str">
        <f t="shared" si="2"/>
        <v>UNDERSTAFFED</v>
      </c>
    </row>
  </sheetData>
  <conditionalFormatting sqref="K4:K10">
    <cfRule type="cellIs" dxfId="2" priority="2" operator="equal">
      <formula>"UNDERSTAFFED"</formula>
    </cfRule>
    <cfRule type="cellIs" dxfId="1" priority="3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Q46"/>
  <sheetViews>
    <sheetView topLeftCell="A24" zoomScaleNormal="100" workbookViewId="0"/>
  </sheetViews>
  <sheetFormatPr defaultColWidth="8.6640625" defaultRowHeight="14.4" x14ac:dyDescent="0.3"/>
  <cols>
    <col min="1" max="1" width="32" customWidth="1"/>
    <col min="2" max="17" width="8" customWidth="1"/>
  </cols>
  <sheetData>
    <row r="1" spans="1:17" ht="17.25" customHeight="1" x14ac:dyDescent="0.3">
      <c r="A1" s="1" t="s">
        <v>519</v>
      </c>
    </row>
    <row r="3" spans="1:17" ht="15" customHeight="1" x14ac:dyDescent="0.3">
      <c r="A3" s="4" t="s">
        <v>520</v>
      </c>
      <c r="B3" s="4" t="s">
        <v>29</v>
      </c>
    </row>
    <row r="4" spans="1:17" ht="15" customHeight="1" x14ac:dyDescent="0.3">
      <c r="A4" s="5" t="s">
        <v>521</v>
      </c>
      <c r="B4" s="44">
        <f>COUNTA(RESOURCES!A2:A8)</f>
        <v>7</v>
      </c>
    </row>
    <row r="5" spans="1:17" ht="15" customHeight="1" x14ac:dyDescent="0.3">
      <c r="A5" s="5" t="s">
        <v>522</v>
      </c>
      <c r="B5" s="44">
        <f>COUNTA(PROJECTS!A2:A8)</f>
        <v>7</v>
      </c>
    </row>
    <row r="6" spans="1:17" ht="15" customHeight="1" x14ac:dyDescent="0.3">
      <c r="A6" s="5" t="s">
        <v>523</v>
      </c>
      <c r="B6" s="44">
        <f>COUNTA(TASKS!A2:A30)</f>
        <v>29</v>
      </c>
    </row>
    <row r="7" spans="1:17" ht="15" customHeight="1" x14ac:dyDescent="0.3">
      <c r="A7" s="5" t="s">
        <v>524</v>
      </c>
      <c r="B7" s="44">
        <f>SUM(TASKS!H2:H30)</f>
        <v>1530</v>
      </c>
    </row>
    <row r="8" spans="1:17" ht="15" customHeight="1" x14ac:dyDescent="0.3">
      <c r="A8" s="5" t="s">
        <v>525</v>
      </c>
      <c r="B8" s="44">
        <f>SUM(ASSIGNMENTS!E2:E214)</f>
        <v>1530</v>
      </c>
    </row>
    <row r="9" spans="1:17" ht="15" customHeight="1" x14ac:dyDescent="0.3">
      <c r="A9" s="5" t="s">
        <v>526</v>
      </c>
      <c r="B9" s="44">
        <f>B7-B8</f>
        <v>0</v>
      </c>
    </row>
    <row r="10" spans="1:17" ht="15" customHeight="1" x14ac:dyDescent="0.3">
      <c r="A10" s="5" t="s">
        <v>527</v>
      </c>
      <c r="B10" s="44">
        <f>COUNTIF(DEMAND_VS_CAPACITY!D36:S42,"OVER")</f>
        <v>0</v>
      </c>
    </row>
    <row r="11" spans="1:17" ht="15" customHeight="1" x14ac:dyDescent="0.3">
      <c r="A11" s="5" t="s">
        <v>528</v>
      </c>
      <c r="B11" s="44">
        <f>COUNTIF(PROJECT_VIEW!K4:K10,"UNDERSTAFFED")</f>
        <v>6</v>
      </c>
    </row>
    <row r="12" spans="1:17" ht="15" customHeight="1" x14ac:dyDescent="0.3">
      <c r="A12" s="5" t="s">
        <v>529</v>
      </c>
      <c r="B12" s="8" t="str">
        <f>TEXT(PlanStart,"MMM D")&amp;" → "&amp;TEXT(PlanStart+(NumWeeks*7)-1,"MMM D, YYYY")</f>
        <v>Feb 23 → Jun 14, 2026</v>
      </c>
    </row>
    <row r="15" spans="1:17" ht="15" customHeight="1" x14ac:dyDescent="0.3">
      <c r="A15" s="2" t="s">
        <v>530</v>
      </c>
    </row>
    <row r="16" spans="1:17" ht="15" customHeight="1" x14ac:dyDescent="0.3">
      <c r="A16" s="4" t="s">
        <v>531</v>
      </c>
      <c r="B16" s="4" t="s">
        <v>477</v>
      </c>
      <c r="C16" s="4" t="s">
        <v>478</v>
      </c>
      <c r="D16" s="4" t="s">
        <v>479</v>
      </c>
      <c r="E16" s="4" t="s">
        <v>480</v>
      </c>
      <c r="F16" s="4" t="s">
        <v>481</v>
      </c>
      <c r="G16" s="4" t="s">
        <v>482</v>
      </c>
      <c r="H16" s="4" t="s">
        <v>483</v>
      </c>
      <c r="I16" s="4" t="s">
        <v>484</v>
      </c>
      <c r="J16" s="4" t="s">
        <v>485</v>
      </c>
      <c r="K16" s="4" t="s">
        <v>486</v>
      </c>
      <c r="L16" s="4" t="s">
        <v>487</v>
      </c>
      <c r="M16" s="4" t="s">
        <v>488</v>
      </c>
      <c r="N16" s="4" t="s">
        <v>489</v>
      </c>
      <c r="O16" s="4" t="s">
        <v>490</v>
      </c>
      <c r="P16" s="4" t="s">
        <v>491</v>
      </c>
      <c r="Q16" s="4" t="s">
        <v>492</v>
      </c>
    </row>
    <row r="17" spans="1:17" ht="15" customHeight="1" x14ac:dyDescent="0.3">
      <c r="A17" s="5" t="s">
        <v>532</v>
      </c>
      <c r="B17" s="45">
        <f>SUM(DEMAND_VS_CAPACITY!D5:D11)</f>
        <v>85.5</v>
      </c>
      <c r="C17" s="45">
        <f>SUM(DEMAND_VS_CAPACITY!E5:E11)</f>
        <v>92.5</v>
      </c>
      <c r="D17" s="45">
        <f>SUM(DEMAND_VS_CAPACITY!F5:F11)</f>
        <v>97.9</v>
      </c>
      <c r="E17" s="45">
        <f>SUM(DEMAND_VS_CAPACITY!G5:G11)</f>
        <v>99.9</v>
      </c>
      <c r="F17" s="45">
        <f>SUM(DEMAND_VS_CAPACITY!H5:H11)</f>
        <v>98.7</v>
      </c>
      <c r="G17" s="45">
        <f>SUM(DEMAND_VS_CAPACITY!I5:I11)</f>
        <v>102.9</v>
      </c>
      <c r="H17" s="45">
        <f>SUM(DEMAND_VS_CAPACITY!J5:J11)</f>
        <v>104.4</v>
      </c>
      <c r="I17" s="45">
        <f>SUM(DEMAND_VS_CAPACITY!K5:K11)</f>
        <v>100.2</v>
      </c>
      <c r="J17" s="45">
        <f>SUM(DEMAND_VS_CAPACITY!L5:L11)</f>
        <v>106.8</v>
      </c>
      <c r="K17" s="45">
        <f>SUM(DEMAND_VS_CAPACITY!M5:M11)</f>
        <v>103.8</v>
      </c>
      <c r="L17" s="45">
        <f>SUM(DEMAND_VS_CAPACITY!N5:N11)</f>
        <v>98.3</v>
      </c>
      <c r="M17" s="45">
        <f>SUM(DEMAND_VS_CAPACITY!O5:O11)</f>
        <v>93.1</v>
      </c>
      <c r="N17" s="45">
        <f>SUM(DEMAND_VS_CAPACITY!P5:P11)</f>
        <v>87.5</v>
      </c>
      <c r="O17" s="45">
        <f>SUM(DEMAND_VS_CAPACITY!Q5:Q11)</f>
        <v>87.5</v>
      </c>
      <c r="P17" s="45">
        <f>SUM(DEMAND_VS_CAPACITY!R5:R11)</f>
        <v>85.5</v>
      </c>
      <c r="Q17" s="45">
        <f>SUM(DEMAND_VS_CAPACITY!S5:S11)</f>
        <v>85.5</v>
      </c>
    </row>
    <row r="18" spans="1:17" ht="15" customHeight="1" x14ac:dyDescent="0.3">
      <c r="A18" s="5" t="s">
        <v>533</v>
      </c>
      <c r="B18" s="45">
        <f>SUM(DEMAND_VS_CAPACITY!D16:D22)</f>
        <v>213</v>
      </c>
      <c r="C18" s="45">
        <f>SUM(DEMAND_VS_CAPACITY!E16:E22)</f>
        <v>213</v>
      </c>
      <c r="D18" s="45">
        <f>SUM(DEMAND_VS_CAPACITY!F16:F22)</f>
        <v>213</v>
      </c>
      <c r="E18" s="45">
        <f>SUM(DEMAND_VS_CAPACITY!G16:G22)</f>
        <v>213</v>
      </c>
      <c r="F18" s="45">
        <f>SUM(DEMAND_VS_CAPACITY!H16:H22)</f>
        <v>213</v>
      </c>
      <c r="G18" s="45">
        <f>SUM(DEMAND_VS_CAPACITY!I16:I22)</f>
        <v>213</v>
      </c>
      <c r="H18" s="45">
        <f>SUM(DEMAND_VS_CAPACITY!J16:J22)</f>
        <v>213</v>
      </c>
      <c r="I18" s="45">
        <f>SUM(DEMAND_VS_CAPACITY!K16:K22)</f>
        <v>213</v>
      </c>
      <c r="J18" s="45">
        <f>SUM(DEMAND_VS_CAPACITY!L16:L22)</f>
        <v>213</v>
      </c>
      <c r="K18" s="45">
        <f>SUM(DEMAND_VS_CAPACITY!M16:M22)</f>
        <v>213</v>
      </c>
      <c r="L18" s="45">
        <f>SUM(DEMAND_VS_CAPACITY!N16:N22)</f>
        <v>213</v>
      </c>
      <c r="M18" s="45">
        <f>SUM(DEMAND_VS_CAPACITY!O16:O22)</f>
        <v>213</v>
      </c>
      <c r="N18" s="45">
        <f>SUM(DEMAND_VS_CAPACITY!P16:P22)</f>
        <v>213</v>
      </c>
      <c r="O18" s="45">
        <f>SUM(DEMAND_VS_CAPACITY!Q16:Q22)</f>
        <v>213</v>
      </c>
      <c r="P18" s="45">
        <f>SUM(DEMAND_VS_CAPACITY!R16:R22)</f>
        <v>213</v>
      </c>
      <c r="Q18" s="45">
        <f>SUM(DEMAND_VS_CAPACITY!S16:S22)</f>
        <v>213</v>
      </c>
    </row>
    <row r="19" spans="1:17" ht="15" customHeight="1" x14ac:dyDescent="0.3">
      <c r="A19" s="5" t="s">
        <v>534</v>
      </c>
      <c r="B19" s="32">
        <f t="shared" ref="B19:Q19" si="0">IFERROR(B17/B18,0)</f>
        <v>0.40140845070422537</v>
      </c>
      <c r="C19" s="32">
        <f t="shared" si="0"/>
        <v>0.43427230046948356</v>
      </c>
      <c r="D19" s="32">
        <f t="shared" si="0"/>
        <v>0.45962441314553992</v>
      </c>
      <c r="E19" s="32">
        <f t="shared" si="0"/>
        <v>0.46901408450704229</v>
      </c>
      <c r="F19" s="32">
        <f t="shared" si="0"/>
        <v>0.46338028169014084</v>
      </c>
      <c r="G19" s="32">
        <f t="shared" si="0"/>
        <v>0.4830985915492958</v>
      </c>
      <c r="H19" s="32">
        <f t="shared" si="0"/>
        <v>0.49014084507042255</v>
      </c>
      <c r="I19" s="32">
        <f t="shared" si="0"/>
        <v>0.47042253521126765</v>
      </c>
      <c r="J19" s="32">
        <f t="shared" si="0"/>
        <v>0.50140845070422535</v>
      </c>
      <c r="K19" s="32">
        <f t="shared" si="0"/>
        <v>0.48732394366197179</v>
      </c>
      <c r="L19" s="32">
        <f t="shared" si="0"/>
        <v>0.46150234741784035</v>
      </c>
      <c r="M19" s="32">
        <f t="shared" si="0"/>
        <v>0.43708920187793426</v>
      </c>
      <c r="N19" s="32">
        <f t="shared" si="0"/>
        <v>0.41079812206572769</v>
      </c>
      <c r="O19" s="32">
        <f t="shared" si="0"/>
        <v>0.41079812206572769</v>
      </c>
      <c r="P19" s="32">
        <f t="shared" si="0"/>
        <v>0.40140845070422537</v>
      </c>
      <c r="Q19" s="32">
        <f t="shared" si="0"/>
        <v>0.40140845070422537</v>
      </c>
    </row>
    <row r="41" spans="1:2" ht="15" customHeight="1" x14ac:dyDescent="0.3">
      <c r="A41" s="2" t="s">
        <v>535</v>
      </c>
    </row>
    <row r="42" spans="1:2" ht="15" customHeight="1" x14ac:dyDescent="0.3">
      <c r="A42" s="4" t="s">
        <v>536</v>
      </c>
      <c r="B42" s="4" t="s">
        <v>537</v>
      </c>
    </row>
    <row r="43" spans="1:2" ht="15" customHeight="1" x14ac:dyDescent="0.3">
      <c r="A43" s="5" t="s">
        <v>538</v>
      </c>
      <c r="B43" s="8">
        <f>COUNTIF(DEMAND_VS_CAPACITY!D26:D32,"&lt;50%")</f>
        <v>3</v>
      </c>
    </row>
    <row r="44" spans="1:2" ht="15" customHeight="1" x14ac:dyDescent="0.3">
      <c r="A44" s="5" t="s">
        <v>539</v>
      </c>
      <c r="B44" s="8">
        <f>COUNTIFS(DEMAND_VS_CAPACITY!D26:D32,"&gt;=50%",DEMAND_VS_CAPACITY!D26:D32,"&lt;70%")</f>
        <v>4</v>
      </c>
    </row>
    <row r="45" spans="1:2" ht="15" customHeight="1" x14ac:dyDescent="0.3">
      <c r="A45" s="5" t="s">
        <v>540</v>
      </c>
      <c r="B45" s="8">
        <f>COUNTIFS(DEMAND_VS_CAPACITY!D26:D32,"&gt;=70%",DEMAND_VS_CAPACITY!D26:D32,"&lt;=100%")</f>
        <v>0</v>
      </c>
    </row>
    <row r="46" spans="1:2" ht="15" customHeight="1" x14ac:dyDescent="0.3">
      <c r="A46" s="5" t="s">
        <v>541</v>
      </c>
      <c r="B46" s="8">
        <f>COUNTIF(DEMAND_VS_CAPACITY!D26:D32,"&gt;100%")</f>
        <v>0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E216"/>
  <sheetViews>
    <sheetView zoomScaleNormal="100" workbookViewId="0">
      <pane ySplit="3" topLeftCell="A202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4" customWidth="1"/>
    <col min="4" max="4" width="18" customWidth="1"/>
    <col min="5" max="5" width="55" customWidth="1"/>
  </cols>
  <sheetData>
    <row r="1" spans="1:5" ht="17.25" customHeight="1" x14ac:dyDescent="0.3">
      <c r="A1" s="1" t="s">
        <v>542</v>
      </c>
    </row>
    <row r="3" spans="1:5" ht="15" customHeight="1" x14ac:dyDescent="0.3">
      <c r="A3" s="4" t="s">
        <v>543</v>
      </c>
      <c r="B3" s="4" t="s">
        <v>544</v>
      </c>
      <c r="C3" s="4" t="s">
        <v>545</v>
      </c>
      <c r="D3" s="4" t="s">
        <v>546</v>
      </c>
      <c r="E3" s="4" t="s">
        <v>547</v>
      </c>
    </row>
    <row r="4" spans="1:5" ht="15" customHeight="1" x14ac:dyDescent="0.3">
      <c r="A4" s="5">
        <v>1</v>
      </c>
      <c r="B4" s="5" t="s">
        <v>548</v>
      </c>
      <c r="C4" s="8" t="str">
        <f>ASSIGNMENTS!A2</f>
        <v>A001</v>
      </c>
      <c r="D4" s="8" t="str">
        <f>IF(ASSIGNMENTS!J2="MISMATCH","Role Mismatch",IF(ASSIGNMENTS!K2="OUT OF RANGE","Date Range Error",IF(AND(ASSIGNMENTS!I2&lt;&gt;0,ASSIGNMENTS!I2&lt;&gt;""),"Hours Gap","")))</f>
        <v/>
      </c>
      <c r="E4" s="8" t="str">
        <f>IF(D4="Role Mismatch","Resource role ≠ task required role",IF(D4="Date Range Error","Assignment week outside task dates",IF(D4="Hours Gap","Task not fully assigned ("&amp;ROUND(ASSIGNMENTS!I2,1)&amp;"h remaining)","")))</f>
        <v/>
      </c>
    </row>
    <row r="5" spans="1:5" ht="15" customHeight="1" x14ac:dyDescent="0.3">
      <c r="A5" s="5">
        <v>2</v>
      </c>
      <c r="B5" s="5" t="s">
        <v>548</v>
      </c>
      <c r="C5" s="8" t="str">
        <f>ASSIGNMENTS!A3</f>
        <v>A002</v>
      </c>
      <c r="D5" s="8" t="str">
        <f>IF(ASSIGNMENTS!J3="MISMATCH","Role Mismatch",IF(ASSIGNMENTS!K3="OUT OF RANGE","Date Range Error",IF(AND(ASSIGNMENTS!I3&lt;&gt;0,ASSIGNMENTS!I3&lt;&gt;""),"Hours Gap","")))</f>
        <v/>
      </c>
      <c r="E5" s="8" t="str">
        <f>IF(D5="Role Mismatch","Resource role ≠ task required role",IF(D5="Date Range Error","Assignment week outside task dates",IF(D5="Hours Gap","Task not fully assigned ("&amp;ROUND(ASSIGNMENTS!I3,1)&amp;"h remaining)","")))</f>
        <v/>
      </c>
    </row>
    <row r="6" spans="1:5" ht="15" customHeight="1" x14ac:dyDescent="0.3">
      <c r="A6" s="5">
        <v>3</v>
      </c>
      <c r="B6" s="5" t="s">
        <v>548</v>
      </c>
      <c r="C6" s="8" t="str">
        <f>ASSIGNMENTS!A4</f>
        <v>A003</v>
      </c>
      <c r="D6" s="8" t="str">
        <f>IF(ASSIGNMENTS!J4="MISMATCH","Role Mismatch",IF(ASSIGNMENTS!K4="OUT OF RANGE","Date Range Error",IF(AND(ASSIGNMENTS!I4&lt;&gt;0,ASSIGNMENTS!I4&lt;&gt;""),"Hours Gap","")))</f>
        <v/>
      </c>
      <c r="E6" s="8" t="str">
        <f>IF(D6="Role Mismatch","Resource role ≠ task required role",IF(D6="Date Range Error","Assignment week outside task dates",IF(D6="Hours Gap","Task not fully assigned ("&amp;ROUND(ASSIGNMENTS!I4,1)&amp;"h remaining)","")))</f>
        <v/>
      </c>
    </row>
    <row r="7" spans="1:5" ht="15" customHeight="1" x14ac:dyDescent="0.3">
      <c r="A7" s="5">
        <v>4</v>
      </c>
      <c r="B7" s="5" t="s">
        <v>548</v>
      </c>
      <c r="C7" s="8" t="str">
        <f>ASSIGNMENTS!A5</f>
        <v>A004</v>
      </c>
      <c r="D7" s="8" t="str">
        <f>IF(ASSIGNMENTS!J5="MISMATCH","Role Mismatch",IF(ASSIGNMENTS!K5="OUT OF RANGE","Date Range Error",IF(AND(ASSIGNMENTS!I5&lt;&gt;0,ASSIGNMENTS!I5&lt;&gt;""),"Hours Gap","")))</f>
        <v/>
      </c>
      <c r="E7" s="8" t="str">
        <f>IF(D7="Role Mismatch","Resource role ≠ task required role",IF(D7="Date Range Error","Assignment week outside task dates",IF(D7="Hours Gap","Task not fully assigned ("&amp;ROUND(ASSIGNMENTS!I5,1)&amp;"h remaining)","")))</f>
        <v/>
      </c>
    </row>
    <row r="8" spans="1:5" ht="15" customHeight="1" x14ac:dyDescent="0.3">
      <c r="A8" s="5">
        <v>5</v>
      </c>
      <c r="B8" s="5" t="s">
        <v>548</v>
      </c>
      <c r="C8" s="8" t="str">
        <f>ASSIGNMENTS!A6</f>
        <v>A005</v>
      </c>
      <c r="D8" s="8" t="str">
        <f>IF(ASSIGNMENTS!J6="MISMATCH","Role Mismatch",IF(ASSIGNMENTS!K6="OUT OF RANGE","Date Range Error",IF(AND(ASSIGNMENTS!I6&lt;&gt;0,ASSIGNMENTS!I6&lt;&gt;""),"Hours Gap","")))</f>
        <v/>
      </c>
      <c r="E8" s="8" t="str">
        <f>IF(D8="Role Mismatch","Resource role ≠ task required role",IF(D8="Date Range Error","Assignment week outside task dates",IF(D8="Hours Gap","Task not fully assigned ("&amp;ROUND(ASSIGNMENTS!I6,1)&amp;"h remaining)","")))</f>
        <v/>
      </c>
    </row>
    <row r="9" spans="1:5" ht="15" customHeight="1" x14ac:dyDescent="0.3">
      <c r="A9" s="5">
        <v>6</v>
      </c>
      <c r="B9" s="5" t="s">
        <v>548</v>
      </c>
      <c r="C9" s="8" t="str">
        <f>ASSIGNMENTS!A7</f>
        <v>A006</v>
      </c>
      <c r="D9" s="8" t="str">
        <f>IF(ASSIGNMENTS!J7="MISMATCH","Role Mismatch",IF(ASSIGNMENTS!K7="OUT OF RANGE","Date Range Error",IF(AND(ASSIGNMENTS!I7&lt;&gt;0,ASSIGNMENTS!I7&lt;&gt;""),"Hours Gap","")))</f>
        <v/>
      </c>
      <c r="E9" s="8" t="str">
        <f>IF(D9="Role Mismatch","Resource role ≠ task required role",IF(D9="Date Range Error","Assignment week outside task dates",IF(D9="Hours Gap","Task not fully assigned ("&amp;ROUND(ASSIGNMENTS!I7,1)&amp;"h remaining)","")))</f>
        <v/>
      </c>
    </row>
    <row r="10" spans="1:5" ht="15" customHeight="1" x14ac:dyDescent="0.3">
      <c r="A10" s="5">
        <v>7</v>
      </c>
      <c r="B10" s="5" t="s">
        <v>548</v>
      </c>
      <c r="C10" s="8" t="str">
        <f>ASSIGNMENTS!A8</f>
        <v>A007</v>
      </c>
      <c r="D10" s="8" t="str">
        <f>IF(ASSIGNMENTS!J8="MISMATCH","Role Mismatch",IF(ASSIGNMENTS!K8="OUT OF RANGE","Date Range Error",IF(AND(ASSIGNMENTS!I8&lt;&gt;0,ASSIGNMENTS!I8&lt;&gt;""),"Hours Gap","")))</f>
        <v/>
      </c>
      <c r="E10" s="8" t="str">
        <f>IF(D10="Role Mismatch","Resource role ≠ task required role",IF(D10="Date Range Error","Assignment week outside task dates",IF(D10="Hours Gap","Task not fully assigned ("&amp;ROUND(ASSIGNMENTS!I8,1)&amp;"h remaining)","")))</f>
        <v/>
      </c>
    </row>
    <row r="11" spans="1:5" ht="15" customHeight="1" x14ac:dyDescent="0.3">
      <c r="A11" s="5">
        <v>8</v>
      </c>
      <c r="B11" s="5" t="s">
        <v>548</v>
      </c>
      <c r="C11" s="8" t="str">
        <f>ASSIGNMENTS!A9</f>
        <v>A008</v>
      </c>
      <c r="D11" s="8" t="str">
        <f>IF(ASSIGNMENTS!J9="MISMATCH","Role Mismatch",IF(ASSIGNMENTS!K9="OUT OF RANGE","Date Range Error",IF(AND(ASSIGNMENTS!I9&lt;&gt;0,ASSIGNMENTS!I9&lt;&gt;""),"Hours Gap","")))</f>
        <v/>
      </c>
      <c r="E11" s="8" t="str">
        <f>IF(D11="Role Mismatch","Resource role ≠ task required role",IF(D11="Date Range Error","Assignment week outside task dates",IF(D11="Hours Gap","Task not fully assigned ("&amp;ROUND(ASSIGNMENTS!I9,1)&amp;"h remaining)","")))</f>
        <v/>
      </c>
    </row>
    <row r="12" spans="1:5" ht="15" customHeight="1" x14ac:dyDescent="0.3">
      <c r="A12" s="5">
        <v>9</v>
      </c>
      <c r="B12" s="5" t="s">
        <v>548</v>
      </c>
      <c r="C12" s="8" t="str">
        <f>ASSIGNMENTS!A10</f>
        <v>A009</v>
      </c>
      <c r="D12" s="8" t="str">
        <f>IF(ASSIGNMENTS!J10="MISMATCH","Role Mismatch",IF(ASSIGNMENTS!K10="OUT OF RANGE","Date Range Error",IF(AND(ASSIGNMENTS!I10&lt;&gt;0,ASSIGNMENTS!I10&lt;&gt;""),"Hours Gap","")))</f>
        <v/>
      </c>
      <c r="E12" s="8" t="str">
        <f>IF(D12="Role Mismatch","Resource role ≠ task required role",IF(D12="Date Range Error","Assignment week outside task dates",IF(D12="Hours Gap","Task not fully assigned ("&amp;ROUND(ASSIGNMENTS!I10,1)&amp;"h remaining)","")))</f>
        <v/>
      </c>
    </row>
    <row r="13" spans="1:5" ht="15" customHeight="1" x14ac:dyDescent="0.3">
      <c r="A13" s="5">
        <v>10</v>
      </c>
      <c r="B13" s="5" t="s">
        <v>548</v>
      </c>
      <c r="C13" s="8" t="str">
        <f>ASSIGNMENTS!A11</f>
        <v>A010</v>
      </c>
      <c r="D13" s="8" t="str">
        <f>IF(ASSIGNMENTS!J11="MISMATCH","Role Mismatch",IF(ASSIGNMENTS!K11="OUT OF RANGE","Date Range Error",IF(AND(ASSIGNMENTS!I11&lt;&gt;0,ASSIGNMENTS!I11&lt;&gt;""),"Hours Gap","")))</f>
        <v/>
      </c>
      <c r="E13" s="8" t="str">
        <f>IF(D13="Role Mismatch","Resource role ≠ task required role",IF(D13="Date Range Error","Assignment week outside task dates",IF(D13="Hours Gap","Task not fully assigned ("&amp;ROUND(ASSIGNMENTS!I11,1)&amp;"h remaining)","")))</f>
        <v/>
      </c>
    </row>
    <row r="14" spans="1:5" ht="15" customHeight="1" x14ac:dyDescent="0.3">
      <c r="A14" s="5">
        <v>11</v>
      </c>
      <c r="B14" s="5" t="s">
        <v>548</v>
      </c>
      <c r="C14" s="8" t="str">
        <f>ASSIGNMENTS!A12</f>
        <v>A011</v>
      </c>
      <c r="D14" s="8" t="str">
        <f>IF(ASSIGNMENTS!J12="MISMATCH","Role Mismatch",IF(ASSIGNMENTS!K12="OUT OF RANGE","Date Range Error",IF(AND(ASSIGNMENTS!I12&lt;&gt;0,ASSIGNMENTS!I12&lt;&gt;""),"Hours Gap","")))</f>
        <v/>
      </c>
      <c r="E14" s="8" t="str">
        <f>IF(D14="Role Mismatch","Resource role ≠ task required role",IF(D14="Date Range Error","Assignment week outside task dates",IF(D14="Hours Gap","Task not fully assigned ("&amp;ROUND(ASSIGNMENTS!I12,1)&amp;"h remaining)","")))</f>
        <v/>
      </c>
    </row>
    <row r="15" spans="1:5" ht="15" customHeight="1" x14ac:dyDescent="0.3">
      <c r="A15" s="5">
        <v>12</v>
      </c>
      <c r="B15" s="5" t="s">
        <v>548</v>
      </c>
      <c r="C15" s="8" t="str">
        <f>ASSIGNMENTS!A13</f>
        <v>A012</v>
      </c>
      <c r="D15" s="8" t="str">
        <f>IF(ASSIGNMENTS!J13="MISMATCH","Role Mismatch",IF(ASSIGNMENTS!K13="OUT OF RANGE","Date Range Error",IF(AND(ASSIGNMENTS!I13&lt;&gt;0,ASSIGNMENTS!I13&lt;&gt;""),"Hours Gap","")))</f>
        <v/>
      </c>
      <c r="E15" s="8" t="str">
        <f>IF(D15="Role Mismatch","Resource role ≠ task required role",IF(D15="Date Range Error","Assignment week outside task dates",IF(D15="Hours Gap","Task not fully assigned ("&amp;ROUND(ASSIGNMENTS!I13,1)&amp;"h remaining)","")))</f>
        <v/>
      </c>
    </row>
    <row r="16" spans="1:5" ht="15" customHeight="1" x14ac:dyDescent="0.3">
      <c r="A16" s="5">
        <v>13</v>
      </c>
      <c r="B16" s="5" t="s">
        <v>548</v>
      </c>
      <c r="C16" s="8" t="str">
        <f>ASSIGNMENTS!A14</f>
        <v>A013</v>
      </c>
      <c r="D16" s="8" t="str">
        <f>IF(ASSIGNMENTS!J14="MISMATCH","Role Mismatch",IF(ASSIGNMENTS!K14="OUT OF RANGE","Date Range Error",IF(AND(ASSIGNMENTS!I14&lt;&gt;0,ASSIGNMENTS!I14&lt;&gt;""),"Hours Gap","")))</f>
        <v/>
      </c>
      <c r="E16" s="8" t="str">
        <f>IF(D16="Role Mismatch","Resource role ≠ task required role",IF(D16="Date Range Error","Assignment week outside task dates",IF(D16="Hours Gap","Task not fully assigned ("&amp;ROUND(ASSIGNMENTS!I14,1)&amp;"h remaining)","")))</f>
        <v/>
      </c>
    </row>
    <row r="17" spans="1:5" ht="15" customHeight="1" x14ac:dyDescent="0.3">
      <c r="A17" s="5">
        <v>14</v>
      </c>
      <c r="B17" s="5" t="s">
        <v>548</v>
      </c>
      <c r="C17" s="8" t="str">
        <f>ASSIGNMENTS!A15</f>
        <v>A014</v>
      </c>
      <c r="D17" s="8" t="str">
        <f>IF(ASSIGNMENTS!J15="MISMATCH","Role Mismatch",IF(ASSIGNMENTS!K15="OUT OF RANGE","Date Range Error",IF(AND(ASSIGNMENTS!I15&lt;&gt;0,ASSIGNMENTS!I15&lt;&gt;""),"Hours Gap","")))</f>
        <v/>
      </c>
      <c r="E17" s="8" t="str">
        <f>IF(D17="Role Mismatch","Resource role ≠ task required role",IF(D17="Date Range Error","Assignment week outside task dates",IF(D17="Hours Gap","Task not fully assigned ("&amp;ROUND(ASSIGNMENTS!I15,1)&amp;"h remaining)","")))</f>
        <v/>
      </c>
    </row>
    <row r="18" spans="1:5" ht="15" customHeight="1" x14ac:dyDescent="0.3">
      <c r="A18" s="5">
        <v>15</v>
      </c>
      <c r="B18" s="5" t="s">
        <v>548</v>
      </c>
      <c r="C18" s="8" t="str">
        <f>ASSIGNMENTS!A16</f>
        <v>A015</v>
      </c>
      <c r="D18" s="8" t="str">
        <f>IF(ASSIGNMENTS!J16="MISMATCH","Role Mismatch",IF(ASSIGNMENTS!K16="OUT OF RANGE","Date Range Error",IF(AND(ASSIGNMENTS!I16&lt;&gt;0,ASSIGNMENTS!I16&lt;&gt;""),"Hours Gap","")))</f>
        <v/>
      </c>
      <c r="E18" s="8" t="str">
        <f>IF(D18="Role Mismatch","Resource role ≠ task required role",IF(D18="Date Range Error","Assignment week outside task dates",IF(D18="Hours Gap","Task not fully assigned ("&amp;ROUND(ASSIGNMENTS!I16,1)&amp;"h remaining)","")))</f>
        <v/>
      </c>
    </row>
    <row r="19" spans="1:5" ht="15" customHeight="1" x14ac:dyDescent="0.3">
      <c r="A19" s="5">
        <v>16</v>
      </c>
      <c r="B19" s="5" t="s">
        <v>548</v>
      </c>
      <c r="C19" s="8" t="str">
        <f>ASSIGNMENTS!A17</f>
        <v>A016</v>
      </c>
      <c r="D19" s="8" t="str">
        <f>IF(ASSIGNMENTS!J17="MISMATCH","Role Mismatch",IF(ASSIGNMENTS!K17="OUT OF RANGE","Date Range Error",IF(AND(ASSIGNMENTS!I17&lt;&gt;0,ASSIGNMENTS!I17&lt;&gt;""),"Hours Gap","")))</f>
        <v/>
      </c>
      <c r="E19" s="8" t="str">
        <f>IF(D19="Role Mismatch","Resource role ≠ task required role",IF(D19="Date Range Error","Assignment week outside task dates",IF(D19="Hours Gap","Task not fully assigned ("&amp;ROUND(ASSIGNMENTS!I17,1)&amp;"h remaining)","")))</f>
        <v/>
      </c>
    </row>
    <row r="20" spans="1:5" ht="15" customHeight="1" x14ac:dyDescent="0.3">
      <c r="A20" s="5">
        <v>17</v>
      </c>
      <c r="B20" s="5" t="s">
        <v>548</v>
      </c>
      <c r="C20" s="8" t="str">
        <f>ASSIGNMENTS!A18</f>
        <v>A017</v>
      </c>
      <c r="D20" s="8" t="str">
        <f>IF(ASSIGNMENTS!J18="MISMATCH","Role Mismatch",IF(ASSIGNMENTS!K18="OUT OF RANGE","Date Range Error",IF(AND(ASSIGNMENTS!I18&lt;&gt;0,ASSIGNMENTS!I18&lt;&gt;""),"Hours Gap","")))</f>
        <v/>
      </c>
      <c r="E20" s="8" t="str">
        <f>IF(D20="Role Mismatch","Resource role ≠ task required role",IF(D20="Date Range Error","Assignment week outside task dates",IF(D20="Hours Gap","Task not fully assigned ("&amp;ROUND(ASSIGNMENTS!I18,1)&amp;"h remaining)","")))</f>
        <v/>
      </c>
    </row>
    <row r="21" spans="1:5" ht="15" customHeight="1" x14ac:dyDescent="0.3">
      <c r="A21" s="5">
        <v>18</v>
      </c>
      <c r="B21" s="5" t="s">
        <v>548</v>
      </c>
      <c r="C21" s="8" t="str">
        <f>ASSIGNMENTS!A19</f>
        <v>A018</v>
      </c>
      <c r="D21" s="8" t="str">
        <f>IF(ASSIGNMENTS!J19="MISMATCH","Role Mismatch",IF(ASSIGNMENTS!K19="OUT OF RANGE","Date Range Error",IF(AND(ASSIGNMENTS!I19&lt;&gt;0,ASSIGNMENTS!I19&lt;&gt;""),"Hours Gap","")))</f>
        <v/>
      </c>
      <c r="E21" s="8" t="str">
        <f>IF(D21="Role Mismatch","Resource role ≠ task required role",IF(D21="Date Range Error","Assignment week outside task dates",IF(D21="Hours Gap","Task not fully assigned ("&amp;ROUND(ASSIGNMENTS!I19,1)&amp;"h remaining)","")))</f>
        <v/>
      </c>
    </row>
    <row r="22" spans="1:5" ht="15" customHeight="1" x14ac:dyDescent="0.3">
      <c r="A22" s="5">
        <v>19</v>
      </c>
      <c r="B22" s="5" t="s">
        <v>548</v>
      </c>
      <c r="C22" s="8" t="str">
        <f>ASSIGNMENTS!A20</f>
        <v>A019</v>
      </c>
      <c r="D22" s="8" t="str">
        <f>IF(ASSIGNMENTS!J20="MISMATCH","Role Mismatch",IF(ASSIGNMENTS!K20="OUT OF RANGE","Date Range Error",IF(AND(ASSIGNMENTS!I20&lt;&gt;0,ASSIGNMENTS!I20&lt;&gt;""),"Hours Gap","")))</f>
        <v/>
      </c>
      <c r="E22" s="8" t="str">
        <f>IF(D22="Role Mismatch","Resource role ≠ task required role",IF(D22="Date Range Error","Assignment week outside task dates",IF(D22="Hours Gap","Task not fully assigned ("&amp;ROUND(ASSIGNMENTS!I20,1)&amp;"h remaining)","")))</f>
        <v/>
      </c>
    </row>
    <row r="23" spans="1:5" ht="15" customHeight="1" x14ac:dyDescent="0.3">
      <c r="A23" s="5">
        <v>20</v>
      </c>
      <c r="B23" s="5" t="s">
        <v>548</v>
      </c>
      <c r="C23" s="8" t="str">
        <f>ASSIGNMENTS!A21</f>
        <v>A020</v>
      </c>
      <c r="D23" s="8" t="str">
        <f>IF(ASSIGNMENTS!J21="MISMATCH","Role Mismatch",IF(ASSIGNMENTS!K21="OUT OF RANGE","Date Range Error",IF(AND(ASSIGNMENTS!I21&lt;&gt;0,ASSIGNMENTS!I21&lt;&gt;""),"Hours Gap","")))</f>
        <v/>
      </c>
      <c r="E23" s="8" t="str">
        <f>IF(D23="Role Mismatch","Resource role ≠ task required role",IF(D23="Date Range Error","Assignment week outside task dates",IF(D23="Hours Gap","Task not fully assigned ("&amp;ROUND(ASSIGNMENTS!I21,1)&amp;"h remaining)","")))</f>
        <v/>
      </c>
    </row>
    <row r="24" spans="1:5" ht="15" customHeight="1" x14ac:dyDescent="0.3">
      <c r="A24" s="5">
        <v>21</v>
      </c>
      <c r="B24" s="5" t="s">
        <v>548</v>
      </c>
      <c r="C24" s="8" t="str">
        <f>ASSIGNMENTS!A22</f>
        <v>A021</v>
      </c>
      <c r="D24" s="8" t="str">
        <f>IF(ASSIGNMENTS!J22="MISMATCH","Role Mismatch",IF(ASSIGNMENTS!K22="OUT OF RANGE","Date Range Error",IF(AND(ASSIGNMENTS!I22&lt;&gt;0,ASSIGNMENTS!I22&lt;&gt;""),"Hours Gap","")))</f>
        <v/>
      </c>
      <c r="E24" s="8" t="str">
        <f>IF(D24="Role Mismatch","Resource role ≠ task required role",IF(D24="Date Range Error","Assignment week outside task dates",IF(D24="Hours Gap","Task not fully assigned ("&amp;ROUND(ASSIGNMENTS!I22,1)&amp;"h remaining)","")))</f>
        <v/>
      </c>
    </row>
    <row r="25" spans="1:5" ht="15" customHeight="1" x14ac:dyDescent="0.3">
      <c r="A25" s="5">
        <v>22</v>
      </c>
      <c r="B25" s="5" t="s">
        <v>548</v>
      </c>
      <c r="C25" s="8" t="str">
        <f>ASSIGNMENTS!A23</f>
        <v>A022</v>
      </c>
      <c r="D25" s="8" t="str">
        <f>IF(ASSIGNMENTS!J23="MISMATCH","Role Mismatch",IF(ASSIGNMENTS!K23="OUT OF RANGE","Date Range Error",IF(AND(ASSIGNMENTS!I23&lt;&gt;0,ASSIGNMENTS!I23&lt;&gt;""),"Hours Gap","")))</f>
        <v/>
      </c>
      <c r="E25" s="8" t="str">
        <f>IF(D25="Role Mismatch","Resource role ≠ task required role",IF(D25="Date Range Error","Assignment week outside task dates",IF(D25="Hours Gap","Task not fully assigned ("&amp;ROUND(ASSIGNMENTS!I23,1)&amp;"h remaining)","")))</f>
        <v/>
      </c>
    </row>
    <row r="26" spans="1:5" ht="15" customHeight="1" x14ac:dyDescent="0.3">
      <c r="A26" s="5">
        <v>23</v>
      </c>
      <c r="B26" s="5" t="s">
        <v>548</v>
      </c>
      <c r="C26" s="8" t="str">
        <f>ASSIGNMENTS!A24</f>
        <v>A023</v>
      </c>
      <c r="D26" s="8" t="str">
        <f>IF(ASSIGNMENTS!J24="MISMATCH","Role Mismatch",IF(ASSIGNMENTS!K24="OUT OF RANGE","Date Range Error",IF(AND(ASSIGNMENTS!I24&lt;&gt;0,ASSIGNMENTS!I24&lt;&gt;""),"Hours Gap","")))</f>
        <v/>
      </c>
      <c r="E26" s="8" t="str">
        <f>IF(D26="Role Mismatch","Resource role ≠ task required role",IF(D26="Date Range Error","Assignment week outside task dates",IF(D26="Hours Gap","Task not fully assigned ("&amp;ROUND(ASSIGNMENTS!I24,1)&amp;"h remaining)","")))</f>
        <v/>
      </c>
    </row>
    <row r="27" spans="1:5" ht="15" customHeight="1" x14ac:dyDescent="0.3">
      <c r="A27" s="5">
        <v>24</v>
      </c>
      <c r="B27" s="5" t="s">
        <v>548</v>
      </c>
      <c r="C27" s="8" t="str">
        <f>ASSIGNMENTS!A25</f>
        <v>A024</v>
      </c>
      <c r="D27" s="8" t="str">
        <f>IF(ASSIGNMENTS!J25="MISMATCH","Role Mismatch",IF(ASSIGNMENTS!K25="OUT OF RANGE","Date Range Error",IF(AND(ASSIGNMENTS!I25&lt;&gt;0,ASSIGNMENTS!I25&lt;&gt;""),"Hours Gap","")))</f>
        <v/>
      </c>
      <c r="E27" s="8" t="str">
        <f>IF(D27="Role Mismatch","Resource role ≠ task required role",IF(D27="Date Range Error","Assignment week outside task dates",IF(D27="Hours Gap","Task not fully assigned ("&amp;ROUND(ASSIGNMENTS!I25,1)&amp;"h remaining)","")))</f>
        <v/>
      </c>
    </row>
    <row r="28" spans="1:5" ht="15" customHeight="1" x14ac:dyDescent="0.3">
      <c r="A28" s="5">
        <v>25</v>
      </c>
      <c r="B28" s="5" t="s">
        <v>548</v>
      </c>
      <c r="C28" s="8" t="str">
        <f>ASSIGNMENTS!A26</f>
        <v>A025</v>
      </c>
      <c r="D28" s="8" t="str">
        <f>IF(ASSIGNMENTS!J26="MISMATCH","Role Mismatch",IF(ASSIGNMENTS!K26="OUT OF RANGE","Date Range Error",IF(AND(ASSIGNMENTS!I26&lt;&gt;0,ASSIGNMENTS!I26&lt;&gt;""),"Hours Gap","")))</f>
        <v>Hours Gap</v>
      </c>
      <c r="E28" s="8" t="str">
        <f>IF(D28="Role Mismatch","Resource role ≠ task required role",IF(D28="Date Range Error","Assignment week outside task dates",IF(D28="Hours Gap","Task not fully assigned ("&amp;ROUND(ASSIGNMENTS!I26,1)&amp;"h remaining)","")))</f>
        <v>Task not fully assigned (0h remaining)</v>
      </c>
    </row>
    <row r="29" spans="1:5" ht="15" customHeight="1" x14ac:dyDescent="0.3">
      <c r="A29" s="5">
        <v>26</v>
      </c>
      <c r="B29" s="5" t="s">
        <v>548</v>
      </c>
      <c r="C29" s="8" t="str">
        <f>ASSIGNMENTS!A27</f>
        <v>A026</v>
      </c>
      <c r="D29" s="8" t="str">
        <f>IF(ASSIGNMENTS!J27="MISMATCH","Role Mismatch",IF(ASSIGNMENTS!K27="OUT OF RANGE","Date Range Error",IF(AND(ASSIGNMENTS!I27&lt;&gt;0,ASSIGNMENTS!I27&lt;&gt;""),"Hours Gap","")))</f>
        <v>Hours Gap</v>
      </c>
      <c r="E29" s="8" t="str">
        <f>IF(D29="Role Mismatch","Resource role ≠ task required role",IF(D29="Date Range Error","Assignment week outside task dates",IF(D29="Hours Gap","Task not fully assigned ("&amp;ROUND(ASSIGNMENTS!I27,1)&amp;"h remaining)","")))</f>
        <v>Task not fully assigned (0h remaining)</v>
      </c>
    </row>
    <row r="30" spans="1:5" ht="15" customHeight="1" x14ac:dyDescent="0.3">
      <c r="A30" s="5">
        <v>27</v>
      </c>
      <c r="B30" s="5" t="s">
        <v>548</v>
      </c>
      <c r="C30" s="8" t="str">
        <f>ASSIGNMENTS!A28</f>
        <v>A027</v>
      </c>
      <c r="D30" s="8" t="str">
        <f>IF(ASSIGNMENTS!J28="MISMATCH","Role Mismatch",IF(ASSIGNMENTS!K28="OUT OF RANGE","Date Range Error",IF(AND(ASSIGNMENTS!I28&lt;&gt;0,ASSIGNMENTS!I28&lt;&gt;""),"Hours Gap","")))</f>
        <v>Hours Gap</v>
      </c>
      <c r="E30" s="8" t="str">
        <f>IF(D30="Role Mismatch","Resource role ≠ task required role",IF(D30="Date Range Error","Assignment week outside task dates",IF(D30="Hours Gap","Task not fully assigned ("&amp;ROUND(ASSIGNMENTS!I28,1)&amp;"h remaining)","")))</f>
        <v>Task not fully assigned (0h remaining)</v>
      </c>
    </row>
    <row r="31" spans="1:5" ht="15" customHeight="1" x14ac:dyDescent="0.3">
      <c r="A31" s="5">
        <v>28</v>
      </c>
      <c r="B31" s="5" t="s">
        <v>548</v>
      </c>
      <c r="C31" s="8" t="str">
        <f>ASSIGNMENTS!A29</f>
        <v>A028</v>
      </c>
      <c r="D31" s="8" t="str">
        <f>IF(ASSIGNMENTS!J29="MISMATCH","Role Mismatch",IF(ASSIGNMENTS!K29="OUT OF RANGE","Date Range Error",IF(AND(ASSIGNMENTS!I29&lt;&gt;0,ASSIGNMENTS!I29&lt;&gt;""),"Hours Gap","")))</f>
        <v>Hours Gap</v>
      </c>
      <c r="E31" s="8" t="str">
        <f>IF(D31="Role Mismatch","Resource role ≠ task required role",IF(D31="Date Range Error","Assignment week outside task dates",IF(D31="Hours Gap","Task not fully assigned ("&amp;ROUND(ASSIGNMENTS!I29,1)&amp;"h remaining)","")))</f>
        <v>Task not fully assigned (0h remaining)</v>
      </c>
    </row>
    <row r="32" spans="1:5" ht="15" customHeight="1" x14ac:dyDescent="0.3">
      <c r="A32" s="5">
        <v>29</v>
      </c>
      <c r="B32" s="5" t="s">
        <v>548</v>
      </c>
      <c r="C32" s="8" t="str">
        <f>ASSIGNMENTS!A30</f>
        <v>A029</v>
      </c>
      <c r="D32" s="8" t="str">
        <f>IF(ASSIGNMENTS!J30="MISMATCH","Role Mismatch",IF(ASSIGNMENTS!K30="OUT OF RANGE","Date Range Error",IF(AND(ASSIGNMENTS!I30&lt;&gt;0,ASSIGNMENTS!I30&lt;&gt;""),"Hours Gap","")))</f>
        <v/>
      </c>
      <c r="E32" s="8" t="str">
        <f>IF(D32="Role Mismatch","Resource role ≠ task required role",IF(D32="Date Range Error","Assignment week outside task dates",IF(D32="Hours Gap","Task not fully assigned ("&amp;ROUND(ASSIGNMENTS!I30,1)&amp;"h remaining)","")))</f>
        <v/>
      </c>
    </row>
    <row r="33" spans="1:5" ht="15" customHeight="1" x14ac:dyDescent="0.3">
      <c r="A33" s="5">
        <v>30</v>
      </c>
      <c r="B33" s="5" t="s">
        <v>548</v>
      </c>
      <c r="C33" s="8" t="str">
        <f>ASSIGNMENTS!A31</f>
        <v>A030</v>
      </c>
      <c r="D33" s="8" t="str">
        <f>IF(ASSIGNMENTS!J31="MISMATCH","Role Mismatch",IF(ASSIGNMENTS!K31="OUT OF RANGE","Date Range Error",IF(AND(ASSIGNMENTS!I31&lt;&gt;0,ASSIGNMENTS!I31&lt;&gt;""),"Hours Gap","")))</f>
        <v/>
      </c>
      <c r="E33" s="8" t="str">
        <f>IF(D33="Role Mismatch","Resource role ≠ task required role",IF(D33="Date Range Error","Assignment week outside task dates",IF(D33="Hours Gap","Task not fully assigned ("&amp;ROUND(ASSIGNMENTS!I31,1)&amp;"h remaining)","")))</f>
        <v/>
      </c>
    </row>
    <row r="34" spans="1:5" ht="15" customHeight="1" x14ac:dyDescent="0.3">
      <c r="A34" s="5">
        <v>31</v>
      </c>
      <c r="B34" s="5" t="s">
        <v>548</v>
      </c>
      <c r="C34" s="8" t="str">
        <f>ASSIGNMENTS!A32</f>
        <v>A031</v>
      </c>
      <c r="D34" s="8" t="str">
        <f>IF(ASSIGNMENTS!J32="MISMATCH","Role Mismatch",IF(ASSIGNMENTS!K32="OUT OF RANGE","Date Range Error",IF(AND(ASSIGNMENTS!I32&lt;&gt;0,ASSIGNMENTS!I32&lt;&gt;""),"Hours Gap","")))</f>
        <v/>
      </c>
      <c r="E34" s="8" t="str">
        <f>IF(D34="Role Mismatch","Resource role ≠ task required role",IF(D34="Date Range Error","Assignment week outside task dates",IF(D34="Hours Gap","Task not fully assigned ("&amp;ROUND(ASSIGNMENTS!I32,1)&amp;"h remaining)","")))</f>
        <v/>
      </c>
    </row>
    <row r="35" spans="1:5" ht="15" customHeight="1" x14ac:dyDescent="0.3">
      <c r="A35" s="5">
        <v>32</v>
      </c>
      <c r="B35" s="5" t="s">
        <v>548</v>
      </c>
      <c r="C35" s="8" t="str">
        <f>ASSIGNMENTS!A33</f>
        <v>A032</v>
      </c>
      <c r="D35" s="8" t="str">
        <f>IF(ASSIGNMENTS!J33="MISMATCH","Role Mismatch",IF(ASSIGNMENTS!K33="OUT OF RANGE","Date Range Error",IF(AND(ASSIGNMENTS!I33&lt;&gt;0,ASSIGNMENTS!I33&lt;&gt;""),"Hours Gap","")))</f>
        <v/>
      </c>
      <c r="E35" s="8" t="str">
        <f>IF(D35="Role Mismatch","Resource role ≠ task required role",IF(D35="Date Range Error","Assignment week outside task dates",IF(D35="Hours Gap","Task not fully assigned ("&amp;ROUND(ASSIGNMENTS!I33,1)&amp;"h remaining)","")))</f>
        <v/>
      </c>
    </row>
    <row r="36" spans="1:5" ht="15" customHeight="1" x14ac:dyDescent="0.3">
      <c r="A36" s="5">
        <v>33</v>
      </c>
      <c r="B36" s="5" t="s">
        <v>548</v>
      </c>
      <c r="C36" s="8" t="str">
        <f>ASSIGNMENTS!A34</f>
        <v>A033</v>
      </c>
      <c r="D36" s="8" t="str">
        <f>IF(ASSIGNMENTS!J34="MISMATCH","Role Mismatch",IF(ASSIGNMENTS!K34="OUT OF RANGE","Date Range Error",IF(AND(ASSIGNMENTS!I34&lt;&gt;0,ASSIGNMENTS!I34&lt;&gt;""),"Hours Gap","")))</f>
        <v/>
      </c>
      <c r="E36" s="8" t="str">
        <f>IF(D36="Role Mismatch","Resource role ≠ task required role",IF(D36="Date Range Error","Assignment week outside task dates",IF(D36="Hours Gap","Task not fully assigned ("&amp;ROUND(ASSIGNMENTS!I34,1)&amp;"h remaining)","")))</f>
        <v/>
      </c>
    </row>
    <row r="37" spans="1:5" ht="15" customHeight="1" x14ac:dyDescent="0.3">
      <c r="A37" s="5">
        <v>34</v>
      </c>
      <c r="B37" s="5" t="s">
        <v>548</v>
      </c>
      <c r="C37" s="8" t="str">
        <f>ASSIGNMENTS!A35</f>
        <v>A034</v>
      </c>
      <c r="D37" s="8" t="str">
        <f>IF(ASSIGNMENTS!J35="MISMATCH","Role Mismatch",IF(ASSIGNMENTS!K35="OUT OF RANGE","Date Range Error",IF(AND(ASSIGNMENTS!I35&lt;&gt;0,ASSIGNMENTS!I35&lt;&gt;""),"Hours Gap","")))</f>
        <v/>
      </c>
      <c r="E37" s="8" t="str">
        <f>IF(D37="Role Mismatch","Resource role ≠ task required role",IF(D37="Date Range Error","Assignment week outside task dates",IF(D37="Hours Gap","Task not fully assigned ("&amp;ROUND(ASSIGNMENTS!I35,1)&amp;"h remaining)","")))</f>
        <v/>
      </c>
    </row>
    <row r="38" spans="1:5" ht="15" customHeight="1" x14ac:dyDescent="0.3">
      <c r="A38" s="5">
        <v>35</v>
      </c>
      <c r="B38" s="5" t="s">
        <v>548</v>
      </c>
      <c r="C38" s="8" t="str">
        <f>ASSIGNMENTS!A36</f>
        <v>A035</v>
      </c>
      <c r="D38" s="8" t="str">
        <f>IF(ASSIGNMENTS!J36="MISMATCH","Role Mismatch",IF(ASSIGNMENTS!K36="OUT OF RANGE","Date Range Error",IF(AND(ASSIGNMENTS!I36&lt;&gt;0,ASSIGNMENTS!I36&lt;&gt;""),"Hours Gap","")))</f>
        <v/>
      </c>
      <c r="E38" s="8" t="str">
        <f>IF(D38="Role Mismatch","Resource role ≠ task required role",IF(D38="Date Range Error","Assignment week outside task dates",IF(D38="Hours Gap","Task not fully assigned ("&amp;ROUND(ASSIGNMENTS!I36,1)&amp;"h remaining)","")))</f>
        <v/>
      </c>
    </row>
    <row r="39" spans="1:5" ht="15" customHeight="1" x14ac:dyDescent="0.3">
      <c r="A39" s="5">
        <v>36</v>
      </c>
      <c r="B39" s="5" t="s">
        <v>548</v>
      </c>
      <c r="C39" s="8" t="str">
        <f>ASSIGNMENTS!A37</f>
        <v>A036</v>
      </c>
      <c r="D39" s="8" t="str">
        <f>IF(ASSIGNMENTS!J37="MISMATCH","Role Mismatch",IF(ASSIGNMENTS!K37="OUT OF RANGE","Date Range Error",IF(AND(ASSIGNMENTS!I37&lt;&gt;0,ASSIGNMENTS!I37&lt;&gt;""),"Hours Gap","")))</f>
        <v/>
      </c>
      <c r="E39" s="8" t="str">
        <f>IF(D39="Role Mismatch","Resource role ≠ task required role",IF(D39="Date Range Error","Assignment week outside task dates",IF(D39="Hours Gap","Task not fully assigned ("&amp;ROUND(ASSIGNMENTS!I37,1)&amp;"h remaining)","")))</f>
        <v/>
      </c>
    </row>
    <row r="40" spans="1:5" ht="15" customHeight="1" x14ac:dyDescent="0.3">
      <c r="A40" s="5">
        <v>37</v>
      </c>
      <c r="B40" s="5" t="s">
        <v>548</v>
      </c>
      <c r="C40" s="8" t="str">
        <f>ASSIGNMENTS!A38</f>
        <v>A037</v>
      </c>
      <c r="D40" s="8" t="str">
        <f>IF(ASSIGNMENTS!J38="MISMATCH","Role Mismatch",IF(ASSIGNMENTS!K38="OUT OF RANGE","Date Range Error",IF(AND(ASSIGNMENTS!I38&lt;&gt;0,ASSIGNMENTS!I38&lt;&gt;""),"Hours Gap","")))</f>
        <v/>
      </c>
      <c r="E40" s="8" t="str">
        <f>IF(D40="Role Mismatch","Resource role ≠ task required role",IF(D40="Date Range Error","Assignment week outside task dates",IF(D40="Hours Gap","Task not fully assigned ("&amp;ROUND(ASSIGNMENTS!I38,1)&amp;"h remaining)","")))</f>
        <v/>
      </c>
    </row>
    <row r="41" spans="1:5" ht="15" customHeight="1" x14ac:dyDescent="0.3">
      <c r="A41" s="5">
        <v>38</v>
      </c>
      <c r="B41" s="5" t="s">
        <v>548</v>
      </c>
      <c r="C41" s="8" t="str">
        <f>ASSIGNMENTS!A39</f>
        <v>A038</v>
      </c>
      <c r="D41" s="8" t="str">
        <f>IF(ASSIGNMENTS!J39="MISMATCH","Role Mismatch",IF(ASSIGNMENTS!K39="OUT OF RANGE","Date Range Error",IF(AND(ASSIGNMENTS!I39&lt;&gt;0,ASSIGNMENTS!I39&lt;&gt;""),"Hours Gap","")))</f>
        <v/>
      </c>
      <c r="E41" s="8" t="str">
        <f>IF(D41="Role Mismatch","Resource role ≠ task required role",IF(D41="Date Range Error","Assignment week outside task dates",IF(D41="Hours Gap","Task not fully assigned ("&amp;ROUND(ASSIGNMENTS!I39,1)&amp;"h remaining)","")))</f>
        <v/>
      </c>
    </row>
    <row r="42" spans="1:5" ht="15" customHeight="1" x14ac:dyDescent="0.3">
      <c r="A42" s="5">
        <v>39</v>
      </c>
      <c r="B42" s="5" t="s">
        <v>548</v>
      </c>
      <c r="C42" s="8" t="str">
        <f>ASSIGNMENTS!A40</f>
        <v>A039</v>
      </c>
      <c r="D42" s="8" t="str">
        <f>IF(ASSIGNMENTS!J40="MISMATCH","Role Mismatch",IF(ASSIGNMENTS!K40="OUT OF RANGE","Date Range Error",IF(AND(ASSIGNMENTS!I40&lt;&gt;0,ASSIGNMENTS!I40&lt;&gt;""),"Hours Gap","")))</f>
        <v/>
      </c>
      <c r="E42" s="8" t="str">
        <f>IF(D42="Role Mismatch","Resource role ≠ task required role",IF(D42="Date Range Error","Assignment week outside task dates",IF(D42="Hours Gap","Task not fully assigned ("&amp;ROUND(ASSIGNMENTS!I40,1)&amp;"h remaining)","")))</f>
        <v/>
      </c>
    </row>
    <row r="43" spans="1:5" ht="15" customHeight="1" x14ac:dyDescent="0.3">
      <c r="A43" s="5">
        <v>40</v>
      </c>
      <c r="B43" s="5" t="s">
        <v>548</v>
      </c>
      <c r="C43" s="8" t="str">
        <f>ASSIGNMENTS!A41</f>
        <v>A040</v>
      </c>
      <c r="D43" s="8" t="str">
        <f>IF(ASSIGNMENTS!J41="MISMATCH","Role Mismatch",IF(ASSIGNMENTS!K41="OUT OF RANGE","Date Range Error",IF(AND(ASSIGNMENTS!I41&lt;&gt;0,ASSIGNMENTS!I41&lt;&gt;""),"Hours Gap","")))</f>
        <v/>
      </c>
      <c r="E43" s="8" t="str">
        <f>IF(D43="Role Mismatch","Resource role ≠ task required role",IF(D43="Date Range Error","Assignment week outside task dates",IF(D43="Hours Gap","Task not fully assigned ("&amp;ROUND(ASSIGNMENTS!I41,1)&amp;"h remaining)","")))</f>
        <v/>
      </c>
    </row>
    <row r="44" spans="1:5" ht="15" customHeight="1" x14ac:dyDescent="0.3">
      <c r="A44" s="5">
        <v>41</v>
      </c>
      <c r="B44" s="5" t="s">
        <v>548</v>
      </c>
      <c r="C44" s="8" t="str">
        <f>ASSIGNMENTS!A42</f>
        <v>A041</v>
      </c>
      <c r="D44" s="8" t="str">
        <f>IF(ASSIGNMENTS!J42="MISMATCH","Role Mismatch",IF(ASSIGNMENTS!K42="OUT OF RANGE","Date Range Error",IF(AND(ASSIGNMENTS!I42&lt;&gt;0,ASSIGNMENTS!I42&lt;&gt;""),"Hours Gap","")))</f>
        <v/>
      </c>
      <c r="E44" s="8" t="str">
        <f>IF(D44="Role Mismatch","Resource role ≠ task required role",IF(D44="Date Range Error","Assignment week outside task dates",IF(D44="Hours Gap","Task not fully assigned ("&amp;ROUND(ASSIGNMENTS!I42,1)&amp;"h remaining)","")))</f>
        <v/>
      </c>
    </row>
    <row r="45" spans="1:5" ht="15" customHeight="1" x14ac:dyDescent="0.3">
      <c r="A45" s="5">
        <v>42</v>
      </c>
      <c r="B45" s="5" t="s">
        <v>548</v>
      </c>
      <c r="C45" s="8" t="str">
        <f>ASSIGNMENTS!A43</f>
        <v>A042</v>
      </c>
      <c r="D45" s="8" t="str">
        <f>IF(ASSIGNMENTS!J43="MISMATCH","Role Mismatch",IF(ASSIGNMENTS!K43="OUT OF RANGE","Date Range Error",IF(AND(ASSIGNMENTS!I43&lt;&gt;0,ASSIGNMENTS!I43&lt;&gt;""),"Hours Gap","")))</f>
        <v/>
      </c>
      <c r="E45" s="8" t="str">
        <f>IF(D45="Role Mismatch","Resource role ≠ task required role",IF(D45="Date Range Error","Assignment week outside task dates",IF(D45="Hours Gap","Task not fully assigned ("&amp;ROUND(ASSIGNMENTS!I43,1)&amp;"h remaining)","")))</f>
        <v/>
      </c>
    </row>
    <row r="46" spans="1:5" ht="15" customHeight="1" x14ac:dyDescent="0.3">
      <c r="A46" s="5">
        <v>43</v>
      </c>
      <c r="B46" s="5" t="s">
        <v>548</v>
      </c>
      <c r="C46" s="8" t="str">
        <f>ASSIGNMENTS!A44</f>
        <v>A043</v>
      </c>
      <c r="D46" s="8" t="str">
        <f>IF(ASSIGNMENTS!J44="MISMATCH","Role Mismatch",IF(ASSIGNMENTS!K44="OUT OF RANGE","Date Range Error",IF(AND(ASSIGNMENTS!I44&lt;&gt;0,ASSIGNMENTS!I44&lt;&gt;""),"Hours Gap","")))</f>
        <v/>
      </c>
      <c r="E46" s="8" t="str">
        <f>IF(D46="Role Mismatch","Resource role ≠ task required role",IF(D46="Date Range Error","Assignment week outside task dates",IF(D46="Hours Gap","Task not fully assigned ("&amp;ROUND(ASSIGNMENTS!I44,1)&amp;"h remaining)","")))</f>
        <v/>
      </c>
    </row>
    <row r="47" spans="1:5" ht="15" customHeight="1" x14ac:dyDescent="0.3">
      <c r="A47" s="5">
        <v>44</v>
      </c>
      <c r="B47" s="5" t="s">
        <v>548</v>
      </c>
      <c r="C47" s="8" t="str">
        <f>ASSIGNMENTS!A45</f>
        <v>A044</v>
      </c>
      <c r="D47" s="8" t="str">
        <f>IF(ASSIGNMENTS!J45="MISMATCH","Role Mismatch",IF(ASSIGNMENTS!K45="OUT OF RANGE","Date Range Error",IF(AND(ASSIGNMENTS!I45&lt;&gt;0,ASSIGNMENTS!I45&lt;&gt;""),"Hours Gap","")))</f>
        <v/>
      </c>
      <c r="E47" s="8" t="str">
        <f>IF(D47="Role Mismatch","Resource role ≠ task required role",IF(D47="Date Range Error","Assignment week outside task dates",IF(D47="Hours Gap","Task not fully assigned ("&amp;ROUND(ASSIGNMENTS!I45,1)&amp;"h remaining)","")))</f>
        <v/>
      </c>
    </row>
    <row r="48" spans="1:5" ht="15" customHeight="1" x14ac:dyDescent="0.3">
      <c r="A48" s="5">
        <v>45</v>
      </c>
      <c r="B48" s="5" t="s">
        <v>548</v>
      </c>
      <c r="C48" s="8" t="str">
        <f>ASSIGNMENTS!A46</f>
        <v>A045</v>
      </c>
      <c r="D48" s="8" t="str">
        <f>IF(ASSIGNMENTS!J46="MISMATCH","Role Mismatch",IF(ASSIGNMENTS!K46="OUT OF RANGE","Date Range Error",IF(AND(ASSIGNMENTS!I46&lt;&gt;0,ASSIGNMENTS!I46&lt;&gt;""),"Hours Gap","")))</f>
        <v/>
      </c>
      <c r="E48" s="8" t="str">
        <f>IF(D48="Role Mismatch","Resource role ≠ task required role",IF(D48="Date Range Error","Assignment week outside task dates",IF(D48="Hours Gap","Task not fully assigned ("&amp;ROUND(ASSIGNMENTS!I46,1)&amp;"h remaining)","")))</f>
        <v/>
      </c>
    </row>
    <row r="49" spans="1:5" ht="15" customHeight="1" x14ac:dyDescent="0.3">
      <c r="A49" s="5">
        <v>46</v>
      </c>
      <c r="B49" s="5" t="s">
        <v>548</v>
      </c>
      <c r="C49" s="8" t="str">
        <f>ASSIGNMENTS!A47</f>
        <v>A046</v>
      </c>
      <c r="D49" s="8" t="str">
        <f>IF(ASSIGNMENTS!J47="MISMATCH","Role Mismatch",IF(ASSIGNMENTS!K47="OUT OF RANGE","Date Range Error",IF(AND(ASSIGNMENTS!I47&lt;&gt;0,ASSIGNMENTS!I47&lt;&gt;""),"Hours Gap","")))</f>
        <v/>
      </c>
      <c r="E49" s="8" t="str">
        <f>IF(D49="Role Mismatch","Resource role ≠ task required role",IF(D49="Date Range Error","Assignment week outside task dates",IF(D49="Hours Gap","Task not fully assigned ("&amp;ROUND(ASSIGNMENTS!I47,1)&amp;"h remaining)","")))</f>
        <v/>
      </c>
    </row>
    <row r="50" spans="1:5" ht="15" customHeight="1" x14ac:dyDescent="0.3">
      <c r="A50" s="5">
        <v>47</v>
      </c>
      <c r="B50" s="5" t="s">
        <v>548</v>
      </c>
      <c r="C50" s="8" t="str">
        <f>ASSIGNMENTS!A48</f>
        <v>A047</v>
      </c>
      <c r="D50" s="8" t="str">
        <f>IF(ASSIGNMENTS!J48="MISMATCH","Role Mismatch",IF(ASSIGNMENTS!K48="OUT OF RANGE","Date Range Error",IF(AND(ASSIGNMENTS!I48&lt;&gt;0,ASSIGNMENTS!I48&lt;&gt;""),"Hours Gap","")))</f>
        <v/>
      </c>
      <c r="E50" s="8" t="str">
        <f>IF(D50="Role Mismatch","Resource role ≠ task required role",IF(D50="Date Range Error","Assignment week outside task dates",IF(D50="Hours Gap","Task not fully assigned ("&amp;ROUND(ASSIGNMENTS!I48,1)&amp;"h remaining)","")))</f>
        <v/>
      </c>
    </row>
    <row r="51" spans="1:5" ht="15" customHeight="1" x14ac:dyDescent="0.3">
      <c r="A51" s="5">
        <v>48</v>
      </c>
      <c r="B51" s="5" t="s">
        <v>548</v>
      </c>
      <c r="C51" s="8" t="str">
        <f>ASSIGNMENTS!A49</f>
        <v>A048</v>
      </c>
      <c r="D51" s="8" t="str">
        <f>IF(ASSIGNMENTS!J49="MISMATCH","Role Mismatch",IF(ASSIGNMENTS!K49="OUT OF RANGE","Date Range Error",IF(AND(ASSIGNMENTS!I49&lt;&gt;0,ASSIGNMENTS!I49&lt;&gt;""),"Hours Gap","")))</f>
        <v/>
      </c>
      <c r="E51" s="8" t="str">
        <f>IF(D51="Role Mismatch","Resource role ≠ task required role",IF(D51="Date Range Error","Assignment week outside task dates",IF(D51="Hours Gap","Task not fully assigned ("&amp;ROUND(ASSIGNMENTS!I49,1)&amp;"h remaining)","")))</f>
        <v/>
      </c>
    </row>
    <row r="52" spans="1:5" ht="15" customHeight="1" x14ac:dyDescent="0.3">
      <c r="A52" s="5">
        <v>49</v>
      </c>
      <c r="B52" s="5" t="s">
        <v>548</v>
      </c>
      <c r="C52" s="8" t="str">
        <f>ASSIGNMENTS!A50</f>
        <v>A049</v>
      </c>
      <c r="D52" s="8" t="str">
        <f>IF(ASSIGNMENTS!J50="MISMATCH","Role Mismatch",IF(ASSIGNMENTS!K50="OUT OF RANGE","Date Range Error",IF(AND(ASSIGNMENTS!I50&lt;&gt;0,ASSIGNMENTS!I50&lt;&gt;""),"Hours Gap","")))</f>
        <v/>
      </c>
      <c r="E52" s="8" t="str">
        <f>IF(D52="Role Mismatch","Resource role ≠ task required role",IF(D52="Date Range Error","Assignment week outside task dates",IF(D52="Hours Gap","Task not fully assigned ("&amp;ROUND(ASSIGNMENTS!I50,1)&amp;"h remaining)","")))</f>
        <v/>
      </c>
    </row>
    <row r="53" spans="1:5" ht="15" customHeight="1" x14ac:dyDescent="0.3">
      <c r="A53" s="5">
        <v>50</v>
      </c>
      <c r="B53" s="5" t="s">
        <v>548</v>
      </c>
      <c r="C53" s="8" t="str">
        <f>ASSIGNMENTS!A51</f>
        <v>A050</v>
      </c>
      <c r="D53" s="8" t="str">
        <f>IF(ASSIGNMENTS!J51="MISMATCH","Role Mismatch",IF(ASSIGNMENTS!K51="OUT OF RANGE","Date Range Error",IF(AND(ASSIGNMENTS!I51&lt;&gt;0,ASSIGNMENTS!I51&lt;&gt;""),"Hours Gap","")))</f>
        <v/>
      </c>
      <c r="E53" s="8" t="str">
        <f>IF(D53="Role Mismatch","Resource role ≠ task required role",IF(D53="Date Range Error","Assignment week outside task dates",IF(D53="Hours Gap","Task not fully assigned ("&amp;ROUND(ASSIGNMENTS!I51,1)&amp;"h remaining)","")))</f>
        <v/>
      </c>
    </row>
    <row r="54" spans="1:5" ht="15" customHeight="1" x14ac:dyDescent="0.3">
      <c r="A54" s="5">
        <v>51</v>
      </c>
      <c r="B54" s="5" t="s">
        <v>548</v>
      </c>
      <c r="C54" s="8" t="str">
        <f>ASSIGNMENTS!A52</f>
        <v>A051</v>
      </c>
      <c r="D54" s="8" t="str">
        <f>IF(ASSIGNMENTS!J52="MISMATCH","Role Mismatch",IF(ASSIGNMENTS!K52="OUT OF RANGE","Date Range Error",IF(AND(ASSIGNMENTS!I52&lt;&gt;0,ASSIGNMENTS!I52&lt;&gt;""),"Hours Gap","")))</f>
        <v/>
      </c>
      <c r="E54" s="8" t="str">
        <f>IF(D54="Role Mismatch","Resource role ≠ task required role",IF(D54="Date Range Error","Assignment week outside task dates",IF(D54="Hours Gap","Task not fully assigned ("&amp;ROUND(ASSIGNMENTS!I52,1)&amp;"h remaining)","")))</f>
        <v/>
      </c>
    </row>
    <row r="55" spans="1:5" ht="15" customHeight="1" x14ac:dyDescent="0.3">
      <c r="A55" s="5">
        <v>52</v>
      </c>
      <c r="B55" s="5" t="s">
        <v>548</v>
      </c>
      <c r="C55" s="8" t="str">
        <f>ASSIGNMENTS!A53</f>
        <v>A052</v>
      </c>
      <c r="D55" s="8" t="str">
        <f>IF(ASSIGNMENTS!J53="MISMATCH","Role Mismatch",IF(ASSIGNMENTS!K53="OUT OF RANGE","Date Range Error",IF(AND(ASSIGNMENTS!I53&lt;&gt;0,ASSIGNMENTS!I53&lt;&gt;""),"Hours Gap","")))</f>
        <v/>
      </c>
      <c r="E55" s="8" t="str">
        <f>IF(D55="Role Mismatch","Resource role ≠ task required role",IF(D55="Date Range Error","Assignment week outside task dates",IF(D55="Hours Gap","Task not fully assigned ("&amp;ROUND(ASSIGNMENTS!I53,1)&amp;"h remaining)","")))</f>
        <v/>
      </c>
    </row>
    <row r="56" spans="1:5" ht="15" customHeight="1" x14ac:dyDescent="0.3">
      <c r="A56" s="5">
        <v>53</v>
      </c>
      <c r="B56" s="5" t="s">
        <v>548</v>
      </c>
      <c r="C56" s="8" t="str">
        <f>ASSIGNMENTS!A54</f>
        <v>A053</v>
      </c>
      <c r="D56" s="8" t="str">
        <f>IF(ASSIGNMENTS!J54="MISMATCH","Role Mismatch",IF(ASSIGNMENTS!K54="OUT OF RANGE","Date Range Error",IF(AND(ASSIGNMENTS!I54&lt;&gt;0,ASSIGNMENTS!I54&lt;&gt;""),"Hours Gap","")))</f>
        <v/>
      </c>
      <c r="E56" s="8" t="str">
        <f>IF(D56="Role Mismatch","Resource role ≠ task required role",IF(D56="Date Range Error","Assignment week outside task dates",IF(D56="Hours Gap","Task not fully assigned ("&amp;ROUND(ASSIGNMENTS!I54,1)&amp;"h remaining)","")))</f>
        <v/>
      </c>
    </row>
    <row r="57" spans="1:5" ht="15" customHeight="1" x14ac:dyDescent="0.3">
      <c r="A57" s="5">
        <v>54</v>
      </c>
      <c r="B57" s="5" t="s">
        <v>548</v>
      </c>
      <c r="C57" s="8" t="str">
        <f>ASSIGNMENTS!A55</f>
        <v>A054</v>
      </c>
      <c r="D57" s="8" t="str">
        <f>IF(ASSIGNMENTS!J55="MISMATCH","Role Mismatch",IF(ASSIGNMENTS!K55="OUT OF RANGE","Date Range Error",IF(AND(ASSIGNMENTS!I55&lt;&gt;0,ASSIGNMENTS!I55&lt;&gt;""),"Hours Gap","")))</f>
        <v/>
      </c>
      <c r="E57" s="8" t="str">
        <f>IF(D57="Role Mismatch","Resource role ≠ task required role",IF(D57="Date Range Error","Assignment week outside task dates",IF(D57="Hours Gap","Task not fully assigned ("&amp;ROUND(ASSIGNMENTS!I55,1)&amp;"h remaining)","")))</f>
        <v/>
      </c>
    </row>
    <row r="58" spans="1:5" ht="15" customHeight="1" x14ac:dyDescent="0.3">
      <c r="A58" s="5">
        <v>55</v>
      </c>
      <c r="B58" s="5" t="s">
        <v>548</v>
      </c>
      <c r="C58" s="8" t="str">
        <f>ASSIGNMENTS!A56</f>
        <v>A055</v>
      </c>
      <c r="D58" s="8" t="str">
        <f>IF(ASSIGNMENTS!J56="MISMATCH","Role Mismatch",IF(ASSIGNMENTS!K56="OUT OF RANGE","Date Range Error",IF(AND(ASSIGNMENTS!I56&lt;&gt;0,ASSIGNMENTS!I56&lt;&gt;""),"Hours Gap","")))</f>
        <v/>
      </c>
      <c r="E58" s="8" t="str">
        <f>IF(D58="Role Mismatch","Resource role ≠ task required role",IF(D58="Date Range Error","Assignment week outside task dates",IF(D58="Hours Gap","Task not fully assigned ("&amp;ROUND(ASSIGNMENTS!I56,1)&amp;"h remaining)","")))</f>
        <v/>
      </c>
    </row>
    <row r="59" spans="1:5" ht="15" customHeight="1" x14ac:dyDescent="0.3">
      <c r="A59" s="5">
        <v>56</v>
      </c>
      <c r="B59" s="5" t="s">
        <v>548</v>
      </c>
      <c r="C59" s="8" t="str">
        <f>ASSIGNMENTS!A57</f>
        <v>A056</v>
      </c>
      <c r="D59" s="8" t="str">
        <f>IF(ASSIGNMENTS!J57="MISMATCH","Role Mismatch",IF(ASSIGNMENTS!K57="OUT OF RANGE","Date Range Error",IF(AND(ASSIGNMENTS!I57&lt;&gt;0,ASSIGNMENTS!I57&lt;&gt;""),"Hours Gap","")))</f>
        <v/>
      </c>
      <c r="E59" s="8" t="str">
        <f>IF(D59="Role Mismatch","Resource role ≠ task required role",IF(D59="Date Range Error","Assignment week outside task dates",IF(D59="Hours Gap","Task not fully assigned ("&amp;ROUND(ASSIGNMENTS!I57,1)&amp;"h remaining)","")))</f>
        <v/>
      </c>
    </row>
    <row r="60" spans="1:5" ht="15" customHeight="1" x14ac:dyDescent="0.3">
      <c r="A60" s="5">
        <v>57</v>
      </c>
      <c r="B60" s="5" t="s">
        <v>548</v>
      </c>
      <c r="C60" s="8" t="str">
        <f>ASSIGNMENTS!A58</f>
        <v>A057</v>
      </c>
      <c r="D60" s="8" t="str">
        <f>IF(ASSIGNMENTS!J58="MISMATCH","Role Mismatch",IF(ASSIGNMENTS!K58="OUT OF RANGE","Date Range Error",IF(AND(ASSIGNMENTS!I58&lt;&gt;0,ASSIGNMENTS!I58&lt;&gt;""),"Hours Gap","")))</f>
        <v/>
      </c>
      <c r="E60" s="8" t="str">
        <f>IF(D60="Role Mismatch","Resource role ≠ task required role",IF(D60="Date Range Error","Assignment week outside task dates",IF(D60="Hours Gap","Task not fully assigned ("&amp;ROUND(ASSIGNMENTS!I58,1)&amp;"h remaining)","")))</f>
        <v/>
      </c>
    </row>
    <row r="61" spans="1:5" ht="15" customHeight="1" x14ac:dyDescent="0.3">
      <c r="A61" s="5">
        <v>58</v>
      </c>
      <c r="B61" s="5" t="s">
        <v>548</v>
      </c>
      <c r="C61" s="8" t="str">
        <f>ASSIGNMENTS!A59</f>
        <v>A058</v>
      </c>
      <c r="D61" s="8" t="str">
        <f>IF(ASSIGNMENTS!J59="MISMATCH","Role Mismatch",IF(ASSIGNMENTS!K59="OUT OF RANGE","Date Range Error",IF(AND(ASSIGNMENTS!I59&lt;&gt;0,ASSIGNMENTS!I59&lt;&gt;""),"Hours Gap","")))</f>
        <v/>
      </c>
      <c r="E61" s="8" t="str">
        <f>IF(D61="Role Mismatch","Resource role ≠ task required role",IF(D61="Date Range Error","Assignment week outside task dates",IF(D61="Hours Gap","Task not fully assigned ("&amp;ROUND(ASSIGNMENTS!I59,1)&amp;"h remaining)","")))</f>
        <v/>
      </c>
    </row>
    <row r="62" spans="1:5" ht="15" customHeight="1" x14ac:dyDescent="0.3">
      <c r="A62" s="5">
        <v>59</v>
      </c>
      <c r="B62" s="5" t="s">
        <v>548</v>
      </c>
      <c r="C62" s="8" t="str">
        <f>ASSIGNMENTS!A60</f>
        <v>A059</v>
      </c>
      <c r="D62" s="8" t="str">
        <f>IF(ASSIGNMENTS!J60="MISMATCH","Role Mismatch",IF(ASSIGNMENTS!K60="OUT OF RANGE","Date Range Error",IF(AND(ASSIGNMENTS!I60&lt;&gt;0,ASSIGNMENTS!I60&lt;&gt;""),"Hours Gap","")))</f>
        <v/>
      </c>
      <c r="E62" s="8" t="str">
        <f>IF(D62="Role Mismatch","Resource role ≠ task required role",IF(D62="Date Range Error","Assignment week outside task dates",IF(D62="Hours Gap","Task not fully assigned ("&amp;ROUND(ASSIGNMENTS!I60,1)&amp;"h remaining)","")))</f>
        <v/>
      </c>
    </row>
    <row r="63" spans="1:5" ht="15" customHeight="1" x14ac:dyDescent="0.3">
      <c r="A63" s="5">
        <v>60</v>
      </c>
      <c r="B63" s="5" t="s">
        <v>548</v>
      </c>
      <c r="C63" s="8" t="str">
        <f>ASSIGNMENTS!A61</f>
        <v>A060</v>
      </c>
      <c r="D63" s="8" t="str">
        <f>IF(ASSIGNMENTS!J61="MISMATCH","Role Mismatch",IF(ASSIGNMENTS!K61="OUT OF RANGE","Date Range Error",IF(AND(ASSIGNMENTS!I61&lt;&gt;0,ASSIGNMENTS!I61&lt;&gt;""),"Hours Gap","")))</f>
        <v/>
      </c>
      <c r="E63" s="8" t="str">
        <f>IF(D63="Role Mismatch","Resource role ≠ task required role",IF(D63="Date Range Error","Assignment week outside task dates",IF(D63="Hours Gap","Task not fully assigned ("&amp;ROUND(ASSIGNMENTS!I61,1)&amp;"h remaining)","")))</f>
        <v/>
      </c>
    </row>
    <row r="64" spans="1:5" ht="15" customHeight="1" x14ac:dyDescent="0.3">
      <c r="A64" s="5">
        <v>61</v>
      </c>
      <c r="B64" s="5" t="s">
        <v>548</v>
      </c>
      <c r="C64" s="8" t="str">
        <f>ASSIGNMENTS!A62</f>
        <v>A061</v>
      </c>
      <c r="D64" s="8" t="str">
        <f>IF(ASSIGNMENTS!J62="MISMATCH","Role Mismatch",IF(ASSIGNMENTS!K62="OUT OF RANGE","Date Range Error",IF(AND(ASSIGNMENTS!I62&lt;&gt;0,ASSIGNMENTS!I62&lt;&gt;""),"Hours Gap","")))</f>
        <v/>
      </c>
      <c r="E64" s="8" t="str">
        <f>IF(D64="Role Mismatch","Resource role ≠ task required role",IF(D64="Date Range Error","Assignment week outside task dates",IF(D64="Hours Gap","Task not fully assigned ("&amp;ROUND(ASSIGNMENTS!I62,1)&amp;"h remaining)","")))</f>
        <v/>
      </c>
    </row>
    <row r="65" spans="1:5" ht="15" customHeight="1" x14ac:dyDescent="0.3">
      <c r="A65" s="5">
        <v>62</v>
      </c>
      <c r="B65" s="5" t="s">
        <v>548</v>
      </c>
      <c r="C65" s="8" t="str">
        <f>ASSIGNMENTS!A63</f>
        <v>A062</v>
      </c>
      <c r="D65" s="8" t="str">
        <f>IF(ASSIGNMENTS!J63="MISMATCH","Role Mismatch",IF(ASSIGNMENTS!K63="OUT OF RANGE","Date Range Error",IF(AND(ASSIGNMENTS!I63&lt;&gt;0,ASSIGNMENTS!I63&lt;&gt;""),"Hours Gap","")))</f>
        <v/>
      </c>
      <c r="E65" s="8" t="str">
        <f>IF(D65="Role Mismatch","Resource role ≠ task required role",IF(D65="Date Range Error","Assignment week outside task dates",IF(D65="Hours Gap","Task not fully assigned ("&amp;ROUND(ASSIGNMENTS!I63,1)&amp;"h remaining)","")))</f>
        <v/>
      </c>
    </row>
    <row r="66" spans="1:5" ht="15" customHeight="1" x14ac:dyDescent="0.3">
      <c r="A66" s="5">
        <v>63</v>
      </c>
      <c r="B66" s="5" t="s">
        <v>548</v>
      </c>
      <c r="C66" s="8" t="str">
        <f>ASSIGNMENTS!A64</f>
        <v>A063</v>
      </c>
      <c r="D66" s="8" t="str">
        <f>IF(ASSIGNMENTS!J64="MISMATCH","Role Mismatch",IF(ASSIGNMENTS!K64="OUT OF RANGE","Date Range Error",IF(AND(ASSIGNMENTS!I64&lt;&gt;0,ASSIGNMENTS!I64&lt;&gt;""),"Hours Gap","")))</f>
        <v/>
      </c>
      <c r="E66" s="8" t="str">
        <f>IF(D66="Role Mismatch","Resource role ≠ task required role",IF(D66="Date Range Error","Assignment week outside task dates",IF(D66="Hours Gap","Task not fully assigned ("&amp;ROUND(ASSIGNMENTS!I64,1)&amp;"h remaining)","")))</f>
        <v/>
      </c>
    </row>
    <row r="67" spans="1:5" ht="15" customHeight="1" x14ac:dyDescent="0.3">
      <c r="A67" s="5">
        <v>64</v>
      </c>
      <c r="B67" s="5" t="s">
        <v>548</v>
      </c>
      <c r="C67" s="8" t="str">
        <f>ASSIGNMENTS!A65</f>
        <v>A064</v>
      </c>
      <c r="D67" s="8" t="str">
        <f>IF(ASSIGNMENTS!J65="MISMATCH","Role Mismatch",IF(ASSIGNMENTS!K65="OUT OF RANGE","Date Range Error",IF(AND(ASSIGNMENTS!I65&lt;&gt;0,ASSIGNMENTS!I65&lt;&gt;""),"Hours Gap","")))</f>
        <v/>
      </c>
      <c r="E67" s="8" t="str">
        <f>IF(D67="Role Mismatch","Resource role ≠ task required role",IF(D67="Date Range Error","Assignment week outside task dates",IF(D67="Hours Gap","Task not fully assigned ("&amp;ROUND(ASSIGNMENTS!I65,1)&amp;"h remaining)","")))</f>
        <v/>
      </c>
    </row>
    <row r="68" spans="1:5" ht="15" customHeight="1" x14ac:dyDescent="0.3">
      <c r="A68" s="5">
        <v>65</v>
      </c>
      <c r="B68" s="5" t="s">
        <v>548</v>
      </c>
      <c r="C68" s="8" t="str">
        <f>ASSIGNMENTS!A66</f>
        <v>A065</v>
      </c>
      <c r="D68" s="8" t="str">
        <f>IF(ASSIGNMENTS!J66="MISMATCH","Role Mismatch",IF(ASSIGNMENTS!K66="OUT OF RANGE","Date Range Error",IF(AND(ASSIGNMENTS!I66&lt;&gt;0,ASSIGNMENTS!I66&lt;&gt;""),"Hours Gap","")))</f>
        <v/>
      </c>
      <c r="E68" s="8" t="str">
        <f>IF(D68="Role Mismatch","Resource role ≠ task required role",IF(D68="Date Range Error","Assignment week outside task dates",IF(D68="Hours Gap","Task not fully assigned ("&amp;ROUND(ASSIGNMENTS!I66,1)&amp;"h remaining)","")))</f>
        <v/>
      </c>
    </row>
    <row r="69" spans="1:5" ht="15" customHeight="1" x14ac:dyDescent="0.3">
      <c r="A69" s="5">
        <v>66</v>
      </c>
      <c r="B69" s="5" t="s">
        <v>548</v>
      </c>
      <c r="C69" s="8" t="str">
        <f>ASSIGNMENTS!A67</f>
        <v>A066</v>
      </c>
      <c r="D69" s="8" t="str">
        <f>IF(ASSIGNMENTS!J67="MISMATCH","Role Mismatch",IF(ASSIGNMENTS!K67="OUT OF RANGE","Date Range Error",IF(AND(ASSIGNMENTS!I67&lt;&gt;0,ASSIGNMENTS!I67&lt;&gt;""),"Hours Gap","")))</f>
        <v/>
      </c>
      <c r="E69" s="8" t="str">
        <f>IF(D69="Role Mismatch","Resource role ≠ task required role",IF(D69="Date Range Error","Assignment week outside task dates",IF(D69="Hours Gap","Task not fully assigned ("&amp;ROUND(ASSIGNMENTS!I67,1)&amp;"h remaining)","")))</f>
        <v/>
      </c>
    </row>
    <row r="70" spans="1:5" ht="15" customHeight="1" x14ac:dyDescent="0.3">
      <c r="A70" s="5">
        <v>67</v>
      </c>
      <c r="B70" s="5" t="s">
        <v>548</v>
      </c>
      <c r="C70" s="8" t="str">
        <f>ASSIGNMENTS!A68</f>
        <v>A067</v>
      </c>
      <c r="D70" s="8" t="str">
        <f>IF(ASSIGNMENTS!J68="MISMATCH","Role Mismatch",IF(ASSIGNMENTS!K68="OUT OF RANGE","Date Range Error",IF(AND(ASSIGNMENTS!I68&lt;&gt;0,ASSIGNMENTS!I68&lt;&gt;""),"Hours Gap","")))</f>
        <v/>
      </c>
      <c r="E70" s="8" t="str">
        <f>IF(D70="Role Mismatch","Resource role ≠ task required role",IF(D70="Date Range Error","Assignment week outside task dates",IF(D70="Hours Gap","Task not fully assigned ("&amp;ROUND(ASSIGNMENTS!I68,1)&amp;"h remaining)","")))</f>
        <v/>
      </c>
    </row>
    <row r="71" spans="1:5" ht="15" customHeight="1" x14ac:dyDescent="0.3">
      <c r="A71" s="5">
        <v>68</v>
      </c>
      <c r="B71" s="5" t="s">
        <v>548</v>
      </c>
      <c r="C71" s="8" t="str">
        <f>ASSIGNMENTS!A69</f>
        <v>A068</v>
      </c>
      <c r="D71" s="8" t="str">
        <f>IF(ASSIGNMENTS!J69="MISMATCH","Role Mismatch",IF(ASSIGNMENTS!K69="OUT OF RANGE","Date Range Error",IF(AND(ASSIGNMENTS!I69&lt;&gt;0,ASSIGNMENTS!I69&lt;&gt;""),"Hours Gap","")))</f>
        <v/>
      </c>
      <c r="E71" s="8" t="str">
        <f>IF(D71="Role Mismatch","Resource role ≠ task required role",IF(D71="Date Range Error","Assignment week outside task dates",IF(D71="Hours Gap","Task not fully assigned ("&amp;ROUND(ASSIGNMENTS!I69,1)&amp;"h remaining)","")))</f>
        <v/>
      </c>
    </row>
    <row r="72" spans="1:5" ht="15" customHeight="1" x14ac:dyDescent="0.3">
      <c r="A72" s="5">
        <v>69</v>
      </c>
      <c r="B72" s="5" t="s">
        <v>548</v>
      </c>
      <c r="C72" s="8" t="str">
        <f>ASSIGNMENTS!A70</f>
        <v>A069</v>
      </c>
      <c r="D72" s="8" t="str">
        <f>IF(ASSIGNMENTS!J70="MISMATCH","Role Mismatch",IF(ASSIGNMENTS!K70="OUT OF RANGE","Date Range Error",IF(AND(ASSIGNMENTS!I70&lt;&gt;0,ASSIGNMENTS!I70&lt;&gt;""),"Hours Gap","")))</f>
        <v/>
      </c>
      <c r="E72" s="8" t="str">
        <f>IF(D72="Role Mismatch","Resource role ≠ task required role",IF(D72="Date Range Error","Assignment week outside task dates",IF(D72="Hours Gap","Task not fully assigned ("&amp;ROUND(ASSIGNMENTS!I70,1)&amp;"h remaining)","")))</f>
        <v/>
      </c>
    </row>
    <row r="73" spans="1:5" ht="15" customHeight="1" x14ac:dyDescent="0.3">
      <c r="A73" s="5">
        <v>70</v>
      </c>
      <c r="B73" s="5" t="s">
        <v>548</v>
      </c>
      <c r="C73" s="8" t="str">
        <f>ASSIGNMENTS!A71</f>
        <v>A070</v>
      </c>
      <c r="D73" s="8" t="str">
        <f>IF(ASSIGNMENTS!J71="MISMATCH","Role Mismatch",IF(ASSIGNMENTS!K71="OUT OF RANGE","Date Range Error",IF(AND(ASSIGNMENTS!I71&lt;&gt;0,ASSIGNMENTS!I71&lt;&gt;""),"Hours Gap","")))</f>
        <v/>
      </c>
      <c r="E73" s="8" t="str">
        <f>IF(D73="Role Mismatch","Resource role ≠ task required role",IF(D73="Date Range Error","Assignment week outside task dates",IF(D73="Hours Gap","Task not fully assigned ("&amp;ROUND(ASSIGNMENTS!I71,1)&amp;"h remaining)","")))</f>
        <v/>
      </c>
    </row>
    <row r="74" spans="1:5" ht="15" customHeight="1" x14ac:dyDescent="0.3">
      <c r="A74" s="5">
        <v>71</v>
      </c>
      <c r="B74" s="5" t="s">
        <v>548</v>
      </c>
      <c r="C74" s="8" t="str">
        <f>ASSIGNMENTS!A72</f>
        <v>A071</v>
      </c>
      <c r="D74" s="8" t="str">
        <f>IF(ASSIGNMENTS!J72="MISMATCH","Role Mismatch",IF(ASSIGNMENTS!K72="OUT OF RANGE","Date Range Error",IF(AND(ASSIGNMENTS!I72&lt;&gt;0,ASSIGNMENTS!I72&lt;&gt;""),"Hours Gap","")))</f>
        <v/>
      </c>
      <c r="E74" s="8" t="str">
        <f>IF(D74="Role Mismatch","Resource role ≠ task required role",IF(D74="Date Range Error","Assignment week outside task dates",IF(D74="Hours Gap","Task not fully assigned ("&amp;ROUND(ASSIGNMENTS!I72,1)&amp;"h remaining)","")))</f>
        <v/>
      </c>
    </row>
    <row r="75" spans="1:5" ht="15" customHeight="1" x14ac:dyDescent="0.3">
      <c r="A75" s="5">
        <v>72</v>
      </c>
      <c r="B75" s="5" t="s">
        <v>548</v>
      </c>
      <c r="C75" s="8" t="str">
        <f>ASSIGNMENTS!A73</f>
        <v>A072</v>
      </c>
      <c r="D75" s="8" t="str">
        <f>IF(ASSIGNMENTS!J73="MISMATCH","Role Mismatch",IF(ASSIGNMENTS!K73="OUT OF RANGE","Date Range Error",IF(AND(ASSIGNMENTS!I73&lt;&gt;0,ASSIGNMENTS!I73&lt;&gt;""),"Hours Gap","")))</f>
        <v/>
      </c>
      <c r="E75" s="8" t="str">
        <f>IF(D75="Role Mismatch","Resource role ≠ task required role",IF(D75="Date Range Error","Assignment week outside task dates",IF(D75="Hours Gap","Task not fully assigned ("&amp;ROUND(ASSIGNMENTS!I73,1)&amp;"h remaining)","")))</f>
        <v/>
      </c>
    </row>
    <row r="76" spans="1:5" ht="15" customHeight="1" x14ac:dyDescent="0.3">
      <c r="A76" s="5">
        <v>73</v>
      </c>
      <c r="B76" s="5" t="s">
        <v>548</v>
      </c>
      <c r="C76" s="8" t="str">
        <f>ASSIGNMENTS!A74</f>
        <v>A073</v>
      </c>
      <c r="D76" s="8" t="str">
        <f>IF(ASSIGNMENTS!J74="MISMATCH","Role Mismatch",IF(ASSIGNMENTS!K74="OUT OF RANGE","Date Range Error",IF(AND(ASSIGNMENTS!I74&lt;&gt;0,ASSIGNMENTS!I74&lt;&gt;""),"Hours Gap","")))</f>
        <v/>
      </c>
      <c r="E76" s="8" t="str">
        <f>IF(D76="Role Mismatch","Resource role ≠ task required role",IF(D76="Date Range Error","Assignment week outside task dates",IF(D76="Hours Gap","Task not fully assigned ("&amp;ROUND(ASSIGNMENTS!I74,1)&amp;"h remaining)","")))</f>
        <v/>
      </c>
    </row>
    <row r="77" spans="1:5" ht="15" customHeight="1" x14ac:dyDescent="0.3">
      <c r="A77" s="5">
        <v>74</v>
      </c>
      <c r="B77" s="5" t="s">
        <v>548</v>
      </c>
      <c r="C77" s="8" t="str">
        <f>ASSIGNMENTS!A75</f>
        <v>A074</v>
      </c>
      <c r="D77" s="8" t="str">
        <f>IF(ASSIGNMENTS!J75="MISMATCH","Role Mismatch",IF(ASSIGNMENTS!K75="OUT OF RANGE","Date Range Error",IF(AND(ASSIGNMENTS!I75&lt;&gt;0,ASSIGNMENTS!I75&lt;&gt;""),"Hours Gap","")))</f>
        <v/>
      </c>
      <c r="E77" s="8" t="str">
        <f>IF(D77="Role Mismatch","Resource role ≠ task required role",IF(D77="Date Range Error","Assignment week outside task dates",IF(D77="Hours Gap","Task not fully assigned ("&amp;ROUND(ASSIGNMENTS!I75,1)&amp;"h remaining)","")))</f>
        <v/>
      </c>
    </row>
    <row r="78" spans="1:5" ht="15" customHeight="1" x14ac:dyDescent="0.3">
      <c r="A78" s="5">
        <v>75</v>
      </c>
      <c r="B78" s="5" t="s">
        <v>548</v>
      </c>
      <c r="C78" s="8" t="str">
        <f>ASSIGNMENTS!A76</f>
        <v>A075</v>
      </c>
      <c r="D78" s="8" t="str">
        <f>IF(ASSIGNMENTS!J76="MISMATCH","Role Mismatch",IF(ASSIGNMENTS!K76="OUT OF RANGE","Date Range Error",IF(AND(ASSIGNMENTS!I76&lt;&gt;0,ASSIGNMENTS!I76&lt;&gt;""),"Hours Gap","")))</f>
        <v/>
      </c>
      <c r="E78" s="8" t="str">
        <f>IF(D78="Role Mismatch","Resource role ≠ task required role",IF(D78="Date Range Error","Assignment week outside task dates",IF(D78="Hours Gap","Task not fully assigned ("&amp;ROUND(ASSIGNMENTS!I76,1)&amp;"h remaining)","")))</f>
        <v/>
      </c>
    </row>
    <row r="79" spans="1:5" ht="15" customHeight="1" x14ac:dyDescent="0.3">
      <c r="A79" s="5">
        <v>76</v>
      </c>
      <c r="B79" s="5" t="s">
        <v>548</v>
      </c>
      <c r="C79" s="8" t="str">
        <f>ASSIGNMENTS!A77</f>
        <v>A076</v>
      </c>
      <c r="D79" s="8" t="str">
        <f>IF(ASSIGNMENTS!J77="MISMATCH","Role Mismatch",IF(ASSIGNMENTS!K77="OUT OF RANGE","Date Range Error",IF(AND(ASSIGNMENTS!I77&lt;&gt;0,ASSIGNMENTS!I77&lt;&gt;""),"Hours Gap","")))</f>
        <v/>
      </c>
      <c r="E79" s="8" t="str">
        <f>IF(D79="Role Mismatch","Resource role ≠ task required role",IF(D79="Date Range Error","Assignment week outside task dates",IF(D79="Hours Gap","Task not fully assigned ("&amp;ROUND(ASSIGNMENTS!I77,1)&amp;"h remaining)","")))</f>
        <v/>
      </c>
    </row>
    <row r="80" spans="1:5" ht="15" customHeight="1" x14ac:dyDescent="0.3">
      <c r="A80" s="5">
        <v>77</v>
      </c>
      <c r="B80" s="5" t="s">
        <v>548</v>
      </c>
      <c r="C80" s="8" t="str">
        <f>ASSIGNMENTS!A78</f>
        <v>A077</v>
      </c>
      <c r="D80" s="8" t="str">
        <f>IF(ASSIGNMENTS!J78="MISMATCH","Role Mismatch",IF(ASSIGNMENTS!K78="OUT OF RANGE","Date Range Error",IF(AND(ASSIGNMENTS!I78&lt;&gt;0,ASSIGNMENTS!I78&lt;&gt;""),"Hours Gap","")))</f>
        <v/>
      </c>
      <c r="E80" s="8" t="str">
        <f>IF(D80="Role Mismatch","Resource role ≠ task required role",IF(D80="Date Range Error","Assignment week outside task dates",IF(D80="Hours Gap","Task not fully assigned ("&amp;ROUND(ASSIGNMENTS!I78,1)&amp;"h remaining)","")))</f>
        <v/>
      </c>
    </row>
    <row r="81" spans="1:5" ht="15" customHeight="1" x14ac:dyDescent="0.3">
      <c r="A81" s="5">
        <v>78</v>
      </c>
      <c r="B81" s="5" t="s">
        <v>548</v>
      </c>
      <c r="C81" s="8" t="str">
        <f>ASSIGNMENTS!A79</f>
        <v>A078</v>
      </c>
      <c r="D81" s="8" t="str">
        <f>IF(ASSIGNMENTS!J79="MISMATCH","Role Mismatch",IF(ASSIGNMENTS!K79="OUT OF RANGE","Date Range Error",IF(AND(ASSIGNMENTS!I79&lt;&gt;0,ASSIGNMENTS!I79&lt;&gt;""),"Hours Gap","")))</f>
        <v/>
      </c>
      <c r="E81" s="8" t="str">
        <f>IF(D81="Role Mismatch","Resource role ≠ task required role",IF(D81="Date Range Error","Assignment week outside task dates",IF(D81="Hours Gap","Task not fully assigned ("&amp;ROUND(ASSIGNMENTS!I79,1)&amp;"h remaining)","")))</f>
        <v/>
      </c>
    </row>
    <row r="82" spans="1:5" ht="15" customHeight="1" x14ac:dyDescent="0.3">
      <c r="A82" s="5">
        <v>79</v>
      </c>
      <c r="B82" s="5" t="s">
        <v>548</v>
      </c>
      <c r="C82" s="8" t="str">
        <f>ASSIGNMENTS!A80</f>
        <v>A079</v>
      </c>
      <c r="D82" s="8" t="str">
        <f>IF(ASSIGNMENTS!J80="MISMATCH","Role Mismatch",IF(ASSIGNMENTS!K80="OUT OF RANGE","Date Range Error",IF(AND(ASSIGNMENTS!I80&lt;&gt;0,ASSIGNMENTS!I80&lt;&gt;""),"Hours Gap","")))</f>
        <v/>
      </c>
      <c r="E82" s="8" t="str">
        <f>IF(D82="Role Mismatch","Resource role ≠ task required role",IF(D82="Date Range Error","Assignment week outside task dates",IF(D82="Hours Gap","Task not fully assigned ("&amp;ROUND(ASSIGNMENTS!I80,1)&amp;"h remaining)","")))</f>
        <v/>
      </c>
    </row>
    <row r="83" spans="1:5" ht="15" customHeight="1" x14ac:dyDescent="0.3">
      <c r="A83" s="5">
        <v>80</v>
      </c>
      <c r="B83" s="5" t="s">
        <v>548</v>
      </c>
      <c r="C83" s="8" t="str">
        <f>ASSIGNMENTS!A81</f>
        <v>A080</v>
      </c>
      <c r="D83" s="8" t="str">
        <f>IF(ASSIGNMENTS!J81="MISMATCH","Role Mismatch",IF(ASSIGNMENTS!K81="OUT OF RANGE","Date Range Error",IF(AND(ASSIGNMENTS!I81&lt;&gt;0,ASSIGNMENTS!I81&lt;&gt;""),"Hours Gap","")))</f>
        <v/>
      </c>
      <c r="E83" s="8" t="str">
        <f>IF(D83="Role Mismatch","Resource role ≠ task required role",IF(D83="Date Range Error","Assignment week outside task dates",IF(D83="Hours Gap","Task not fully assigned ("&amp;ROUND(ASSIGNMENTS!I81,1)&amp;"h remaining)","")))</f>
        <v/>
      </c>
    </row>
    <row r="84" spans="1:5" ht="15" customHeight="1" x14ac:dyDescent="0.3">
      <c r="A84" s="5">
        <v>81</v>
      </c>
      <c r="B84" s="5" t="s">
        <v>548</v>
      </c>
      <c r="C84" s="8" t="str">
        <f>ASSIGNMENTS!A82</f>
        <v>A081</v>
      </c>
      <c r="D84" s="8" t="str">
        <f>IF(ASSIGNMENTS!J82="MISMATCH","Role Mismatch",IF(ASSIGNMENTS!K82="OUT OF RANGE","Date Range Error",IF(AND(ASSIGNMENTS!I82&lt;&gt;0,ASSIGNMENTS!I82&lt;&gt;""),"Hours Gap","")))</f>
        <v/>
      </c>
      <c r="E84" s="8" t="str">
        <f>IF(D84="Role Mismatch","Resource role ≠ task required role",IF(D84="Date Range Error","Assignment week outside task dates",IF(D84="Hours Gap","Task not fully assigned ("&amp;ROUND(ASSIGNMENTS!I82,1)&amp;"h remaining)","")))</f>
        <v/>
      </c>
    </row>
    <row r="85" spans="1:5" ht="15" customHeight="1" x14ac:dyDescent="0.3">
      <c r="A85" s="5">
        <v>82</v>
      </c>
      <c r="B85" s="5" t="s">
        <v>548</v>
      </c>
      <c r="C85" s="8" t="str">
        <f>ASSIGNMENTS!A83</f>
        <v>A082</v>
      </c>
      <c r="D85" s="8" t="str">
        <f>IF(ASSIGNMENTS!J83="MISMATCH","Role Mismatch",IF(ASSIGNMENTS!K83="OUT OF RANGE","Date Range Error",IF(AND(ASSIGNMENTS!I83&lt;&gt;0,ASSIGNMENTS!I83&lt;&gt;""),"Hours Gap","")))</f>
        <v/>
      </c>
      <c r="E85" s="8" t="str">
        <f>IF(D85="Role Mismatch","Resource role ≠ task required role",IF(D85="Date Range Error","Assignment week outside task dates",IF(D85="Hours Gap","Task not fully assigned ("&amp;ROUND(ASSIGNMENTS!I83,1)&amp;"h remaining)","")))</f>
        <v/>
      </c>
    </row>
    <row r="86" spans="1:5" ht="15" customHeight="1" x14ac:dyDescent="0.3">
      <c r="A86" s="5">
        <v>83</v>
      </c>
      <c r="B86" s="5" t="s">
        <v>548</v>
      </c>
      <c r="C86" s="8" t="str">
        <f>ASSIGNMENTS!A84</f>
        <v>A083</v>
      </c>
      <c r="D86" s="8" t="str">
        <f>IF(ASSIGNMENTS!J84="MISMATCH","Role Mismatch",IF(ASSIGNMENTS!K84="OUT OF RANGE","Date Range Error",IF(AND(ASSIGNMENTS!I84&lt;&gt;0,ASSIGNMENTS!I84&lt;&gt;""),"Hours Gap","")))</f>
        <v/>
      </c>
      <c r="E86" s="8" t="str">
        <f>IF(D86="Role Mismatch","Resource role ≠ task required role",IF(D86="Date Range Error","Assignment week outside task dates",IF(D86="Hours Gap","Task not fully assigned ("&amp;ROUND(ASSIGNMENTS!I84,1)&amp;"h remaining)","")))</f>
        <v/>
      </c>
    </row>
    <row r="87" spans="1:5" ht="15" customHeight="1" x14ac:dyDescent="0.3">
      <c r="A87" s="5">
        <v>84</v>
      </c>
      <c r="B87" s="5" t="s">
        <v>548</v>
      </c>
      <c r="C87" s="8" t="str">
        <f>ASSIGNMENTS!A85</f>
        <v>A084</v>
      </c>
      <c r="D87" s="8" t="str">
        <f>IF(ASSIGNMENTS!J85="MISMATCH","Role Mismatch",IF(ASSIGNMENTS!K85="OUT OF RANGE","Date Range Error",IF(AND(ASSIGNMENTS!I85&lt;&gt;0,ASSIGNMENTS!I85&lt;&gt;""),"Hours Gap","")))</f>
        <v/>
      </c>
      <c r="E87" s="8" t="str">
        <f>IF(D87="Role Mismatch","Resource role ≠ task required role",IF(D87="Date Range Error","Assignment week outside task dates",IF(D87="Hours Gap","Task not fully assigned ("&amp;ROUND(ASSIGNMENTS!I85,1)&amp;"h remaining)","")))</f>
        <v/>
      </c>
    </row>
    <row r="88" spans="1:5" ht="15" customHeight="1" x14ac:dyDescent="0.3">
      <c r="A88" s="5">
        <v>85</v>
      </c>
      <c r="B88" s="5" t="s">
        <v>548</v>
      </c>
      <c r="C88" s="8" t="str">
        <f>ASSIGNMENTS!A86</f>
        <v>A085</v>
      </c>
      <c r="D88" s="8" t="str">
        <f>IF(ASSIGNMENTS!J86="MISMATCH","Role Mismatch",IF(ASSIGNMENTS!K86="OUT OF RANGE","Date Range Error",IF(AND(ASSIGNMENTS!I86&lt;&gt;0,ASSIGNMENTS!I86&lt;&gt;""),"Hours Gap","")))</f>
        <v/>
      </c>
      <c r="E88" s="8" t="str">
        <f>IF(D88="Role Mismatch","Resource role ≠ task required role",IF(D88="Date Range Error","Assignment week outside task dates",IF(D88="Hours Gap","Task not fully assigned ("&amp;ROUND(ASSIGNMENTS!I86,1)&amp;"h remaining)","")))</f>
        <v/>
      </c>
    </row>
    <row r="89" spans="1:5" ht="15" customHeight="1" x14ac:dyDescent="0.3">
      <c r="A89" s="5">
        <v>86</v>
      </c>
      <c r="B89" s="5" t="s">
        <v>548</v>
      </c>
      <c r="C89" s="8" t="str">
        <f>ASSIGNMENTS!A87</f>
        <v>A086</v>
      </c>
      <c r="D89" s="8" t="str">
        <f>IF(ASSIGNMENTS!J87="MISMATCH","Role Mismatch",IF(ASSIGNMENTS!K87="OUT OF RANGE","Date Range Error",IF(AND(ASSIGNMENTS!I87&lt;&gt;0,ASSIGNMENTS!I87&lt;&gt;""),"Hours Gap","")))</f>
        <v/>
      </c>
      <c r="E89" s="8" t="str">
        <f>IF(D89="Role Mismatch","Resource role ≠ task required role",IF(D89="Date Range Error","Assignment week outside task dates",IF(D89="Hours Gap","Task not fully assigned ("&amp;ROUND(ASSIGNMENTS!I87,1)&amp;"h remaining)","")))</f>
        <v/>
      </c>
    </row>
    <row r="90" spans="1:5" ht="15" customHeight="1" x14ac:dyDescent="0.3">
      <c r="A90" s="5">
        <v>87</v>
      </c>
      <c r="B90" s="5" t="s">
        <v>548</v>
      </c>
      <c r="C90" s="8" t="str">
        <f>ASSIGNMENTS!A88</f>
        <v>A087</v>
      </c>
      <c r="D90" s="8" t="str">
        <f>IF(ASSIGNMENTS!J88="MISMATCH","Role Mismatch",IF(ASSIGNMENTS!K88="OUT OF RANGE","Date Range Error",IF(AND(ASSIGNMENTS!I88&lt;&gt;0,ASSIGNMENTS!I88&lt;&gt;""),"Hours Gap","")))</f>
        <v/>
      </c>
      <c r="E90" s="8" t="str">
        <f>IF(D90="Role Mismatch","Resource role ≠ task required role",IF(D90="Date Range Error","Assignment week outside task dates",IF(D90="Hours Gap","Task not fully assigned ("&amp;ROUND(ASSIGNMENTS!I88,1)&amp;"h remaining)","")))</f>
        <v/>
      </c>
    </row>
    <row r="91" spans="1:5" ht="15" customHeight="1" x14ac:dyDescent="0.3">
      <c r="A91" s="5">
        <v>88</v>
      </c>
      <c r="B91" s="5" t="s">
        <v>548</v>
      </c>
      <c r="C91" s="8" t="str">
        <f>ASSIGNMENTS!A89</f>
        <v>A088</v>
      </c>
      <c r="D91" s="8" t="str">
        <f>IF(ASSIGNMENTS!J89="MISMATCH","Role Mismatch",IF(ASSIGNMENTS!K89="OUT OF RANGE","Date Range Error",IF(AND(ASSIGNMENTS!I89&lt;&gt;0,ASSIGNMENTS!I89&lt;&gt;""),"Hours Gap","")))</f>
        <v/>
      </c>
      <c r="E91" s="8" t="str">
        <f>IF(D91="Role Mismatch","Resource role ≠ task required role",IF(D91="Date Range Error","Assignment week outside task dates",IF(D91="Hours Gap","Task not fully assigned ("&amp;ROUND(ASSIGNMENTS!I89,1)&amp;"h remaining)","")))</f>
        <v/>
      </c>
    </row>
    <row r="92" spans="1:5" ht="15" customHeight="1" x14ac:dyDescent="0.3">
      <c r="A92" s="5">
        <v>89</v>
      </c>
      <c r="B92" s="5" t="s">
        <v>548</v>
      </c>
      <c r="C92" s="8" t="str">
        <f>ASSIGNMENTS!A90</f>
        <v>A089</v>
      </c>
      <c r="D92" s="8" t="str">
        <f>IF(ASSIGNMENTS!J90="MISMATCH","Role Mismatch",IF(ASSIGNMENTS!K90="OUT OF RANGE","Date Range Error",IF(AND(ASSIGNMENTS!I90&lt;&gt;0,ASSIGNMENTS!I90&lt;&gt;""),"Hours Gap","")))</f>
        <v/>
      </c>
      <c r="E92" s="8" t="str">
        <f>IF(D92="Role Mismatch","Resource role ≠ task required role",IF(D92="Date Range Error","Assignment week outside task dates",IF(D92="Hours Gap","Task not fully assigned ("&amp;ROUND(ASSIGNMENTS!I90,1)&amp;"h remaining)","")))</f>
        <v/>
      </c>
    </row>
    <row r="93" spans="1:5" ht="15" customHeight="1" x14ac:dyDescent="0.3">
      <c r="A93" s="5">
        <v>90</v>
      </c>
      <c r="B93" s="5" t="s">
        <v>548</v>
      </c>
      <c r="C93" s="8" t="str">
        <f>ASSIGNMENTS!A91</f>
        <v>A090</v>
      </c>
      <c r="D93" s="8" t="str">
        <f>IF(ASSIGNMENTS!J91="MISMATCH","Role Mismatch",IF(ASSIGNMENTS!K91="OUT OF RANGE","Date Range Error",IF(AND(ASSIGNMENTS!I91&lt;&gt;0,ASSIGNMENTS!I91&lt;&gt;""),"Hours Gap","")))</f>
        <v/>
      </c>
      <c r="E93" s="8" t="str">
        <f>IF(D93="Role Mismatch","Resource role ≠ task required role",IF(D93="Date Range Error","Assignment week outside task dates",IF(D93="Hours Gap","Task not fully assigned ("&amp;ROUND(ASSIGNMENTS!I91,1)&amp;"h remaining)","")))</f>
        <v/>
      </c>
    </row>
    <row r="94" spans="1:5" ht="15" customHeight="1" x14ac:dyDescent="0.3">
      <c r="A94" s="5">
        <v>91</v>
      </c>
      <c r="B94" s="5" t="s">
        <v>548</v>
      </c>
      <c r="C94" s="8" t="str">
        <f>ASSIGNMENTS!A92</f>
        <v>A091</v>
      </c>
      <c r="D94" s="8" t="str">
        <f>IF(ASSIGNMENTS!J92="MISMATCH","Role Mismatch",IF(ASSIGNMENTS!K92="OUT OF RANGE","Date Range Error",IF(AND(ASSIGNMENTS!I92&lt;&gt;0,ASSIGNMENTS!I92&lt;&gt;""),"Hours Gap","")))</f>
        <v/>
      </c>
      <c r="E94" s="8" t="str">
        <f>IF(D94="Role Mismatch","Resource role ≠ task required role",IF(D94="Date Range Error","Assignment week outside task dates",IF(D94="Hours Gap","Task not fully assigned ("&amp;ROUND(ASSIGNMENTS!I92,1)&amp;"h remaining)","")))</f>
        <v/>
      </c>
    </row>
    <row r="95" spans="1:5" ht="15" customHeight="1" x14ac:dyDescent="0.3">
      <c r="A95" s="5">
        <v>92</v>
      </c>
      <c r="B95" s="5" t="s">
        <v>548</v>
      </c>
      <c r="C95" s="8" t="str">
        <f>ASSIGNMENTS!A93</f>
        <v>A092</v>
      </c>
      <c r="D95" s="8" t="str">
        <f>IF(ASSIGNMENTS!J93="MISMATCH","Role Mismatch",IF(ASSIGNMENTS!K93="OUT OF RANGE","Date Range Error",IF(AND(ASSIGNMENTS!I93&lt;&gt;0,ASSIGNMENTS!I93&lt;&gt;""),"Hours Gap","")))</f>
        <v/>
      </c>
      <c r="E95" s="8" t="str">
        <f>IF(D95="Role Mismatch","Resource role ≠ task required role",IF(D95="Date Range Error","Assignment week outside task dates",IF(D95="Hours Gap","Task not fully assigned ("&amp;ROUND(ASSIGNMENTS!I93,1)&amp;"h remaining)","")))</f>
        <v/>
      </c>
    </row>
    <row r="96" spans="1:5" ht="15" customHeight="1" x14ac:dyDescent="0.3">
      <c r="A96" s="5">
        <v>93</v>
      </c>
      <c r="B96" s="5" t="s">
        <v>548</v>
      </c>
      <c r="C96" s="8" t="str">
        <f>ASSIGNMENTS!A94</f>
        <v>A093</v>
      </c>
      <c r="D96" s="8" t="str">
        <f>IF(ASSIGNMENTS!J94="MISMATCH","Role Mismatch",IF(ASSIGNMENTS!K94="OUT OF RANGE","Date Range Error",IF(AND(ASSIGNMENTS!I94&lt;&gt;0,ASSIGNMENTS!I94&lt;&gt;""),"Hours Gap","")))</f>
        <v/>
      </c>
      <c r="E96" s="8" t="str">
        <f>IF(D96="Role Mismatch","Resource role ≠ task required role",IF(D96="Date Range Error","Assignment week outside task dates",IF(D96="Hours Gap","Task not fully assigned ("&amp;ROUND(ASSIGNMENTS!I94,1)&amp;"h remaining)","")))</f>
        <v/>
      </c>
    </row>
    <row r="97" spans="1:5" ht="15" customHeight="1" x14ac:dyDescent="0.3">
      <c r="A97" s="5">
        <v>94</v>
      </c>
      <c r="B97" s="5" t="s">
        <v>548</v>
      </c>
      <c r="C97" s="8" t="str">
        <f>ASSIGNMENTS!A95</f>
        <v>A094</v>
      </c>
      <c r="D97" s="8" t="str">
        <f>IF(ASSIGNMENTS!J95="MISMATCH","Role Mismatch",IF(ASSIGNMENTS!K95="OUT OF RANGE","Date Range Error",IF(AND(ASSIGNMENTS!I95&lt;&gt;0,ASSIGNMENTS!I95&lt;&gt;""),"Hours Gap","")))</f>
        <v/>
      </c>
      <c r="E97" s="8" t="str">
        <f>IF(D97="Role Mismatch","Resource role ≠ task required role",IF(D97="Date Range Error","Assignment week outside task dates",IF(D97="Hours Gap","Task not fully assigned ("&amp;ROUND(ASSIGNMENTS!I95,1)&amp;"h remaining)","")))</f>
        <v/>
      </c>
    </row>
    <row r="98" spans="1:5" ht="15" customHeight="1" x14ac:dyDescent="0.3">
      <c r="A98" s="5">
        <v>95</v>
      </c>
      <c r="B98" s="5" t="s">
        <v>548</v>
      </c>
      <c r="C98" s="8" t="str">
        <f>ASSIGNMENTS!A96</f>
        <v>A095</v>
      </c>
      <c r="D98" s="8" t="str">
        <f>IF(ASSIGNMENTS!J96="MISMATCH","Role Mismatch",IF(ASSIGNMENTS!K96="OUT OF RANGE","Date Range Error",IF(AND(ASSIGNMENTS!I96&lt;&gt;0,ASSIGNMENTS!I96&lt;&gt;""),"Hours Gap","")))</f>
        <v/>
      </c>
      <c r="E98" s="8" t="str">
        <f>IF(D98="Role Mismatch","Resource role ≠ task required role",IF(D98="Date Range Error","Assignment week outside task dates",IF(D98="Hours Gap","Task not fully assigned ("&amp;ROUND(ASSIGNMENTS!I96,1)&amp;"h remaining)","")))</f>
        <v/>
      </c>
    </row>
    <row r="99" spans="1:5" ht="15" customHeight="1" x14ac:dyDescent="0.3">
      <c r="A99" s="5">
        <v>96</v>
      </c>
      <c r="B99" s="5" t="s">
        <v>548</v>
      </c>
      <c r="C99" s="8" t="str">
        <f>ASSIGNMENTS!A97</f>
        <v>A096</v>
      </c>
      <c r="D99" s="8" t="str">
        <f>IF(ASSIGNMENTS!J97="MISMATCH","Role Mismatch",IF(ASSIGNMENTS!K97="OUT OF RANGE","Date Range Error",IF(AND(ASSIGNMENTS!I97&lt;&gt;0,ASSIGNMENTS!I97&lt;&gt;""),"Hours Gap","")))</f>
        <v/>
      </c>
      <c r="E99" s="8" t="str">
        <f>IF(D99="Role Mismatch","Resource role ≠ task required role",IF(D99="Date Range Error","Assignment week outside task dates",IF(D99="Hours Gap","Task not fully assigned ("&amp;ROUND(ASSIGNMENTS!I97,1)&amp;"h remaining)","")))</f>
        <v/>
      </c>
    </row>
    <row r="100" spans="1:5" ht="15" customHeight="1" x14ac:dyDescent="0.3">
      <c r="A100" s="5">
        <v>97</v>
      </c>
      <c r="B100" s="5" t="s">
        <v>548</v>
      </c>
      <c r="C100" s="8" t="str">
        <f>ASSIGNMENTS!A98</f>
        <v>A097</v>
      </c>
      <c r="D100" s="8" t="str">
        <f>IF(ASSIGNMENTS!J98="MISMATCH","Role Mismatch",IF(ASSIGNMENTS!K98="OUT OF RANGE","Date Range Error",IF(AND(ASSIGNMENTS!I98&lt;&gt;0,ASSIGNMENTS!I98&lt;&gt;""),"Hours Gap","")))</f>
        <v/>
      </c>
      <c r="E100" s="8" t="str">
        <f>IF(D100="Role Mismatch","Resource role ≠ task required role",IF(D100="Date Range Error","Assignment week outside task dates",IF(D100="Hours Gap","Task not fully assigned ("&amp;ROUND(ASSIGNMENTS!I98,1)&amp;"h remaining)","")))</f>
        <v/>
      </c>
    </row>
    <row r="101" spans="1:5" ht="15" customHeight="1" x14ac:dyDescent="0.3">
      <c r="A101" s="5">
        <v>98</v>
      </c>
      <c r="B101" s="5" t="s">
        <v>548</v>
      </c>
      <c r="C101" s="8" t="str">
        <f>ASSIGNMENTS!A99</f>
        <v>A098</v>
      </c>
      <c r="D101" s="8" t="str">
        <f>IF(ASSIGNMENTS!J99="MISMATCH","Role Mismatch",IF(ASSIGNMENTS!K99="OUT OF RANGE","Date Range Error",IF(AND(ASSIGNMENTS!I99&lt;&gt;0,ASSIGNMENTS!I99&lt;&gt;""),"Hours Gap","")))</f>
        <v/>
      </c>
      <c r="E101" s="8" t="str">
        <f>IF(D101="Role Mismatch","Resource role ≠ task required role",IF(D101="Date Range Error","Assignment week outside task dates",IF(D101="Hours Gap","Task not fully assigned ("&amp;ROUND(ASSIGNMENTS!I99,1)&amp;"h remaining)","")))</f>
        <v/>
      </c>
    </row>
    <row r="102" spans="1:5" ht="15" customHeight="1" x14ac:dyDescent="0.3">
      <c r="A102" s="5">
        <v>99</v>
      </c>
      <c r="B102" s="5" t="s">
        <v>548</v>
      </c>
      <c r="C102" s="8" t="str">
        <f>ASSIGNMENTS!A100</f>
        <v>A099</v>
      </c>
      <c r="D102" s="8" t="str">
        <f>IF(ASSIGNMENTS!J100="MISMATCH","Role Mismatch",IF(ASSIGNMENTS!K100="OUT OF RANGE","Date Range Error",IF(AND(ASSIGNMENTS!I100&lt;&gt;0,ASSIGNMENTS!I100&lt;&gt;""),"Hours Gap","")))</f>
        <v/>
      </c>
      <c r="E102" s="8" t="str">
        <f>IF(D102="Role Mismatch","Resource role ≠ task required role",IF(D102="Date Range Error","Assignment week outside task dates",IF(D102="Hours Gap","Task not fully assigned ("&amp;ROUND(ASSIGNMENTS!I100,1)&amp;"h remaining)","")))</f>
        <v/>
      </c>
    </row>
    <row r="103" spans="1:5" ht="15" customHeight="1" x14ac:dyDescent="0.3">
      <c r="A103" s="5">
        <v>100</v>
      </c>
      <c r="B103" s="5" t="s">
        <v>548</v>
      </c>
      <c r="C103" s="8" t="str">
        <f>ASSIGNMENTS!A101</f>
        <v>A100</v>
      </c>
      <c r="D103" s="8" t="str">
        <f>IF(ASSIGNMENTS!J101="MISMATCH","Role Mismatch",IF(ASSIGNMENTS!K101="OUT OF RANGE","Date Range Error",IF(AND(ASSIGNMENTS!I101&lt;&gt;0,ASSIGNMENTS!I101&lt;&gt;""),"Hours Gap","")))</f>
        <v/>
      </c>
      <c r="E103" s="8" t="str">
        <f>IF(D103="Role Mismatch","Resource role ≠ task required role",IF(D103="Date Range Error","Assignment week outside task dates",IF(D103="Hours Gap","Task not fully assigned ("&amp;ROUND(ASSIGNMENTS!I101,1)&amp;"h remaining)","")))</f>
        <v/>
      </c>
    </row>
    <row r="104" spans="1:5" ht="15" customHeight="1" x14ac:dyDescent="0.3">
      <c r="A104" s="5">
        <v>101</v>
      </c>
      <c r="B104" s="5" t="s">
        <v>548</v>
      </c>
      <c r="C104" s="8" t="str">
        <f>ASSIGNMENTS!A102</f>
        <v>A101</v>
      </c>
      <c r="D104" s="8" t="str">
        <f>IF(ASSIGNMENTS!J102="MISMATCH","Role Mismatch",IF(ASSIGNMENTS!K102="OUT OF RANGE","Date Range Error",IF(AND(ASSIGNMENTS!I102&lt;&gt;0,ASSIGNMENTS!I102&lt;&gt;""),"Hours Gap","")))</f>
        <v/>
      </c>
      <c r="E104" s="8" t="str">
        <f>IF(D104="Role Mismatch","Resource role ≠ task required role",IF(D104="Date Range Error","Assignment week outside task dates",IF(D104="Hours Gap","Task not fully assigned ("&amp;ROUND(ASSIGNMENTS!I102,1)&amp;"h remaining)","")))</f>
        <v/>
      </c>
    </row>
    <row r="105" spans="1:5" ht="15" customHeight="1" x14ac:dyDescent="0.3">
      <c r="A105" s="5">
        <v>102</v>
      </c>
      <c r="B105" s="5" t="s">
        <v>548</v>
      </c>
      <c r="C105" s="8" t="str">
        <f>ASSIGNMENTS!A103</f>
        <v>A102</v>
      </c>
      <c r="D105" s="8" t="str">
        <f>IF(ASSIGNMENTS!J103="MISMATCH","Role Mismatch",IF(ASSIGNMENTS!K103="OUT OF RANGE","Date Range Error",IF(AND(ASSIGNMENTS!I103&lt;&gt;0,ASSIGNMENTS!I103&lt;&gt;""),"Hours Gap","")))</f>
        <v/>
      </c>
      <c r="E105" s="8" t="str">
        <f>IF(D105="Role Mismatch","Resource role ≠ task required role",IF(D105="Date Range Error","Assignment week outside task dates",IF(D105="Hours Gap","Task not fully assigned ("&amp;ROUND(ASSIGNMENTS!I103,1)&amp;"h remaining)","")))</f>
        <v/>
      </c>
    </row>
    <row r="106" spans="1:5" ht="15" customHeight="1" x14ac:dyDescent="0.3">
      <c r="A106" s="5">
        <v>103</v>
      </c>
      <c r="B106" s="5" t="s">
        <v>548</v>
      </c>
      <c r="C106" s="8" t="str">
        <f>ASSIGNMENTS!A104</f>
        <v>A103</v>
      </c>
      <c r="D106" s="8" t="str">
        <f>IF(ASSIGNMENTS!J104="MISMATCH","Role Mismatch",IF(ASSIGNMENTS!K104="OUT OF RANGE","Date Range Error",IF(AND(ASSIGNMENTS!I104&lt;&gt;0,ASSIGNMENTS!I104&lt;&gt;""),"Hours Gap","")))</f>
        <v/>
      </c>
      <c r="E106" s="8" t="str">
        <f>IF(D106="Role Mismatch","Resource role ≠ task required role",IF(D106="Date Range Error","Assignment week outside task dates",IF(D106="Hours Gap","Task not fully assigned ("&amp;ROUND(ASSIGNMENTS!I104,1)&amp;"h remaining)","")))</f>
        <v/>
      </c>
    </row>
    <row r="107" spans="1:5" ht="15" customHeight="1" x14ac:dyDescent="0.3">
      <c r="A107" s="5">
        <v>104</v>
      </c>
      <c r="B107" s="5" t="s">
        <v>548</v>
      </c>
      <c r="C107" s="8" t="str">
        <f>ASSIGNMENTS!A105</f>
        <v>A104</v>
      </c>
      <c r="D107" s="8" t="str">
        <f>IF(ASSIGNMENTS!J105="MISMATCH","Role Mismatch",IF(ASSIGNMENTS!K105="OUT OF RANGE","Date Range Error",IF(AND(ASSIGNMENTS!I105&lt;&gt;0,ASSIGNMENTS!I105&lt;&gt;""),"Hours Gap","")))</f>
        <v/>
      </c>
      <c r="E107" s="8" t="str">
        <f>IF(D107="Role Mismatch","Resource role ≠ task required role",IF(D107="Date Range Error","Assignment week outside task dates",IF(D107="Hours Gap","Task not fully assigned ("&amp;ROUND(ASSIGNMENTS!I105,1)&amp;"h remaining)","")))</f>
        <v/>
      </c>
    </row>
    <row r="108" spans="1:5" ht="15" customHeight="1" x14ac:dyDescent="0.3">
      <c r="A108" s="5">
        <v>105</v>
      </c>
      <c r="B108" s="5" t="s">
        <v>548</v>
      </c>
      <c r="C108" s="8" t="str">
        <f>ASSIGNMENTS!A106</f>
        <v>A105</v>
      </c>
      <c r="D108" s="8" t="str">
        <f>IF(ASSIGNMENTS!J106="MISMATCH","Role Mismatch",IF(ASSIGNMENTS!K106="OUT OF RANGE","Date Range Error",IF(AND(ASSIGNMENTS!I106&lt;&gt;0,ASSIGNMENTS!I106&lt;&gt;""),"Hours Gap","")))</f>
        <v/>
      </c>
      <c r="E108" s="8" t="str">
        <f>IF(D108="Role Mismatch","Resource role ≠ task required role",IF(D108="Date Range Error","Assignment week outside task dates",IF(D108="Hours Gap","Task not fully assigned ("&amp;ROUND(ASSIGNMENTS!I106,1)&amp;"h remaining)","")))</f>
        <v/>
      </c>
    </row>
    <row r="109" spans="1:5" ht="15" customHeight="1" x14ac:dyDescent="0.3">
      <c r="A109" s="5">
        <v>106</v>
      </c>
      <c r="B109" s="5" t="s">
        <v>548</v>
      </c>
      <c r="C109" s="8" t="str">
        <f>ASSIGNMENTS!A107</f>
        <v>A106</v>
      </c>
      <c r="D109" s="8" t="str">
        <f>IF(ASSIGNMENTS!J107="MISMATCH","Role Mismatch",IF(ASSIGNMENTS!K107="OUT OF RANGE","Date Range Error",IF(AND(ASSIGNMENTS!I107&lt;&gt;0,ASSIGNMENTS!I107&lt;&gt;""),"Hours Gap","")))</f>
        <v/>
      </c>
      <c r="E109" s="8" t="str">
        <f>IF(D109="Role Mismatch","Resource role ≠ task required role",IF(D109="Date Range Error","Assignment week outside task dates",IF(D109="Hours Gap","Task not fully assigned ("&amp;ROUND(ASSIGNMENTS!I107,1)&amp;"h remaining)","")))</f>
        <v/>
      </c>
    </row>
    <row r="110" spans="1:5" ht="15" customHeight="1" x14ac:dyDescent="0.3">
      <c r="A110" s="5">
        <v>107</v>
      </c>
      <c r="B110" s="5" t="s">
        <v>548</v>
      </c>
      <c r="C110" s="8" t="str">
        <f>ASSIGNMENTS!A108</f>
        <v>A107</v>
      </c>
      <c r="D110" s="8" t="str">
        <f>IF(ASSIGNMENTS!J108="MISMATCH","Role Mismatch",IF(ASSIGNMENTS!K108="OUT OF RANGE","Date Range Error",IF(AND(ASSIGNMENTS!I108&lt;&gt;0,ASSIGNMENTS!I108&lt;&gt;""),"Hours Gap","")))</f>
        <v/>
      </c>
      <c r="E110" s="8" t="str">
        <f>IF(D110="Role Mismatch","Resource role ≠ task required role",IF(D110="Date Range Error","Assignment week outside task dates",IF(D110="Hours Gap","Task not fully assigned ("&amp;ROUND(ASSIGNMENTS!I108,1)&amp;"h remaining)","")))</f>
        <v/>
      </c>
    </row>
    <row r="111" spans="1:5" ht="15" customHeight="1" x14ac:dyDescent="0.3">
      <c r="A111" s="5">
        <v>108</v>
      </c>
      <c r="B111" s="5" t="s">
        <v>548</v>
      </c>
      <c r="C111" s="8" t="str">
        <f>ASSIGNMENTS!A109</f>
        <v>A108</v>
      </c>
      <c r="D111" s="8" t="str">
        <f>IF(ASSIGNMENTS!J109="MISMATCH","Role Mismatch",IF(ASSIGNMENTS!K109="OUT OF RANGE","Date Range Error",IF(AND(ASSIGNMENTS!I109&lt;&gt;0,ASSIGNMENTS!I109&lt;&gt;""),"Hours Gap","")))</f>
        <v/>
      </c>
      <c r="E111" s="8" t="str">
        <f>IF(D111="Role Mismatch","Resource role ≠ task required role",IF(D111="Date Range Error","Assignment week outside task dates",IF(D111="Hours Gap","Task not fully assigned ("&amp;ROUND(ASSIGNMENTS!I109,1)&amp;"h remaining)","")))</f>
        <v/>
      </c>
    </row>
    <row r="112" spans="1:5" ht="15" customHeight="1" x14ac:dyDescent="0.3">
      <c r="A112" s="5">
        <v>109</v>
      </c>
      <c r="B112" s="5" t="s">
        <v>548</v>
      </c>
      <c r="C112" s="8" t="str">
        <f>ASSIGNMENTS!A110</f>
        <v>A109</v>
      </c>
      <c r="D112" s="8" t="str">
        <f>IF(ASSIGNMENTS!J110="MISMATCH","Role Mismatch",IF(ASSIGNMENTS!K110="OUT OF RANGE","Date Range Error",IF(AND(ASSIGNMENTS!I110&lt;&gt;0,ASSIGNMENTS!I110&lt;&gt;""),"Hours Gap","")))</f>
        <v/>
      </c>
      <c r="E112" s="8" t="str">
        <f>IF(D112="Role Mismatch","Resource role ≠ task required role",IF(D112="Date Range Error","Assignment week outside task dates",IF(D112="Hours Gap","Task not fully assigned ("&amp;ROUND(ASSIGNMENTS!I110,1)&amp;"h remaining)","")))</f>
        <v/>
      </c>
    </row>
    <row r="113" spans="1:5" ht="15" customHeight="1" x14ac:dyDescent="0.3">
      <c r="A113" s="5">
        <v>110</v>
      </c>
      <c r="B113" s="5" t="s">
        <v>548</v>
      </c>
      <c r="C113" s="8" t="str">
        <f>ASSIGNMENTS!A111</f>
        <v>A110</v>
      </c>
      <c r="D113" s="8" t="str">
        <f>IF(ASSIGNMENTS!J111="MISMATCH","Role Mismatch",IF(ASSIGNMENTS!K111="OUT OF RANGE","Date Range Error",IF(AND(ASSIGNMENTS!I111&lt;&gt;0,ASSIGNMENTS!I111&lt;&gt;""),"Hours Gap","")))</f>
        <v/>
      </c>
      <c r="E113" s="8" t="str">
        <f>IF(D113="Role Mismatch","Resource role ≠ task required role",IF(D113="Date Range Error","Assignment week outside task dates",IF(D113="Hours Gap","Task not fully assigned ("&amp;ROUND(ASSIGNMENTS!I111,1)&amp;"h remaining)","")))</f>
        <v/>
      </c>
    </row>
    <row r="114" spans="1:5" ht="15" customHeight="1" x14ac:dyDescent="0.3">
      <c r="A114" s="5">
        <v>111</v>
      </c>
      <c r="B114" s="5" t="s">
        <v>548</v>
      </c>
      <c r="C114" s="8" t="str">
        <f>ASSIGNMENTS!A112</f>
        <v>A111</v>
      </c>
      <c r="D114" s="8" t="str">
        <f>IF(ASSIGNMENTS!J112="MISMATCH","Role Mismatch",IF(ASSIGNMENTS!K112="OUT OF RANGE","Date Range Error",IF(AND(ASSIGNMENTS!I112&lt;&gt;0,ASSIGNMENTS!I112&lt;&gt;""),"Hours Gap","")))</f>
        <v/>
      </c>
      <c r="E114" s="8" t="str">
        <f>IF(D114="Role Mismatch","Resource role ≠ task required role",IF(D114="Date Range Error","Assignment week outside task dates",IF(D114="Hours Gap","Task not fully assigned ("&amp;ROUND(ASSIGNMENTS!I112,1)&amp;"h remaining)","")))</f>
        <v/>
      </c>
    </row>
    <row r="115" spans="1:5" ht="15" customHeight="1" x14ac:dyDescent="0.3">
      <c r="A115" s="5">
        <v>112</v>
      </c>
      <c r="B115" s="5" t="s">
        <v>548</v>
      </c>
      <c r="C115" s="8" t="str">
        <f>ASSIGNMENTS!A113</f>
        <v>A112</v>
      </c>
      <c r="D115" s="8" t="str">
        <f>IF(ASSIGNMENTS!J113="MISMATCH","Role Mismatch",IF(ASSIGNMENTS!K113="OUT OF RANGE","Date Range Error",IF(AND(ASSIGNMENTS!I113&lt;&gt;0,ASSIGNMENTS!I113&lt;&gt;""),"Hours Gap","")))</f>
        <v/>
      </c>
      <c r="E115" s="8" t="str">
        <f>IF(D115="Role Mismatch","Resource role ≠ task required role",IF(D115="Date Range Error","Assignment week outside task dates",IF(D115="Hours Gap","Task not fully assigned ("&amp;ROUND(ASSIGNMENTS!I113,1)&amp;"h remaining)","")))</f>
        <v/>
      </c>
    </row>
    <row r="116" spans="1:5" ht="15" customHeight="1" x14ac:dyDescent="0.3">
      <c r="A116" s="5">
        <v>113</v>
      </c>
      <c r="B116" s="5" t="s">
        <v>548</v>
      </c>
      <c r="C116" s="8" t="str">
        <f>ASSIGNMENTS!A114</f>
        <v>A113</v>
      </c>
      <c r="D116" s="8" t="str">
        <f>IF(ASSIGNMENTS!J114="MISMATCH","Role Mismatch",IF(ASSIGNMENTS!K114="OUT OF RANGE","Date Range Error",IF(AND(ASSIGNMENTS!I114&lt;&gt;0,ASSIGNMENTS!I114&lt;&gt;""),"Hours Gap","")))</f>
        <v/>
      </c>
      <c r="E116" s="8" t="str">
        <f>IF(D116="Role Mismatch","Resource role ≠ task required role",IF(D116="Date Range Error","Assignment week outside task dates",IF(D116="Hours Gap","Task not fully assigned ("&amp;ROUND(ASSIGNMENTS!I114,1)&amp;"h remaining)","")))</f>
        <v/>
      </c>
    </row>
    <row r="117" spans="1:5" ht="15" customHeight="1" x14ac:dyDescent="0.3">
      <c r="A117" s="5">
        <v>114</v>
      </c>
      <c r="B117" s="5" t="s">
        <v>548</v>
      </c>
      <c r="C117" s="8" t="str">
        <f>ASSIGNMENTS!A115</f>
        <v>A114</v>
      </c>
      <c r="D117" s="8" t="str">
        <f>IF(ASSIGNMENTS!J115="MISMATCH","Role Mismatch",IF(ASSIGNMENTS!K115="OUT OF RANGE","Date Range Error",IF(AND(ASSIGNMENTS!I115&lt;&gt;0,ASSIGNMENTS!I115&lt;&gt;""),"Hours Gap","")))</f>
        <v/>
      </c>
      <c r="E117" s="8" t="str">
        <f>IF(D117="Role Mismatch","Resource role ≠ task required role",IF(D117="Date Range Error","Assignment week outside task dates",IF(D117="Hours Gap","Task not fully assigned ("&amp;ROUND(ASSIGNMENTS!I115,1)&amp;"h remaining)","")))</f>
        <v/>
      </c>
    </row>
    <row r="118" spans="1:5" ht="15" customHeight="1" x14ac:dyDescent="0.3">
      <c r="A118" s="5">
        <v>115</v>
      </c>
      <c r="B118" s="5" t="s">
        <v>548</v>
      </c>
      <c r="C118" s="8" t="str">
        <f>ASSIGNMENTS!A116</f>
        <v>A115</v>
      </c>
      <c r="D118" s="8" t="str">
        <f>IF(ASSIGNMENTS!J116="MISMATCH","Role Mismatch",IF(ASSIGNMENTS!K116="OUT OF RANGE","Date Range Error",IF(AND(ASSIGNMENTS!I116&lt;&gt;0,ASSIGNMENTS!I116&lt;&gt;""),"Hours Gap","")))</f>
        <v/>
      </c>
      <c r="E118" s="8" t="str">
        <f>IF(D118="Role Mismatch","Resource role ≠ task required role",IF(D118="Date Range Error","Assignment week outside task dates",IF(D118="Hours Gap","Task not fully assigned ("&amp;ROUND(ASSIGNMENTS!I116,1)&amp;"h remaining)","")))</f>
        <v/>
      </c>
    </row>
    <row r="119" spans="1:5" ht="15" customHeight="1" x14ac:dyDescent="0.3">
      <c r="A119" s="5">
        <v>116</v>
      </c>
      <c r="B119" s="5" t="s">
        <v>548</v>
      </c>
      <c r="C119" s="8" t="str">
        <f>ASSIGNMENTS!A117</f>
        <v>A116</v>
      </c>
      <c r="D119" s="8" t="str">
        <f>IF(ASSIGNMENTS!J117="MISMATCH","Role Mismatch",IF(ASSIGNMENTS!K117="OUT OF RANGE","Date Range Error",IF(AND(ASSIGNMENTS!I117&lt;&gt;0,ASSIGNMENTS!I117&lt;&gt;""),"Hours Gap","")))</f>
        <v/>
      </c>
      <c r="E119" s="8" t="str">
        <f>IF(D119="Role Mismatch","Resource role ≠ task required role",IF(D119="Date Range Error","Assignment week outside task dates",IF(D119="Hours Gap","Task not fully assigned ("&amp;ROUND(ASSIGNMENTS!I117,1)&amp;"h remaining)","")))</f>
        <v/>
      </c>
    </row>
    <row r="120" spans="1:5" ht="15" customHeight="1" x14ac:dyDescent="0.3">
      <c r="A120" s="5">
        <v>117</v>
      </c>
      <c r="B120" s="5" t="s">
        <v>548</v>
      </c>
      <c r="C120" s="8" t="str">
        <f>ASSIGNMENTS!A118</f>
        <v>A117</v>
      </c>
      <c r="D120" s="8" t="str">
        <f>IF(ASSIGNMENTS!J118="MISMATCH","Role Mismatch",IF(ASSIGNMENTS!K118="OUT OF RANGE","Date Range Error",IF(AND(ASSIGNMENTS!I118&lt;&gt;0,ASSIGNMENTS!I118&lt;&gt;""),"Hours Gap","")))</f>
        <v/>
      </c>
      <c r="E120" s="8" t="str">
        <f>IF(D120="Role Mismatch","Resource role ≠ task required role",IF(D120="Date Range Error","Assignment week outside task dates",IF(D120="Hours Gap","Task not fully assigned ("&amp;ROUND(ASSIGNMENTS!I118,1)&amp;"h remaining)","")))</f>
        <v/>
      </c>
    </row>
    <row r="121" spans="1:5" ht="15" customHeight="1" x14ac:dyDescent="0.3">
      <c r="A121" s="5">
        <v>118</v>
      </c>
      <c r="B121" s="5" t="s">
        <v>548</v>
      </c>
      <c r="C121" s="8" t="str">
        <f>ASSIGNMENTS!A119</f>
        <v>A118</v>
      </c>
      <c r="D121" s="8" t="str">
        <f>IF(ASSIGNMENTS!J119="MISMATCH","Role Mismatch",IF(ASSIGNMENTS!K119="OUT OF RANGE","Date Range Error",IF(AND(ASSIGNMENTS!I119&lt;&gt;0,ASSIGNMENTS!I119&lt;&gt;""),"Hours Gap","")))</f>
        <v/>
      </c>
      <c r="E121" s="8" t="str">
        <f>IF(D121="Role Mismatch","Resource role ≠ task required role",IF(D121="Date Range Error","Assignment week outside task dates",IF(D121="Hours Gap","Task not fully assigned ("&amp;ROUND(ASSIGNMENTS!I119,1)&amp;"h remaining)","")))</f>
        <v/>
      </c>
    </row>
    <row r="122" spans="1:5" ht="15" customHeight="1" x14ac:dyDescent="0.3">
      <c r="A122" s="5">
        <v>119</v>
      </c>
      <c r="B122" s="5" t="s">
        <v>548</v>
      </c>
      <c r="C122" s="8" t="str">
        <f>ASSIGNMENTS!A120</f>
        <v>A119</v>
      </c>
      <c r="D122" s="8" t="str">
        <f>IF(ASSIGNMENTS!J120="MISMATCH","Role Mismatch",IF(ASSIGNMENTS!K120="OUT OF RANGE","Date Range Error",IF(AND(ASSIGNMENTS!I120&lt;&gt;0,ASSIGNMENTS!I120&lt;&gt;""),"Hours Gap","")))</f>
        <v/>
      </c>
      <c r="E122" s="8" t="str">
        <f>IF(D122="Role Mismatch","Resource role ≠ task required role",IF(D122="Date Range Error","Assignment week outside task dates",IF(D122="Hours Gap","Task not fully assigned ("&amp;ROUND(ASSIGNMENTS!I120,1)&amp;"h remaining)","")))</f>
        <v/>
      </c>
    </row>
    <row r="123" spans="1:5" ht="15" customHeight="1" x14ac:dyDescent="0.3">
      <c r="A123" s="5">
        <v>120</v>
      </c>
      <c r="B123" s="5" t="s">
        <v>548</v>
      </c>
      <c r="C123" s="8" t="str">
        <f>ASSIGNMENTS!A121</f>
        <v>A120</v>
      </c>
      <c r="D123" s="8" t="str">
        <f>IF(ASSIGNMENTS!J121="MISMATCH","Role Mismatch",IF(ASSIGNMENTS!K121="OUT OF RANGE","Date Range Error",IF(AND(ASSIGNMENTS!I121&lt;&gt;0,ASSIGNMENTS!I121&lt;&gt;""),"Hours Gap","")))</f>
        <v/>
      </c>
      <c r="E123" s="8" t="str">
        <f>IF(D123="Role Mismatch","Resource role ≠ task required role",IF(D123="Date Range Error","Assignment week outside task dates",IF(D123="Hours Gap","Task not fully assigned ("&amp;ROUND(ASSIGNMENTS!I121,1)&amp;"h remaining)","")))</f>
        <v/>
      </c>
    </row>
    <row r="124" spans="1:5" ht="15" customHeight="1" x14ac:dyDescent="0.3">
      <c r="A124" s="5">
        <v>121</v>
      </c>
      <c r="B124" s="5" t="s">
        <v>548</v>
      </c>
      <c r="C124" s="8" t="str">
        <f>ASSIGNMENTS!A122</f>
        <v>A121</v>
      </c>
      <c r="D124" s="8" t="str">
        <f>IF(ASSIGNMENTS!J122="MISMATCH","Role Mismatch",IF(ASSIGNMENTS!K122="OUT OF RANGE","Date Range Error",IF(AND(ASSIGNMENTS!I122&lt;&gt;0,ASSIGNMENTS!I122&lt;&gt;""),"Hours Gap","")))</f>
        <v/>
      </c>
      <c r="E124" s="8" t="str">
        <f>IF(D124="Role Mismatch","Resource role ≠ task required role",IF(D124="Date Range Error","Assignment week outside task dates",IF(D124="Hours Gap","Task not fully assigned ("&amp;ROUND(ASSIGNMENTS!I122,1)&amp;"h remaining)","")))</f>
        <v/>
      </c>
    </row>
    <row r="125" spans="1:5" ht="15" customHeight="1" x14ac:dyDescent="0.3">
      <c r="A125" s="5">
        <v>122</v>
      </c>
      <c r="B125" s="5" t="s">
        <v>548</v>
      </c>
      <c r="C125" s="8" t="str">
        <f>ASSIGNMENTS!A123</f>
        <v>A122</v>
      </c>
      <c r="D125" s="8" t="str">
        <f>IF(ASSIGNMENTS!J123="MISMATCH","Role Mismatch",IF(ASSIGNMENTS!K123="OUT OF RANGE","Date Range Error",IF(AND(ASSIGNMENTS!I123&lt;&gt;0,ASSIGNMENTS!I123&lt;&gt;""),"Hours Gap","")))</f>
        <v/>
      </c>
      <c r="E125" s="8" t="str">
        <f>IF(D125="Role Mismatch","Resource role ≠ task required role",IF(D125="Date Range Error","Assignment week outside task dates",IF(D125="Hours Gap","Task not fully assigned ("&amp;ROUND(ASSIGNMENTS!I123,1)&amp;"h remaining)","")))</f>
        <v/>
      </c>
    </row>
    <row r="126" spans="1:5" ht="15" customHeight="1" x14ac:dyDescent="0.3">
      <c r="A126" s="5">
        <v>123</v>
      </c>
      <c r="B126" s="5" t="s">
        <v>548</v>
      </c>
      <c r="C126" s="8" t="str">
        <f>ASSIGNMENTS!A124</f>
        <v>A123</v>
      </c>
      <c r="D126" s="8" t="str">
        <f>IF(ASSIGNMENTS!J124="MISMATCH","Role Mismatch",IF(ASSIGNMENTS!K124="OUT OF RANGE","Date Range Error",IF(AND(ASSIGNMENTS!I124&lt;&gt;0,ASSIGNMENTS!I124&lt;&gt;""),"Hours Gap","")))</f>
        <v/>
      </c>
      <c r="E126" s="8" t="str">
        <f>IF(D126="Role Mismatch","Resource role ≠ task required role",IF(D126="Date Range Error","Assignment week outside task dates",IF(D126="Hours Gap","Task not fully assigned ("&amp;ROUND(ASSIGNMENTS!I124,1)&amp;"h remaining)","")))</f>
        <v/>
      </c>
    </row>
    <row r="127" spans="1:5" ht="15" customHeight="1" x14ac:dyDescent="0.3">
      <c r="A127" s="5">
        <v>124</v>
      </c>
      <c r="B127" s="5" t="s">
        <v>548</v>
      </c>
      <c r="C127" s="8" t="str">
        <f>ASSIGNMENTS!A125</f>
        <v>A124</v>
      </c>
      <c r="D127" s="8" t="str">
        <f>IF(ASSIGNMENTS!J125="MISMATCH","Role Mismatch",IF(ASSIGNMENTS!K125="OUT OF RANGE","Date Range Error",IF(AND(ASSIGNMENTS!I125&lt;&gt;0,ASSIGNMENTS!I125&lt;&gt;""),"Hours Gap","")))</f>
        <v/>
      </c>
      <c r="E127" s="8" t="str">
        <f>IF(D127="Role Mismatch","Resource role ≠ task required role",IF(D127="Date Range Error","Assignment week outside task dates",IF(D127="Hours Gap","Task not fully assigned ("&amp;ROUND(ASSIGNMENTS!I125,1)&amp;"h remaining)","")))</f>
        <v/>
      </c>
    </row>
    <row r="128" spans="1:5" ht="15" customHeight="1" x14ac:dyDescent="0.3">
      <c r="A128" s="5">
        <v>125</v>
      </c>
      <c r="B128" s="5" t="s">
        <v>548</v>
      </c>
      <c r="C128" s="8" t="str">
        <f>ASSIGNMENTS!A126</f>
        <v>A125</v>
      </c>
      <c r="D128" s="8" t="str">
        <f>IF(ASSIGNMENTS!J126="MISMATCH","Role Mismatch",IF(ASSIGNMENTS!K126="OUT OF RANGE","Date Range Error",IF(AND(ASSIGNMENTS!I126&lt;&gt;0,ASSIGNMENTS!I126&lt;&gt;""),"Hours Gap","")))</f>
        <v/>
      </c>
      <c r="E128" s="8" t="str">
        <f>IF(D128="Role Mismatch","Resource role ≠ task required role",IF(D128="Date Range Error","Assignment week outside task dates",IF(D128="Hours Gap","Task not fully assigned ("&amp;ROUND(ASSIGNMENTS!I126,1)&amp;"h remaining)","")))</f>
        <v/>
      </c>
    </row>
    <row r="129" spans="1:5" ht="15" customHeight="1" x14ac:dyDescent="0.3">
      <c r="A129" s="5">
        <v>126</v>
      </c>
      <c r="B129" s="5" t="s">
        <v>548</v>
      </c>
      <c r="C129" s="8" t="str">
        <f>ASSIGNMENTS!A127</f>
        <v>A126</v>
      </c>
      <c r="D129" s="8" t="str">
        <f>IF(ASSIGNMENTS!J127="MISMATCH","Role Mismatch",IF(ASSIGNMENTS!K127="OUT OF RANGE","Date Range Error",IF(AND(ASSIGNMENTS!I127&lt;&gt;0,ASSIGNMENTS!I127&lt;&gt;""),"Hours Gap","")))</f>
        <v/>
      </c>
      <c r="E129" s="8" t="str">
        <f>IF(D129="Role Mismatch","Resource role ≠ task required role",IF(D129="Date Range Error","Assignment week outside task dates",IF(D129="Hours Gap","Task not fully assigned ("&amp;ROUND(ASSIGNMENTS!I127,1)&amp;"h remaining)","")))</f>
        <v/>
      </c>
    </row>
    <row r="130" spans="1:5" ht="15" customHeight="1" x14ac:dyDescent="0.3">
      <c r="A130" s="5">
        <v>127</v>
      </c>
      <c r="B130" s="5" t="s">
        <v>548</v>
      </c>
      <c r="C130" s="8" t="str">
        <f>ASSIGNMENTS!A128</f>
        <v>A127</v>
      </c>
      <c r="D130" s="8" t="str">
        <f>IF(ASSIGNMENTS!J128="MISMATCH","Role Mismatch",IF(ASSIGNMENTS!K128="OUT OF RANGE","Date Range Error",IF(AND(ASSIGNMENTS!I128&lt;&gt;0,ASSIGNMENTS!I128&lt;&gt;""),"Hours Gap","")))</f>
        <v/>
      </c>
      <c r="E130" s="8" t="str">
        <f>IF(D130="Role Mismatch","Resource role ≠ task required role",IF(D130="Date Range Error","Assignment week outside task dates",IF(D130="Hours Gap","Task not fully assigned ("&amp;ROUND(ASSIGNMENTS!I128,1)&amp;"h remaining)","")))</f>
        <v/>
      </c>
    </row>
    <row r="131" spans="1:5" ht="15" customHeight="1" x14ac:dyDescent="0.3">
      <c r="A131" s="5">
        <v>128</v>
      </c>
      <c r="B131" s="5" t="s">
        <v>548</v>
      </c>
      <c r="C131" s="8" t="str">
        <f>ASSIGNMENTS!A129</f>
        <v>A128</v>
      </c>
      <c r="D131" s="8" t="str">
        <f>IF(ASSIGNMENTS!J129="MISMATCH","Role Mismatch",IF(ASSIGNMENTS!K129="OUT OF RANGE","Date Range Error",IF(AND(ASSIGNMENTS!I129&lt;&gt;0,ASSIGNMENTS!I129&lt;&gt;""),"Hours Gap","")))</f>
        <v/>
      </c>
      <c r="E131" s="8" t="str">
        <f>IF(D131="Role Mismatch","Resource role ≠ task required role",IF(D131="Date Range Error","Assignment week outside task dates",IF(D131="Hours Gap","Task not fully assigned ("&amp;ROUND(ASSIGNMENTS!I129,1)&amp;"h remaining)","")))</f>
        <v/>
      </c>
    </row>
    <row r="132" spans="1:5" ht="15" customHeight="1" x14ac:dyDescent="0.3">
      <c r="A132" s="5">
        <v>129</v>
      </c>
      <c r="B132" s="5" t="s">
        <v>548</v>
      </c>
      <c r="C132" s="8" t="str">
        <f>ASSIGNMENTS!A130</f>
        <v>A129</v>
      </c>
      <c r="D132" s="8" t="str">
        <f>IF(ASSIGNMENTS!J130="MISMATCH","Role Mismatch",IF(ASSIGNMENTS!K130="OUT OF RANGE","Date Range Error",IF(AND(ASSIGNMENTS!I130&lt;&gt;0,ASSIGNMENTS!I130&lt;&gt;""),"Hours Gap","")))</f>
        <v/>
      </c>
      <c r="E132" s="8" t="str">
        <f>IF(D132="Role Mismatch","Resource role ≠ task required role",IF(D132="Date Range Error","Assignment week outside task dates",IF(D132="Hours Gap","Task not fully assigned ("&amp;ROUND(ASSIGNMENTS!I130,1)&amp;"h remaining)","")))</f>
        <v/>
      </c>
    </row>
    <row r="133" spans="1:5" ht="15" customHeight="1" x14ac:dyDescent="0.3">
      <c r="A133" s="5">
        <v>130</v>
      </c>
      <c r="B133" s="5" t="s">
        <v>548</v>
      </c>
      <c r="C133" s="8" t="str">
        <f>ASSIGNMENTS!A131</f>
        <v>A130</v>
      </c>
      <c r="D133" s="8" t="str">
        <f>IF(ASSIGNMENTS!J131="MISMATCH","Role Mismatch",IF(ASSIGNMENTS!K131="OUT OF RANGE","Date Range Error",IF(AND(ASSIGNMENTS!I131&lt;&gt;0,ASSIGNMENTS!I131&lt;&gt;""),"Hours Gap","")))</f>
        <v/>
      </c>
      <c r="E133" s="8" t="str">
        <f>IF(D133="Role Mismatch","Resource role ≠ task required role",IF(D133="Date Range Error","Assignment week outside task dates",IF(D133="Hours Gap","Task not fully assigned ("&amp;ROUND(ASSIGNMENTS!I131,1)&amp;"h remaining)","")))</f>
        <v/>
      </c>
    </row>
    <row r="134" spans="1:5" ht="15" customHeight="1" x14ac:dyDescent="0.3">
      <c r="A134" s="5">
        <v>131</v>
      </c>
      <c r="B134" s="5" t="s">
        <v>548</v>
      </c>
      <c r="C134" s="8" t="str">
        <f>ASSIGNMENTS!A132</f>
        <v>A131</v>
      </c>
      <c r="D134" s="8" t="str">
        <f>IF(ASSIGNMENTS!J132="MISMATCH","Role Mismatch",IF(ASSIGNMENTS!K132="OUT OF RANGE","Date Range Error",IF(AND(ASSIGNMENTS!I132&lt;&gt;0,ASSIGNMENTS!I132&lt;&gt;""),"Hours Gap","")))</f>
        <v/>
      </c>
      <c r="E134" s="8" t="str">
        <f>IF(D134="Role Mismatch","Resource role ≠ task required role",IF(D134="Date Range Error","Assignment week outside task dates",IF(D134="Hours Gap","Task not fully assigned ("&amp;ROUND(ASSIGNMENTS!I132,1)&amp;"h remaining)","")))</f>
        <v/>
      </c>
    </row>
    <row r="135" spans="1:5" ht="15" customHeight="1" x14ac:dyDescent="0.3">
      <c r="A135" s="5">
        <v>132</v>
      </c>
      <c r="B135" s="5" t="s">
        <v>548</v>
      </c>
      <c r="C135" s="8" t="str">
        <f>ASSIGNMENTS!A133</f>
        <v>A132</v>
      </c>
      <c r="D135" s="8" t="str">
        <f>IF(ASSIGNMENTS!J133="MISMATCH","Role Mismatch",IF(ASSIGNMENTS!K133="OUT OF RANGE","Date Range Error",IF(AND(ASSIGNMENTS!I133&lt;&gt;0,ASSIGNMENTS!I133&lt;&gt;""),"Hours Gap","")))</f>
        <v/>
      </c>
      <c r="E135" s="8" t="str">
        <f>IF(D135="Role Mismatch","Resource role ≠ task required role",IF(D135="Date Range Error","Assignment week outside task dates",IF(D135="Hours Gap","Task not fully assigned ("&amp;ROUND(ASSIGNMENTS!I133,1)&amp;"h remaining)","")))</f>
        <v/>
      </c>
    </row>
    <row r="136" spans="1:5" ht="15" customHeight="1" x14ac:dyDescent="0.3">
      <c r="A136" s="5">
        <v>133</v>
      </c>
      <c r="B136" s="5" t="s">
        <v>548</v>
      </c>
      <c r="C136" s="8" t="str">
        <f>ASSIGNMENTS!A134</f>
        <v>A133</v>
      </c>
      <c r="D136" s="8" t="str">
        <f>IF(ASSIGNMENTS!J134="MISMATCH","Role Mismatch",IF(ASSIGNMENTS!K134="OUT OF RANGE","Date Range Error",IF(AND(ASSIGNMENTS!I134&lt;&gt;0,ASSIGNMENTS!I134&lt;&gt;""),"Hours Gap","")))</f>
        <v/>
      </c>
      <c r="E136" s="8" t="str">
        <f>IF(D136="Role Mismatch","Resource role ≠ task required role",IF(D136="Date Range Error","Assignment week outside task dates",IF(D136="Hours Gap","Task not fully assigned ("&amp;ROUND(ASSIGNMENTS!I134,1)&amp;"h remaining)","")))</f>
        <v/>
      </c>
    </row>
    <row r="137" spans="1:5" ht="15" customHeight="1" x14ac:dyDescent="0.3">
      <c r="A137" s="5">
        <v>134</v>
      </c>
      <c r="B137" s="5" t="s">
        <v>548</v>
      </c>
      <c r="C137" s="8" t="str">
        <f>ASSIGNMENTS!A135</f>
        <v>A134</v>
      </c>
      <c r="D137" s="8" t="str">
        <f>IF(ASSIGNMENTS!J135="MISMATCH","Role Mismatch",IF(ASSIGNMENTS!K135="OUT OF RANGE","Date Range Error",IF(AND(ASSIGNMENTS!I135&lt;&gt;0,ASSIGNMENTS!I135&lt;&gt;""),"Hours Gap","")))</f>
        <v/>
      </c>
      <c r="E137" s="8" t="str">
        <f>IF(D137="Role Mismatch","Resource role ≠ task required role",IF(D137="Date Range Error","Assignment week outside task dates",IF(D137="Hours Gap","Task not fully assigned ("&amp;ROUND(ASSIGNMENTS!I135,1)&amp;"h remaining)","")))</f>
        <v/>
      </c>
    </row>
    <row r="138" spans="1:5" ht="15" customHeight="1" x14ac:dyDescent="0.3">
      <c r="A138" s="5">
        <v>135</v>
      </c>
      <c r="B138" s="5" t="s">
        <v>548</v>
      </c>
      <c r="C138" s="8" t="str">
        <f>ASSIGNMENTS!A136</f>
        <v>A135</v>
      </c>
      <c r="D138" s="8" t="str">
        <f>IF(ASSIGNMENTS!J136="MISMATCH","Role Mismatch",IF(ASSIGNMENTS!K136="OUT OF RANGE","Date Range Error",IF(AND(ASSIGNMENTS!I136&lt;&gt;0,ASSIGNMENTS!I136&lt;&gt;""),"Hours Gap","")))</f>
        <v/>
      </c>
      <c r="E138" s="8" t="str">
        <f>IF(D138="Role Mismatch","Resource role ≠ task required role",IF(D138="Date Range Error","Assignment week outside task dates",IF(D138="Hours Gap","Task not fully assigned ("&amp;ROUND(ASSIGNMENTS!I136,1)&amp;"h remaining)","")))</f>
        <v/>
      </c>
    </row>
    <row r="139" spans="1:5" ht="15" customHeight="1" x14ac:dyDescent="0.3">
      <c r="A139" s="5">
        <v>136</v>
      </c>
      <c r="B139" s="5" t="s">
        <v>548</v>
      </c>
      <c r="C139" s="8" t="str">
        <f>ASSIGNMENTS!A137</f>
        <v>A136</v>
      </c>
      <c r="D139" s="8" t="str">
        <f>IF(ASSIGNMENTS!J137="MISMATCH","Role Mismatch",IF(ASSIGNMENTS!K137="OUT OF RANGE","Date Range Error",IF(AND(ASSIGNMENTS!I137&lt;&gt;0,ASSIGNMENTS!I137&lt;&gt;""),"Hours Gap","")))</f>
        <v/>
      </c>
      <c r="E139" s="8" t="str">
        <f>IF(D139="Role Mismatch","Resource role ≠ task required role",IF(D139="Date Range Error","Assignment week outside task dates",IF(D139="Hours Gap","Task not fully assigned ("&amp;ROUND(ASSIGNMENTS!I137,1)&amp;"h remaining)","")))</f>
        <v/>
      </c>
    </row>
    <row r="140" spans="1:5" ht="15" customHeight="1" x14ac:dyDescent="0.3">
      <c r="A140" s="5">
        <v>137</v>
      </c>
      <c r="B140" s="5" t="s">
        <v>548</v>
      </c>
      <c r="C140" s="8" t="str">
        <f>ASSIGNMENTS!A138</f>
        <v>A137</v>
      </c>
      <c r="D140" s="8" t="str">
        <f>IF(ASSIGNMENTS!J138="MISMATCH","Role Mismatch",IF(ASSIGNMENTS!K138="OUT OF RANGE","Date Range Error",IF(AND(ASSIGNMENTS!I138&lt;&gt;0,ASSIGNMENTS!I138&lt;&gt;""),"Hours Gap","")))</f>
        <v/>
      </c>
      <c r="E140" s="8" t="str">
        <f>IF(D140="Role Mismatch","Resource role ≠ task required role",IF(D140="Date Range Error","Assignment week outside task dates",IF(D140="Hours Gap","Task not fully assigned ("&amp;ROUND(ASSIGNMENTS!I138,1)&amp;"h remaining)","")))</f>
        <v/>
      </c>
    </row>
    <row r="141" spans="1:5" ht="15" customHeight="1" x14ac:dyDescent="0.3">
      <c r="A141" s="5">
        <v>138</v>
      </c>
      <c r="B141" s="5" t="s">
        <v>548</v>
      </c>
      <c r="C141" s="8" t="str">
        <f>ASSIGNMENTS!A139</f>
        <v>A138</v>
      </c>
      <c r="D141" s="8" t="str">
        <f>IF(ASSIGNMENTS!J139="MISMATCH","Role Mismatch",IF(ASSIGNMENTS!K139="OUT OF RANGE","Date Range Error",IF(AND(ASSIGNMENTS!I139&lt;&gt;0,ASSIGNMENTS!I139&lt;&gt;""),"Hours Gap","")))</f>
        <v/>
      </c>
      <c r="E141" s="8" t="str">
        <f>IF(D141="Role Mismatch","Resource role ≠ task required role",IF(D141="Date Range Error","Assignment week outside task dates",IF(D141="Hours Gap","Task not fully assigned ("&amp;ROUND(ASSIGNMENTS!I139,1)&amp;"h remaining)","")))</f>
        <v/>
      </c>
    </row>
    <row r="142" spans="1:5" ht="15" customHeight="1" x14ac:dyDescent="0.3">
      <c r="A142" s="5">
        <v>139</v>
      </c>
      <c r="B142" s="5" t="s">
        <v>548</v>
      </c>
      <c r="C142" s="8" t="str">
        <f>ASSIGNMENTS!A140</f>
        <v>A139</v>
      </c>
      <c r="D142" s="8" t="str">
        <f>IF(ASSIGNMENTS!J140="MISMATCH","Role Mismatch",IF(ASSIGNMENTS!K140="OUT OF RANGE","Date Range Error",IF(AND(ASSIGNMENTS!I140&lt;&gt;0,ASSIGNMENTS!I140&lt;&gt;""),"Hours Gap","")))</f>
        <v/>
      </c>
      <c r="E142" s="8" t="str">
        <f>IF(D142="Role Mismatch","Resource role ≠ task required role",IF(D142="Date Range Error","Assignment week outside task dates",IF(D142="Hours Gap","Task not fully assigned ("&amp;ROUND(ASSIGNMENTS!I140,1)&amp;"h remaining)","")))</f>
        <v/>
      </c>
    </row>
    <row r="143" spans="1:5" ht="15" customHeight="1" x14ac:dyDescent="0.3">
      <c r="A143" s="5">
        <v>140</v>
      </c>
      <c r="B143" s="5" t="s">
        <v>548</v>
      </c>
      <c r="C143" s="8" t="str">
        <f>ASSIGNMENTS!A141</f>
        <v>A140</v>
      </c>
      <c r="D143" s="8" t="str">
        <f>IF(ASSIGNMENTS!J141="MISMATCH","Role Mismatch",IF(ASSIGNMENTS!K141="OUT OF RANGE","Date Range Error",IF(AND(ASSIGNMENTS!I141&lt;&gt;0,ASSIGNMENTS!I141&lt;&gt;""),"Hours Gap","")))</f>
        <v/>
      </c>
      <c r="E143" s="8" t="str">
        <f>IF(D143="Role Mismatch","Resource role ≠ task required role",IF(D143="Date Range Error","Assignment week outside task dates",IF(D143="Hours Gap","Task not fully assigned ("&amp;ROUND(ASSIGNMENTS!I141,1)&amp;"h remaining)","")))</f>
        <v/>
      </c>
    </row>
    <row r="144" spans="1:5" ht="15" customHeight="1" x14ac:dyDescent="0.3">
      <c r="A144" s="5">
        <v>141</v>
      </c>
      <c r="B144" s="5" t="s">
        <v>548</v>
      </c>
      <c r="C144" s="8" t="str">
        <f>ASSIGNMENTS!A142</f>
        <v>A141</v>
      </c>
      <c r="D144" s="8" t="str">
        <f>IF(ASSIGNMENTS!J142="MISMATCH","Role Mismatch",IF(ASSIGNMENTS!K142="OUT OF RANGE","Date Range Error",IF(AND(ASSIGNMENTS!I142&lt;&gt;0,ASSIGNMENTS!I142&lt;&gt;""),"Hours Gap","")))</f>
        <v/>
      </c>
      <c r="E144" s="8" t="str">
        <f>IF(D144="Role Mismatch","Resource role ≠ task required role",IF(D144="Date Range Error","Assignment week outside task dates",IF(D144="Hours Gap","Task not fully assigned ("&amp;ROUND(ASSIGNMENTS!I142,1)&amp;"h remaining)","")))</f>
        <v/>
      </c>
    </row>
    <row r="145" spans="1:5" ht="15" customHeight="1" x14ac:dyDescent="0.3">
      <c r="A145" s="5">
        <v>142</v>
      </c>
      <c r="B145" s="5" t="s">
        <v>548</v>
      </c>
      <c r="C145" s="8" t="str">
        <f>ASSIGNMENTS!A143</f>
        <v>A142</v>
      </c>
      <c r="D145" s="8" t="str">
        <f>IF(ASSIGNMENTS!J143="MISMATCH","Role Mismatch",IF(ASSIGNMENTS!K143="OUT OF RANGE","Date Range Error",IF(AND(ASSIGNMENTS!I143&lt;&gt;0,ASSIGNMENTS!I143&lt;&gt;""),"Hours Gap","")))</f>
        <v/>
      </c>
      <c r="E145" s="8" t="str">
        <f>IF(D145="Role Mismatch","Resource role ≠ task required role",IF(D145="Date Range Error","Assignment week outside task dates",IF(D145="Hours Gap","Task not fully assigned ("&amp;ROUND(ASSIGNMENTS!I143,1)&amp;"h remaining)","")))</f>
        <v/>
      </c>
    </row>
    <row r="146" spans="1:5" ht="15" customHeight="1" x14ac:dyDescent="0.3">
      <c r="A146" s="5">
        <v>143</v>
      </c>
      <c r="B146" s="5" t="s">
        <v>548</v>
      </c>
      <c r="C146" s="8" t="str">
        <f>ASSIGNMENTS!A144</f>
        <v>A143</v>
      </c>
      <c r="D146" s="8" t="str">
        <f>IF(ASSIGNMENTS!J144="MISMATCH","Role Mismatch",IF(ASSIGNMENTS!K144="OUT OF RANGE","Date Range Error",IF(AND(ASSIGNMENTS!I144&lt;&gt;0,ASSIGNMENTS!I144&lt;&gt;""),"Hours Gap","")))</f>
        <v/>
      </c>
      <c r="E146" s="8" t="str">
        <f>IF(D146="Role Mismatch","Resource role ≠ task required role",IF(D146="Date Range Error","Assignment week outside task dates",IF(D146="Hours Gap","Task not fully assigned ("&amp;ROUND(ASSIGNMENTS!I144,1)&amp;"h remaining)","")))</f>
        <v/>
      </c>
    </row>
    <row r="147" spans="1:5" ht="15" customHeight="1" x14ac:dyDescent="0.3">
      <c r="A147" s="5">
        <v>144</v>
      </c>
      <c r="B147" s="5" t="s">
        <v>548</v>
      </c>
      <c r="C147" s="8" t="str">
        <f>ASSIGNMENTS!A145</f>
        <v>A144</v>
      </c>
      <c r="D147" s="8" t="str">
        <f>IF(ASSIGNMENTS!J145="MISMATCH","Role Mismatch",IF(ASSIGNMENTS!K145="OUT OF RANGE","Date Range Error",IF(AND(ASSIGNMENTS!I145&lt;&gt;0,ASSIGNMENTS!I145&lt;&gt;""),"Hours Gap","")))</f>
        <v/>
      </c>
      <c r="E147" s="8" t="str">
        <f>IF(D147="Role Mismatch","Resource role ≠ task required role",IF(D147="Date Range Error","Assignment week outside task dates",IF(D147="Hours Gap","Task not fully assigned ("&amp;ROUND(ASSIGNMENTS!I145,1)&amp;"h remaining)","")))</f>
        <v/>
      </c>
    </row>
    <row r="148" spans="1:5" ht="15" customHeight="1" x14ac:dyDescent="0.3">
      <c r="A148" s="5">
        <v>145</v>
      </c>
      <c r="B148" s="5" t="s">
        <v>548</v>
      </c>
      <c r="C148" s="8" t="str">
        <f>ASSIGNMENTS!A146</f>
        <v>A145</v>
      </c>
      <c r="D148" s="8" t="str">
        <f>IF(ASSIGNMENTS!J146="MISMATCH","Role Mismatch",IF(ASSIGNMENTS!K146="OUT OF RANGE","Date Range Error",IF(AND(ASSIGNMENTS!I146&lt;&gt;0,ASSIGNMENTS!I146&lt;&gt;""),"Hours Gap","")))</f>
        <v/>
      </c>
      <c r="E148" s="8" t="str">
        <f>IF(D148="Role Mismatch","Resource role ≠ task required role",IF(D148="Date Range Error","Assignment week outside task dates",IF(D148="Hours Gap","Task not fully assigned ("&amp;ROUND(ASSIGNMENTS!I146,1)&amp;"h remaining)","")))</f>
        <v/>
      </c>
    </row>
    <row r="149" spans="1:5" ht="15" customHeight="1" x14ac:dyDescent="0.3">
      <c r="A149" s="5">
        <v>146</v>
      </c>
      <c r="B149" s="5" t="s">
        <v>548</v>
      </c>
      <c r="C149" s="8" t="str">
        <f>ASSIGNMENTS!A147</f>
        <v>A146</v>
      </c>
      <c r="D149" s="8" t="str">
        <f>IF(ASSIGNMENTS!J147="MISMATCH","Role Mismatch",IF(ASSIGNMENTS!K147="OUT OF RANGE","Date Range Error",IF(AND(ASSIGNMENTS!I147&lt;&gt;0,ASSIGNMENTS!I147&lt;&gt;""),"Hours Gap","")))</f>
        <v/>
      </c>
      <c r="E149" s="8" t="str">
        <f>IF(D149="Role Mismatch","Resource role ≠ task required role",IF(D149="Date Range Error","Assignment week outside task dates",IF(D149="Hours Gap","Task not fully assigned ("&amp;ROUND(ASSIGNMENTS!I147,1)&amp;"h remaining)","")))</f>
        <v/>
      </c>
    </row>
    <row r="150" spans="1:5" ht="15" customHeight="1" x14ac:dyDescent="0.3">
      <c r="A150" s="5">
        <v>147</v>
      </c>
      <c r="B150" s="5" t="s">
        <v>548</v>
      </c>
      <c r="C150" s="8" t="str">
        <f>ASSIGNMENTS!A148</f>
        <v>A147</v>
      </c>
      <c r="D150" s="8" t="str">
        <f>IF(ASSIGNMENTS!J148="MISMATCH","Role Mismatch",IF(ASSIGNMENTS!K148="OUT OF RANGE","Date Range Error",IF(AND(ASSIGNMENTS!I148&lt;&gt;0,ASSIGNMENTS!I148&lt;&gt;""),"Hours Gap","")))</f>
        <v/>
      </c>
      <c r="E150" s="8" t="str">
        <f>IF(D150="Role Mismatch","Resource role ≠ task required role",IF(D150="Date Range Error","Assignment week outside task dates",IF(D150="Hours Gap","Task not fully assigned ("&amp;ROUND(ASSIGNMENTS!I148,1)&amp;"h remaining)","")))</f>
        <v/>
      </c>
    </row>
    <row r="151" spans="1:5" ht="15" customHeight="1" x14ac:dyDescent="0.3">
      <c r="A151" s="5">
        <v>148</v>
      </c>
      <c r="B151" s="5" t="s">
        <v>548</v>
      </c>
      <c r="C151" s="8" t="str">
        <f>ASSIGNMENTS!A149</f>
        <v>A148</v>
      </c>
      <c r="D151" s="8" t="str">
        <f>IF(ASSIGNMENTS!J149="MISMATCH","Role Mismatch",IF(ASSIGNMENTS!K149="OUT OF RANGE","Date Range Error",IF(AND(ASSIGNMENTS!I149&lt;&gt;0,ASSIGNMENTS!I149&lt;&gt;""),"Hours Gap","")))</f>
        <v/>
      </c>
      <c r="E151" s="8" t="str">
        <f>IF(D151="Role Mismatch","Resource role ≠ task required role",IF(D151="Date Range Error","Assignment week outside task dates",IF(D151="Hours Gap","Task not fully assigned ("&amp;ROUND(ASSIGNMENTS!I149,1)&amp;"h remaining)","")))</f>
        <v/>
      </c>
    </row>
    <row r="152" spans="1:5" ht="15" customHeight="1" x14ac:dyDescent="0.3">
      <c r="A152" s="5">
        <v>149</v>
      </c>
      <c r="B152" s="5" t="s">
        <v>548</v>
      </c>
      <c r="C152" s="8" t="str">
        <f>ASSIGNMENTS!A150</f>
        <v>A149</v>
      </c>
      <c r="D152" s="8" t="str">
        <f>IF(ASSIGNMENTS!J150="MISMATCH","Role Mismatch",IF(ASSIGNMENTS!K150="OUT OF RANGE","Date Range Error",IF(AND(ASSIGNMENTS!I150&lt;&gt;0,ASSIGNMENTS!I150&lt;&gt;""),"Hours Gap","")))</f>
        <v/>
      </c>
      <c r="E152" s="8" t="str">
        <f>IF(D152="Role Mismatch","Resource role ≠ task required role",IF(D152="Date Range Error","Assignment week outside task dates",IF(D152="Hours Gap","Task not fully assigned ("&amp;ROUND(ASSIGNMENTS!I150,1)&amp;"h remaining)","")))</f>
        <v/>
      </c>
    </row>
    <row r="153" spans="1:5" ht="15" customHeight="1" x14ac:dyDescent="0.3">
      <c r="A153" s="5">
        <v>150</v>
      </c>
      <c r="B153" s="5" t="s">
        <v>548</v>
      </c>
      <c r="C153" s="8" t="str">
        <f>ASSIGNMENTS!A151</f>
        <v>A150</v>
      </c>
      <c r="D153" s="8" t="str">
        <f>IF(ASSIGNMENTS!J151="MISMATCH","Role Mismatch",IF(ASSIGNMENTS!K151="OUT OF RANGE","Date Range Error",IF(AND(ASSIGNMENTS!I151&lt;&gt;0,ASSIGNMENTS!I151&lt;&gt;""),"Hours Gap","")))</f>
        <v/>
      </c>
      <c r="E153" s="8" t="str">
        <f>IF(D153="Role Mismatch","Resource role ≠ task required role",IF(D153="Date Range Error","Assignment week outside task dates",IF(D153="Hours Gap","Task not fully assigned ("&amp;ROUND(ASSIGNMENTS!I151,1)&amp;"h remaining)","")))</f>
        <v/>
      </c>
    </row>
    <row r="154" spans="1:5" ht="15" customHeight="1" x14ac:dyDescent="0.3">
      <c r="A154" s="5">
        <v>151</v>
      </c>
      <c r="B154" s="5" t="s">
        <v>548</v>
      </c>
      <c r="C154" s="8" t="str">
        <f>ASSIGNMENTS!A152</f>
        <v>A151</v>
      </c>
      <c r="D154" s="8" t="str">
        <f>IF(ASSIGNMENTS!J152="MISMATCH","Role Mismatch",IF(ASSIGNMENTS!K152="OUT OF RANGE","Date Range Error",IF(AND(ASSIGNMENTS!I152&lt;&gt;0,ASSIGNMENTS!I152&lt;&gt;""),"Hours Gap","")))</f>
        <v/>
      </c>
      <c r="E154" s="8" t="str">
        <f>IF(D154="Role Mismatch","Resource role ≠ task required role",IF(D154="Date Range Error","Assignment week outside task dates",IF(D154="Hours Gap","Task not fully assigned ("&amp;ROUND(ASSIGNMENTS!I152,1)&amp;"h remaining)","")))</f>
        <v/>
      </c>
    </row>
    <row r="155" spans="1:5" ht="15" customHeight="1" x14ac:dyDescent="0.3">
      <c r="A155" s="5">
        <v>152</v>
      </c>
      <c r="B155" s="5" t="s">
        <v>548</v>
      </c>
      <c r="C155" s="8" t="str">
        <f>ASSIGNMENTS!A153</f>
        <v>A152</v>
      </c>
      <c r="D155" s="8" t="str">
        <f>IF(ASSIGNMENTS!J153="MISMATCH","Role Mismatch",IF(ASSIGNMENTS!K153="OUT OF RANGE","Date Range Error",IF(AND(ASSIGNMENTS!I153&lt;&gt;0,ASSIGNMENTS!I153&lt;&gt;""),"Hours Gap","")))</f>
        <v/>
      </c>
      <c r="E155" s="8" t="str">
        <f>IF(D155="Role Mismatch","Resource role ≠ task required role",IF(D155="Date Range Error","Assignment week outside task dates",IF(D155="Hours Gap","Task not fully assigned ("&amp;ROUND(ASSIGNMENTS!I153,1)&amp;"h remaining)","")))</f>
        <v/>
      </c>
    </row>
    <row r="156" spans="1:5" ht="15" customHeight="1" x14ac:dyDescent="0.3">
      <c r="A156" s="5">
        <v>153</v>
      </c>
      <c r="B156" s="5" t="s">
        <v>548</v>
      </c>
      <c r="C156" s="8" t="str">
        <f>ASSIGNMENTS!A154</f>
        <v>A153</v>
      </c>
      <c r="D156" s="8" t="str">
        <f>IF(ASSIGNMENTS!J154="MISMATCH","Role Mismatch",IF(ASSIGNMENTS!K154="OUT OF RANGE","Date Range Error",IF(AND(ASSIGNMENTS!I154&lt;&gt;0,ASSIGNMENTS!I154&lt;&gt;""),"Hours Gap","")))</f>
        <v/>
      </c>
      <c r="E156" s="8" t="str">
        <f>IF(D156="Role Mismatch","Resource role ≠ task required role",IF(D156="Date Range Error","Assignment week outside task dates",IF(D156="Hours Gap","Task not fully assigned ("&amp;ROUND(ASSIGNMENTS!I154,1)&amp;"h remaining)","")))</f>
        <v/>
      </c>
    </row>
    <row r="157" spans="1:5" ht="15" customHeight="1" x14ac:dyDescent="0.3">
      <c r="A157" s="5">
        <v>154</v>
      </c>
      <c r="B157" s="5" t="s">
        <v>548</v>
      </c>
      <c r="C157" s="8" t="str">
        <f>ASSIGNMENTS!A155</f>
        <v>A154</v>
      </c>
      <c r="D157" s="8" t="str">
        <f>IF(ASSIGNMENTS!J155="MISMATCH","Role Mismatch",IF(ASSIGNMENTS!K155="OUT OF RANGE","Date Range Error",IF(AND(ASSIGNMENTS!I155&lt;&gt;0,ASSIGNMENTS!I155&lt;&gt;""),"Hours Gap","")))</f>
        <v/>
      </c>
      <c r="E157" s="8" t="str">
        <f>IF(D157="Role Mismatch","Resource role ≠ task required role",IF(D157="Date Range Error","Assignment week outside task dates",IF(D157="Hours Gap","Task not fully assigned ("&amp;ROUND(ASSIGNMENTS!I155,1)&amp;"h remaining)","")))</f>
        <v/>
      </c>
    </row>
    <row r="158" spans="1:5" ht="15" customHeight="1" x14ac:dyDescent="0.3">
      <c r="A158" s="5">
        <v>155</v>
      </c>
      <c r="B158" s="5" t="s">
        <v>548</v>
      </c>
      <c r="C158" s="8" t="str">
        <f>ASSIGNMENTS!A156</f>
        <v>A155</v>
      </c>
      <c r="D158" s="8" t="str">
        <f>IF(ASSIGNMENTS!J156="MISMATCH","Role Mismatch",IF(ASSIGNMENTS!K156="OUT OF RANGE","Date Range Error",IF(AND(ASSIGNMENTS!I156&lt;&gt;0,ASSIGNMENTS!I156&lt;&gt;""),"Hours Gap","")))</f>
        <v/>
      </c>
      <c r="E158" s="8" t="str">
        <f>IF(D158="Role Mismatch","Resource role ≠ task required role",IF(D158="Date Range Error","Assignment week outside task dates",IF(D158="Hours Gap","Task not fully assigned ("&amp;ROUND(ASSIGNMENTS!I156,1)&amp;"h remaining)","")))</f>
        <v/>
      </c>
    </row>
    <row r="159" spans="1:5" ht="15" customHeight="1" x14ac:dyDescent="0.3">
      <c r="A159" s="5">
        <v>156</v>
      </c>
      <c r="B159" s="5" t="s">
        <v>548</v>
      </c>
      <c r="C159" s="8" t="str">
        <f>ASSIGNMENTS!A157</f>
        <v>A156</v>
      </c>
      <c r="D159" s="8" t="str">
        <f>IF(ASSIGNMENTS!J157="MISMATCH","Role Mismatch",IF(ASSIGNMENTS!K157="OUT OF RANGE","Date Range Error",IF(AND(ASSIGNMENTS!I157&lt;&gt;0,ASSIGNMENTS!I157&lt;&gt;""),"Hours Gap","")))</f>
        <v/>
      </c>
      <c r="E159" s="8" t="str">
        <f>IF(D159="Role Mismatch","Resource role ≠ task required role",IF(D159="Date Range Error","Assignment week outside task dates",IF(D159="Hours Gap","Task not fully assigned ("&amp;ROUND(ASSIGNMENTS!I157,1)&amp;"h remaining)","")))</f>
        <v/>
      </c>
    </row>
    <row r="160" spans="1:5" ht="15" customHeight="1" x14ac:dyDescent="0.3">
      <c r="A160" s="5">
        <v>157</v>
      </c>
      <c r="B160" s="5" t="s">
        <v>548</v>
      </c>
      <c r="C160" s="8" t="str">
        <f>ASSIGNMENTS!A158</f>
        <v>A157</v>
      </c>
      <c r="D160" s="8" t="str">
        <f>IF(ASSIGNMENTS!J158="MISMATCH","Role Mismatch",IF(ASSIGNMENTS!K158="OUT OF RANGE","Date Range Error",IF(AND(ASSIGNMENTS!I158&lt;&gt;0,ASSIGNMENTS!I158&lt;&gt;""),"Hours Gap","")))</f>
        <v/>
      </c>
      <c r="E160" s="8" t="str">
        <f>IF(D160="Role Mismatch","Resource role ≠ task required role",IF(D160="Date Range Error","Assignment week outside task dates",IF(D160="Hours Gap","Task not fully assigned ("&amp;ROUND(ASSIGNMENTS!I158,1)&amp;"h remaining)","")))</f>
        <v/>
      </c>
    </row>
    <row r="161" spans="1:5" ht="15" customHeight="1" x14ac:dyDescent="0.3">
      <c r="A161" s="5">
        <v>158</v>
      </c>
      <c r="B161" s="5" t="s">
        <v>548</v>
      </c>
      <c r="C161" s="8" t="str">
        <f>ASSIGNMENTS!A159</f>
        <v>A158</v>
      </c>
      <c r="D161" s="8" t="str">
        <f>IF(ASSIGNMENTS!J159="MISMATCH","Role Mismatch",IF(ASSIGNMENTS!K159="OUT OF RANGE","Date Range Error",IF(AND(ASSIGNMENTS!I159&lt;&gt;0,ASSIGNMENTS!I159&lt;&gt;""),"Hours Gap","")))</f>
        <v/>
      </c>
      <c r="E161" s="8" t="str">
        <f>IF(D161="Role Mismatch","Resource role ≠ task required role",IF(D161="Date Range Error","Assignment week outside task dates",IF(D161="Hours Gap","Task not fully assigned ("&amp;ROUND(ASSIGNMENTS!I159,1)&amp;"h remaining)","")))</f>
        <v/>
      </c>
    </row>
    <row r="162" spans="1:5" ht="15" customHeight="1" x14ac:dyDescent="0.3">
      <c r="A162" s="5">
        <v>159</v>
      </c>
      <c r="B162" s="5" t="s">
        <v>548</v>
      </c>
      <c r="C162" s="8" t="str">
        <f>ASSIGNMENTS!A160</f>
        <v>A159</v>
      </c>
      <c r="D162" s="8" t="str">
        <f>IF(ASSIGNMENTS!J160="MISMATCH","Role Mismatch",IF(ASSIGNMENTS!K160="OUT OF RANGE","Date Range Error",IF(AND(ASSIGNMENTS!I160&lt;&gt;0,ASSIGNMENTS!I160&lt;&gt;""),"Hours Gap","")))</f>
        <v/>
      </c>
      <c r="E162" s="8" t="str">
        <f>IF(D162="Role Mismatch","Resource role ≠ task required role",IF(D162="Date Range Error","Assignment week outside task dates",IF(D162="Hours Gap","Task not fully assigned ("&amp;ROUND(ASSIGNMENTS!I160,1)&amp;"h remaining)","")))</f>
        <v/>
      </c>
    </row>
    <row r="163" spans="1:5" ht="15" customHeight="1" x14ac:dyDescent="0.3">
      <c r="A163" s="5">
        <v>160</v>
      </c>
      <c r="B163" s="5" t="s">
        <v>548</v>
      </c>
      <c r="C163" s="8" t="str">
        <f>ASSIGNMENTS!A161</f>
        <v>A160</v>
      </c>
      <c r="D163" s="8" t="str">
        <f>IF(ASSIGNMENTS!J161="MISMATCH","Role Mismatch",IF(ASSIGNMENTS!K161="OUT OF RANGE","Date Range Error",IF(AND(ASSIGNMENTS!I161&lt;&gt;0,ASSIGNMENTS!I161&lt;&gt;""),"Hours Gap","")))</f>
        <v/>
      </c>
      <c r="E163" s="8" t="str">
        <f>IF(D163="Role Mismatch","Resource role ≠ task required role",IF(D163="Date Range Error","Assignment week outside task dates",IF(D163="Hours Gap","Task not fully assigned ("&amp;ROUND(ASSIGNMENTS!I161,1)&amp;"h remaining)","")))</f>
        <v/>
      </c>
    </row>
    <row r="164" spans="1:5" ht="15" customHeight="1" x14ac:dyDescent="0.3">
      <c r="A164" s="5">
        <v>161</v>
      </c>
      <c r="B164" s="5" t="s">
        <v>548</v>
      </c>
      <c r="C164" s="8" t="str">
        <f>ASSIGNMENTS!A162</f>
        <v>A161</v>
      </c>
      <c r="D164" s="8" t="str">
        <f>IF(ASSIGNMENTS!J162="MISMATCH","Role Mismatch",IF(ASSIGNMENTS!K162="OUT OF RANGE","Date Range Error",IF(AND(ASSIGNMENTS!I162&lt;&gt;0,ASSIGNMENTS!I162&lt;&gt;""),"Hours Gap","")))</f>
        <v/>
      </c>
      <c r="E164" s="8" t="str">
        <f>IF(D164="Role Mismatch","Resource role ≠ task required role",IF(D164="Date Range Error","Assignment week outside task dates",IF(D164="Hours Gap","Task not fully assigned ("&amp;ROUND(ASSIGNMENTS!I162,1)&amp;"h remaining)","")))</f>
        <v/>
      </c>
    </row>
    <row r="165" spans="1:5" ht="15" customHeight="1" x14ac:dyDescent="0.3">
      <c r="A165" s="5">
        <v>162</v>
      </c>
      <c r="B165" s="5" t="s">
        <v>548</v>
      </c>
      <c r="C165" s="8" t="str">
        <f>ASSIGNMENTS!A163</f>
        <v>A162</v>
      </c>
      <c r="D165" s="8" t="str">
        <f>IF(ASSIGNMENTS!J163="MISMATCH","Role Mismatch",IF(ASSIGNMENTS!K163="OUT OF RANGE","Date Range Error",IF(AND(ASSIGNMENTS!I163&lt;&gt;0,ASSIGNMENTS!I163&lt;&gt;""),"Hours Gap","")))</f>
        <v/>
      </c>
      <c r="E165" s="8" t="str">
        <f>IF(D165="Role Mismatch","Resource role ≠ task required role",IF(D165="Date Range Error","Assignment week outside task dates",IF(D165="Hours Gap","Task not fully assigned ("&amp;ROUND(ASSIGNMENTS!I163,1)&amp;"h remaining)","")))</f>
        <v/>
      </c>
    </row>
    <row r="166" spans="1:5" ht="15" customHeight="1" x14ac:dyDescent="0.3">
      <c r="A166" s="5">
        <v>163</v>
      </c>
      <c r="B166" s="5" t="s">
        <v>548</v>
      </c>
      <c r="C166" s="8" t="str">
        <f>ASSIGNMENTS!A164</f>
        <v>A163</v>
      </c>
      <c r="D166" s="8" t="str">
        <f>IF(ASSIGNMENTS!J164="MISMATCH","Role Mismatch",IF(ASSIGNMENTS!K164="OUT OF RANGE","Date Range Error",IF(AND(ASSIGNMENTS!I164&lt;&gt;0,ASSIGNMENTS!I164&lt;&gt;""),"Hours Gap","")))</f>
        <v/>
      </c>
      <c r="E166" s="8" t="str">
        <f>IF(D166="Role Mismatch","Resource role ≠ task required role",IF(D166="Date Range Error","Assignment week outside task dates",IF(D166="Hours Gap","Task not fully assigned ("&amp;ROUND(ASSIGNMENTS!I164,1)&amp;"h remaining)","")))</f>
        <v/>
      </c>
    </row>
    <row r="167" spans="1:5" ht="15" customHeight="1" x14ac:dyDescent="0.3">
      <c r="A167" s="5">
        <v>164</v>
      </c>
      <c r="B167" s="5" t="s">
        <v>548</v>
      </c>
      <c r="C167" s="8" t="str">
        <f>ASSIGNMENTS!A165</f>
        <v>A164</v>
      </c>
      <c r="D167" s="8" t="str">
        <f>IF(ASSIGNMENTS!J165="MISMATCH","Role Mismatch",IF(ASSIGNMENTS!K165="OUT OF RANGE","Date Range Error",IF(AND(ASSIGNMENTS!I165&lt;&gt;0,ASSIGNMENTS!I165&lt;&gt;""),"Hours Gap","")))</f>
        <v/>
      </c>
      <c r="E167" s="8" t="str">
        <f>IF(D167="Role Mismatch","Resource role ≠ task required role",IF(D167="Date Range Error","Assignment week outside task dates",IF(D167="Hours Gap","Task not fully assigned ("&amp;ROUND(ASSIGNMENTS!I165,1)&amp;"h remaining)","")))</f>
        <v/>
      </c>
    </row>
    <row r="168" spans="1:5" ht="15" customHeight="1" x14ac:dyDescent="0.3">
      <c r="A168" s="5">
        <v>165</v>
      </c>
      <c r="B168" s="5" t="s">
        <v>548</v>
      </c>
      <c r="C168" s="8" t="str">
        <f>ASSIGNMENTS!A166</f>
        <v>A165</v>
      </c>
      <c r="D168" s="8" t="str">
        <f>IF(ASSIGNMENTS!J166="MISMATCH","Role Mismatch",IF(ASSIGNMENTS!K166="OUT OF RANGE","Date Range Error",IF(AND(ASSIGNMENTS!I166&lt;&gt;0,ASSIGNMENTS!I166&lt;&gt;""),"Hours Gap","")))</f>
        <v/>
      </c>
      <c r="E168" s="8" t="str">
        <f>IF(D168="Role Mismatch","Resource role ≠ task required role",IF(D168="Date Range Error","Assignment week outside task dates",IF(D168="Hours Gap","Task not fully assigned ("&amp;ROUND(ASSIGNMENTS!I166,1)&amp;"h remaining)","")))</f>
        <v/>
      </c>
    </row>
    <row r="169" spans="1:5" ht="15" customHeight="1" x14ac:dyDescent="0.3">
      <c r="A169" s="5">
        <v>166</v>
      </c>
      <c r="B169" s="5" t="s">
        <v>548</v>
      </c>
      <c r="C169" s="8" t="str">
        <f>ASSIGNMENTS!A167</f>
        <v>A166</v>
      </c>
      <c r="D169" s="8" t="str">
        <f>IF(ASSIGNMENTS!J167="MISMATCH","Role Mismatch",IF(ASSIGNMENTS!K167="OUT OF RANGE","Date Range Error",IF(AND(ASSIGNMENTS!I167&lt;&gt;0,ASSIGNMENTS!I167&lt;&gt;""),"Hours Gap","")))</f>
        <v/>
      </c>
      <c r="E169" s="8" t="str">
        <f>IF(D169="Role Mismatch","Resource role ≠ task required role",IF(D169="Date Range Error","Assignment week outside task dates",IF(D169="Hours Gap","Task not fully assigned ("&amp;ROUND(ASSIGNMENTS!I167,1)&amp;"h remaining)","")))</f>
        <v/>
      </c>
    </row>
    <row r="170" spans="1:5" ht="15" customHeight="1" x14ac:dyDescent="0.3">
      <c r="A170" s="5">
        <v>167</v>
      </c>
      <c r="B170" s="5" t="s">
        <v>548</v>
      </c>
      <c r="C170" s="8" t="str">
        <f>ASSIGNMENTS!A168</f>
        <v>A167</v>
      </c>
      <c r="D170" s="8" t="str">
        <f>IF(ASSIGNMENTS!J168="MISMATCH","Role Mismatch",IF(ASSIGNMENTS!K168="OUT OF RANGE","Date Range Error",IF(AND(ASSIGNMENTS!I168&lt;&gt;0,ASSIGNMENTS!I168&lt;&gt;""),"Hours Gap","")))</f>
        <v/>
      </c>
      <c r="E170" s="8" t="str">
        <f>IF(D170="Role Mismatch","Resource role ≠ task required role",IF(D170="Date Range Error","Assignment week outside task dates",IF(D170="Hours Gap","Task not fully assigned ("&amp;ROUND(ASSIGNMENTS!I168,1)&amp;"h remaining)","")))</f>
        <v/>
      </c>
    </row>
    <row r="171" spans="1:5" ht="15" customHeight="1" x14ac:dyDescent="0.3">
      <c r="A171" s="5">
        <v>168</v>
      </c>
      <c r="B171" s="5" t="s">
        <v>548</v>
      </c>
      <c r="C171" s="8" t="str">
        <f>ASSIGNMENTS!A169</f>
        <v>A168</v>
      </c>
      <c r="D171" s="8" t="str">
        <f>IF(ASSIGNMENTS!J169="MISMATCH","Role Mismatch",IF(ASSIGNMENTS!K169="OUT OF RANGE","Date Range Error",IF(AND(ASSIGNMENTS!I169&lt;&gt;0,ASSIGNMENTS!I169&lt;&gt;""),"Hours Gap","")))</f>
        <v/>
      </c>
      <c r="E171" s="8" t="str">
        <f>IF(D171="Role Mismatch","Resource role ≠ task required role",IF(D171="Date Range Error","Assignment week outside task dates",IF(D171="Hours Gap","Task not fully assigned ("&amp;ROUND(ASSIGNMENTS!I169,1)&amp;"h remaining)","")))</f>
        <v/>
      </c>
    </row>
    <row r="172" spans="1:5" ht="15" customHeight="1" x14ac:dyDescent="0.3">
      <c r="A172" s="5">
        <v>169</v>
      </c>
      <c r="B172" s="5" t="s">
        <v>548</v>
      </c>
      <c r="C172" s="8" t="str">
        <f>ASSIGNMENTS!A170</f>
        <v>A169</v>
      </c>
      <c r="D172" s="8" t="str">
        <f>IF(ASSIGNMENTS!J170="MISMATCH","Role Mismatch",IF(ASSIGNMENTS!K170="OUT OF RANGE","Date Range Error",IF(AND(ASSIGNMENTS!I170&lt;&gt;0,ASSIGNMENTS!I170&lt;&gt;""),"Hours Gap","")))</f>
        <v/>
      </c>
      <c r="E172" s="8" t="str">
        <f>IF(D172="Role Mismatch","Resource role ≠ task required role",IF(D172="Date Range Error","Assignment week outside task dates",IF(D172="Hours Gap","Task not fully assigned ("&amp;ROUND(ASSIGNMENTS!I170,1)&amp;"h remaining)","")))</f>
        <v/>
      </c>
    </row>
    <row r="173" spans="1:5" ht="15" customHeight="1" x14ac:dyDescent="0.3">
      <c r="A173" s="5">
        <v>170</v>
      </c>
      <c r="B173" s="5" t="s">
        <v>548</v>
      </c>
      <c r="C173" s="8" t="str">
        <f>ASSIGNMENTS!A171</f>
        <v>A170</v>
      </c>
      <c r="D173" s="8" t="str">
        <f>IF(ASSIGNMENTS!J171="MISMATCH","Role Mismatch",IF(ASSIGNMENTS!K171="OUT OF RANGE","Date Range Error",IF(AND(ASSIGNMENTS!I171&lt;&gt;0,ASSIGNMENTS!I171&lt;&gt;""),"Hours Gap","")))</f>
        <v/>
      </c>
      <c r="E173" s="8" t="str">
        <f>IF(D173="Role Mismatch","Resource role ≠ task required role",IF(D173="Date Range Error","Assignment week outside task dates",IF(D173="Hours Gap","Task not fully assigned ("&amp;ROUND(ASSIGNMENTS!I171,1)&amp;"h remaining)","")))</f>
        <v/>
      </c>
    </row>
    <row r="174" spans="1:5" ht="15" customHeight="1" x14ac:dyDescent="0.3">
      <c r="A174" s="5">
        <v>171</v>
      </c>
      <c r="B174" s="5" t="s">
        <v>548</v>
      </c>
      <c r="C174" s="8" t="str">
        <f>ASSIGNMENTS!A172</f>
        <v>A171</v>
      </c>
      <c r="D174" s="8" t="str">
        <f>IF(ASSIGNMENTS!J172="MISMATCH","Role Mismatch",IF(ASSIGNMENTS!K172="OUT OF RANGE","Date Range Error",IF(AND(ASSIGNMENTS!I172&lt;&gt;0,ASSIGNMENTS!I172&lt;&gt;""),"Hours Gap","")))</f>
        <v/>
      </c>
      <c r="E174" s="8" t="str">
        <f>IF(D174="Role Mismatch","Resource role ≠ task required role",IF(D174="Date Range Error","Assignment week outside task dates",IF(D174="Hours Gap","Task not fully assigned ("&amp;ROUND(ASSIGNMENTS!I172,1)&amp;"h remaining)","")))</f>
        <v/>
      </c>
    </row>
    <row r="175" spans="1:5" ht="15" customHeight="1" x14ac:dyDescent="0.3">
      <c r="A175" s="5">
        <v>172</v>
      </c>
      <c r="B175" s="5" t="s">
        <v>548</v>
      </c>
      <c r="C175" s="8" t="str">
        <f>ASSIGNMENTS!A173</f>
        <v>A172</v>
      </c>
      <c r="D175" s="8" t="str">
        <f>IF(ASSIGNMENTS!J173="MISMATCH","Role Mismatch",IF(ASSIGNMENTS!K173="OUT OF RANGE","Date Range Error",IF(AND(ASSIGNMENTS!I173&lt;&gt;0,ASSIGNMENTS!I173&lt;&gt;""),"Hours Gap","")))</f>
        <v/>
      </c>
      <c r="E175" s="8" t="str">
        <f>IF(D175="Role Mismatch","Resource role ≠ task required role",IF(D175="Date Range Error","Assignment week outside task dates",IF(D175="Hours Gap","Task not fully assigned ("&amp;ROUND(ASSIGNMENTS!I173,1)&amp;"h remaining)","")))</f>
        <v/>
      </c>
    </row>
    <row r="176" spans="1:5" ht="15" customHeight="1" x14ac:dyDescent="0.3">
      <c r="A176" s="5">
        <v>173</v>
      </c>
      <c r="B176" s="5" t="s">
        <v>548</v>
      </c>
      <c r="C176" s="8" t="str">
        <f>ASSIGNMENTS!A174</f>
        <v>A173</v>
      </c>
      <c r="D176" s="8" t="str">
        <f>IF(ASSIGNMENTS!J174="MISMATCH","Role Mismatch",IF(ASSIGNMENTS!K174="OUT OF RANGE","Date Range Error",IF(AND(ASSIGNMENTS!I174&lt;&gt;0,ASSIGNMENTS!I174&lt;&gt;""),"Hours Gap","")))</f>
        <v/>
      </c>
      <c r="E176" s="8" t="str">
        <f>IF(D176="Role Mismatch","Resource role ≠ task required role",IF(D176="Date Range Error","Assignment week outside task dates",IF(D176="Hours Gap","Task not fully assigned ("&amp;ROUND(ASSIGNMENTS!I174,1)&amp;"h remaining)","")))</f>
        <v/>
      </c>
    </row>
    <row r="177" spans="1:5" ht="15" customHeight="1" x14ac:dyDescent="0.3">
      <c r="A177" s="5">
        <v>174</v>
      </c>
      <c r="B177" s="5" t="s">
        <v>548</v>
      </c>
      <c r="C177" s="8" t="str">
        <f>ASSIGNMENTS!A175</f>
        <v>A174</v>
      </c>
      <c r="D177" s="8" t="str">
        <f>IF(ASSIGNMENTS!J175="MISMATCH","Role Mismatch",IF(ASSIGNMENTS!K175="OUT OF RANGE","Date Range Error",IF(AND(ASSIGNMENTS!I175&lt;&gt;0,ASSIGNMENTS!I175&lt;&gt;""),"Hours Gap","")))</f>
        <v/>
      </c>
      <c r="E177" s="8" t="str">
        <f>IF(D177="Role Mismatch","Resource role ≠ task required role",IF(D177="Date Range Error","Assignment week outside task dates",IF(D177="Hours Gap","Task not fully assigned ("&amp;ROUND(ASSIGNMENTS!I175,1)&amp;"h remaining)","")))</f>
        <v/>
      </c>
    </row>
    <row r="178" spans="1:5" ht="15" customHeight="1" x14ac:dyDescent="0.3">
      <c r="A178" s="5">
        <v>175</v>
      </c>
      <c r="B178" s="5" t="s">
        <v>548</v>
      </c>
      <c r="C178" s="8" t="str">
        <f>ASSIGNMENTS!A176</f>
        <v>A175</v>
      </c>
      <c r="D178" s="8" t="str">
        <f>IF(ASSIGNMENTS!J176="MISMATCH","Role Mismatch",IF(ASSIGNMENTS!K176="OUT OF RANGE","Date Range Error",IF(AND(ASSIGNMENTS!I176&lt;&gt;0,ASSIGNMENTS!I176&lt;&gt;""),"Hours Gap","")))</f>
        <v/>
      </c>
      <c r="E178" s="8" t="str">
        <f>IF(D178="Role Mismatch","Resource role ≠ task required role",IF(D178="Date Range Error","Assignment week outside task dates",IF(D178="Hours Gap","Task not fully assigned ("&amp;ROUND(ASSIGNMENTS!I176,1)&amp;"h remaining)","")))</f>
        <v/>
      </c>
    </row>
    <row r="179" spans="1:5" ht="15" customHeight="1" x14ac:dyDescent="0.3">
      <c r="A179" s="5">
        <v>176</v>
      </c>
      <c r="B179" s="5" t="s">
        <v>548</v>
      </c>
      <c r="C179" s="8" t="str">
        <f>ASSIGNMENTS!A177</f>
        <v>A176</v>
      </c>
      <c r="D179" s="8" t="str">
        <f>IF(ASSIGNMENTS!J177="MISMATCH","Role Mismatch",IF(ASSIGNMENTS!K177="OUT OF RANGE","Date Range Error",IF(AND(ASSIGNMENTS!I177&lt;&gt;0,ASSIGNMENTS!I177&lt;&gt;""),"Hours Gap","")))</f>
        <v/>
      </c>
      <c r="E179" s="8" t="str">
        <f>IF(D179="Role Mismatch","Resource role ≠ task required role",IF(D179="Date Range Error","Assignment week outside task dates",IF(D179="Hours Gap","Task not fully assigned ("&amp;ROUND(ASSIGNMENTS!I177,1)&amp;"h remaining)","")))</f>
        <v/>
      </c>
    </row>
    <row r="180" spans="1:5" ht="15" customHeight="1" x14ac:dyDescent="0.3">
      <c r="A180" s="5">
        <v>177</v>
      </c>
      <c r="B180" s="5" t="s">
        <v>548</v>
      </c>
      <c r="C180" s="8" t="str">
        <f>ASSIGNMENTS!A178</f>
        <v>A177</v>
      </c>
      <c r="D180" s="8" t="str">
        <f>IF(ASSIGNMENTS!J178="MISMATCH","Role Mismatch",IF(ASSIGNMENTS!K178="OUT OF RANGE","Date Range Error",IF(AND(ASSIGNMENTS!I178&lt;&gt;0,ASSIGNMENTS!I178&lt;&gt;""),"Hours Gap","")))</f>
        <v/>
      </c>
      <c r="E180" s="8" t="str">
        <f>IF(D180="Role Mismatch","Resource role ≠ task required role",IF(D180="Date Range Error","Assignment week outside task dates",IF(D180="Hours Gap","Task not fully assigned ("&amp;ROUND(ASSIGNMENTS!I178,1)&amp;"h remaining)","")))</f>
        <v/>
      </c>
    </row>
    <row r="181" spans="1:5" ht="15" customHeight="1" x14ac:dyDescent="0.3">
      <c r="A181" s="5">
        <v>178</v>
      </c>
      <c r="B181" s="5" t="s">
        <v>548</v>
      </c>
      <c r="C181" s="8" t="str">
        <f>ASSIGNMENTS!A179</f>
        <v>A178</v>
      </c>
      <c r="D181" s="8" t="str">
        <f>IF(ASSIGNMENTS!J179="MISMATCH","Role Mismatch",IF(ASSIGNMENTS!K179="OUT OF RANGE","Date Range Error",IF(AND(ASSIGNMENTS!I179&lt;&gt;0,ASSIGNMENTS!I179&lt;&gt;""),"Hours Gap","")))</f>
        <v/>
      </c>
      <c r="E181" s="8" t="str">
        <f>IF(D181="Role Mismatch","Resource role ≠ task required role",IF(D181="Date Range Error","Assignment week outside task dates",IF(D181="Hours Gap","Task not fully assigned ("&amp;ROUND(ASSIGNMENTS!I179,1)&amp;"h remaining)","")))</f>
        <v/>
      </c>
    </row>
    <row r="182" spans="1:5" ht="15" customHeight="1" x14ac:dyDescent="0.3">
      <c r="A182" s="5">
        <v>179</v>
      </c>
      <c r="B182" s="5" t="s">
        <v>548</v>
      </c>
      <c r="C182" s="8" t="str">
        <f>ASSIGNMENTS!A180</f>
        <v>A179</v>
      </c>
      <c r="D182" s="8" t="str">
        <f>IF(ASSIGNMENTS!J180="MISMATCH","Role Mismatch",IF(ASSIGNMENTS!K180="OUT OF RANGE","Date Range Error",IF(AND(ASSIGNMENTS!I180&lt;&gt;0,ASSIGNMENTS!I180&lt;&gt;""),"Hours Gap","")))</f>
        <v/>
      </c>
      <c r="E182" s="8" t="str">
        <f>IF(D182="Role Mismatch","Resource role ≠ task required role",IF(D182="Date Range Error","Assignment week outside task dates",IF(D182="Hours Gap","Task not fully assigned ("&amp;ROUND(ASSIGNMENTS!I180,1)&amp;"h remaining)","")))</f>
        <v/>
      </c>
    </row>
    <row r="183" spans="1:5" ht="15" customHeight="1" x14ac:dyDescent="0.3">
      <c r="A183" s="5">
        <v>180</v>
      </c>
      <c r="B183" s="5" t="s">
        <v>548</v>
      </c>
      <c r="C183" s="8" t="str">
        <f>ASSIGNMENTS!A181</f>
        <v>A180</v>
      </c>
      <c r="D183" s="8" t="str">
        <f>IF(ASSIGNMENTS!J181="MISMATCH","Role Mismatch",IF(ASSIGNMENTS!K181="OUT OF RANGE","Date Range Error",IF(AND(ASSIGNMENTS!I181&lt;&gt;0,ASSIGNMENTS!I181&lt;&gt;""),"Hours Gap","")))</f>
        <v/>
      </c>
      <c r="E183" s="8" t="str">
        <f>IF(D183="Role Mismatch","Resource role ≠ task required role",IF(D183="Date Range Error","Assignment week outside task dates",IF(D183="Hours Gap","Task not fully assigned ("&amp;ROUND(ASSIGNMENTS!I181,1)&amp;"h remaining)","")))</f>
        <v/>
      </c>
    </row>
    <row r="184" spans="1:5" ht="15" customHeight="1" x14ac:dyDescent="0.3">
      <c r="A184" s="5">
        <v>181</v>
      </c>
      <c r="B184" s="5" t="s">
        <v>548</v>
      </c>
      <c r="C184" s="8" t="str">
        <f>ASSIGNMENTS!A182</f>
        <v>A181</v>
      </c>
      <c r="D184" s="8" t="str">
        <f>IF(ASSIGNMENTS!J182="MISMATCH","Role Mismatch",IF(ASSIGNMENTS!K182="OUT OF RANGE","Date Range Error",IF(AND(ASSIGNMENTS!I182&lt;&gt;0,ASSIGNMENTS!I182&lt;&gt;""),"Hours Gap","")))</f>
        <v/>
      </c>
      <c r="E184" s="8" t="str">
        <f>IF(D184="Role Mismatch","Resource role ≠ task required role",IF(D184="Date Range Error","Assignment week outside task dates",IF(D184="Hours Gap","Task not fully assigned ("&amp;ROUND(ASSIGNMENTS!I182,1)&amp;"h remaining)","")))</f>
        <v/>
      </c>
    </row>
    <row r="185" spans="1:5" ht="15" customHeight="1" x14ac:dyDescent="0.3">
      <c r="A185" s="5">
        <v>182</v>
      </c>
      <c r="B185" s="5" t="s">
        <v>548</v>
      </c>
      <c r="C185" s="8" t="str">
        <f>ASSIGNMENTS!A183</f>
        <v>A182</v>
      </c>
      <c r="D185" s="8" t="str">
        <f>IF(ASSIGNMENTS!J183="MISMATCH","Role Mismatch",IF(ASSIGNMENTS!K183="OUT OF RANGE","Date Range Error",IF(AND(ASSIGNMENTS!I183&lt;&gt;0,ASSIGNMENTS!I183&lt;&gt;""),"Hours Gap","")))</f>
        <v/>
      </c>
      <c r="E185" s="8" t="str">
        <f>IF(D185="Role Mismatch","Resource role ≠ task required role",IF(D185="Date Range Error","Assignment week outside task dates",IF(D185="Hours Gap","Task not fully assigned ("&amp;ROUND(ASSIGNMENTS!I183,1)&amp;"h remaining)","")))</f>
        <v/>
      </c>
    </row>
    <row r="186" spans="1:5" ht="15" customHeight="1" x14ac:dyDescent="0.3">
      <c r="A186" s="5">
        <v>183</v>
      </c>
      <c r="B186" s="5" t="s">
        <v>548</v>
      </c>
      <c r="C186" s="8" t="str">
        <f>ASSIGNMENTS!A184</f>
        <v>A183</v>
      </c>
      <c r="D186" s="8" t="str">
        <f>IF(ASSIGNMENTS!J184="MISMATCH","Role Mismatch",IF(ASSIGNMENTS!K184="OUT OF RANGE","Date Range Error",IF(AND(ASSIGNMENTS!I184&lt;&gt;0,ASSIGNMENTS!I184&lt;&gt;""),"Hours Gap","")))</f>
        <v/>
      </c>
      <c r="E186" s="8" t="str">
        <f>IF(D186="Role Mismatch","Resource role ≠ task required role",IF(D186="Date Range Error","Assignment week outside task dates",IF(D186="Hours Gap","Task not fully assigned ("&amp;ROUND(ASSIGNMENTS!I184,1)&amp;"h remaining)","")))</f>
        <v/>
      </c>
    </row>
    <row r="187" spans="1:5" ht="15" customHeight="1" x14ac:dyDescent="0.3">
      <c r="A187" s="5">
        <v>184</v>
      </c>
      <c r="B187" s="5" t="s">
        <v>548</v>
      </c>
      <c r="C187" s="8" t="str">
        <f>ASSIGNMENTS!A185</f>
        <v>A184</v>
      </c>
      <c r="D187" s="8" t="str">
        <f>IF(ASSIGNMENTS!J185="MISMATCH","Role Mismatch",IF(ASSIGNMENTS!K185="OUT OF RANGE","Date Range Error",IF(AND(ASSIGNMENTS!I185&lt;&gt;0,ASSIGNMENTS!I185&lt;&gt;""),"Hours Gap","")))</f>
        <v/>
      </c>
      <c r="E187" s="8" t="str">
        <f>IF(D187="Role Mismatch","Resource role ≠ task required role",IF(D187="Date Range Error","Assignment week outside task dates",IF(D187="Hours Gap","Task not fully assigned ("&amp;ROUND(ASSIGNMENTS!I185,1)&amp;"h remaining)","")))</f>
        <v/>
      </c>
    </row>
    <row r="188" spans="1:5" ht="15" customHeight="1" x14ac:dyDescent="0.3">
      <c r="A188" s="5">
        <v>185</v>
      </c>
      <c r="B188" s="5" t="s">
        <v>548</v>
      </c>
      <c r="C188" s="8" t="str">
        <f>ASSIGNMENTS!A186</f>
        <v>A185</v>
      </c>
      <c r="D188" s="8" t="str">
        <f>IF(ASSIGNMENTS!J186="MISMATCH","Role Mismatch",IF(ASSIGNMENTS!K186="OUT OF RANGE","Date Range Error",IF(AND(ASSIGNMENTS!I186&lt;&gt;0,ASSIGNMENTS!I186&lt;&gt;""),"Hours Gap","")))</f>
        <v/>
      </c>
      <c r="E188" s="8" t="str">
        <f>IF(D188="Role Mismatch","Resource role ≠ task required role",IF(D188="Date Range Error","Assignment week outside task dates",IF(D188="Hours Gap","Task not fully assigned ("&amp;ROUND(ASSIGNMENTS!I186,1)&amp;"h remaining)","")))</f>
        <v/>
      </c>
    </row>
    <row r="189" spans="1:5" ht="15" customHeight="1" x14ac:dyDescent="0.3">
      <c r="A189" s="5">
        <v>186</v>
      </c>
      <c r="B189" s="5" t="s">
        <v>548</v>
      </c>
      <c r="C189" s="8" t="str">
        <f>ASSIGNMENTS!A187</f>
        <v>A186</v>
      </c>
      <c r="D189" s="8" t="str">
        <f>IF(ASSIGNMENTS!J187="MISMATCH","Role Mismatch",IF(ASSIGNMENTS!K187="OUT OF RANGE","Date Range Error",IF(AND(ASSIGNMENTS!I187&lt;&gt;0,ASSIGNMENTS!I187&lt;&gt;""),"Hours Gap","")))</f>
        <v/>
      </c>
      <c r="E189" s="8" t="str">
        <f>IF(D189="Role Mismatch","Resource role ≠ task required role",IF(D189="Date Range Error","Assignment week outside task dates",IF(D189="Hours Gap","Task not fully assigned ("&amp;ROUND(ASSIGNMENTS!I187,1)&amp;"h remaining)","")))</f>
        <v/>
      </c>
    </row>
    <row r="190" spans="1:5" ht="15" customHeight="1" x14ac:dyDescent="0.3">
      <c r="A190" s="5">
        <v>187</v>
      </c>
      <c r="B190" s="5" t="s">
        <v>548</v>
      </c>
      <c r="C190" s="8" t="str">
        <f>ASSIGNMENTS!A188</f>
        <v>A187</v>
      </c>
      <c r="D190" s="8" t="str">
        <f>IF(ASSIGNMENTS!J188="MISMATCH","Role Mismatch",IF(ASSIGNMENTS!K188="OUT OF RANGE","Date Range Error",IF(AND(ASSIGNMENTS!I188&lt;&gt;0,ASSIGNMENTS!I188&lt;&gt;""),"Hours Gap","")))</f>
        <v/>
      </c>
      <c r="E190" s="8" t="str">
        <f>IF(D190="Role Mismatch","Resource role ≠ task required role",IF(D190="Date Range Error","Assignment week outside task dates",IF(D190="Hours Gap","Task not fully assigned ("&amp;ROUND(ASSIGNMENTS!I188,1)&amp;"h remaining)","")))</f>
        <v/>
      </c>
    </row>
    <row r="191" spans="1:5" ht="15" customHeight="1" x14ac:dyDescent="0.3">
      <c r="A191" s="5">
        <v>188</v>
      </c>
      <c r="B191" s="5" t="s">
        <v>548</v>
      </c>
      <c r="C191" s="8" t="str">
        <f>ASSIGNMENTS!A189</f>
        <v>A188</v>
      </c>
      <c r="D191" s="8" t="str">
        <f>IF(ASSIGNMENTS!J189="MISMATCH","Role Mismatch",IF(ASSIGNMENTS!K189="OUT OF RANGE","Date Range Error",IF(AND(ASSIGNMENTS!I189&lt;&gt;0,ASSIGNMENTS!I189&lt;&gt;""),"Hours Gap","")))</f>
        <v/>
      </c>
      <c r="E191" s="8" t="str">
        <f>IF(D191="Role Mismatch","Resource role ≠ task required role",IF(D191="Date Range Error","Assignment week outside task dates",IF(D191="Hours Gap","Task not fully assigned ("&amp;ROUND(ASSIGNMENTS!I189,1)&amp;"h remaining)","")))</f>
        <v/>
      </c>
    </row>
    <row r="192" spans="1:5" ht="15" customHeight="1" x14ac:dyDescent="0.3">
      <c r="A192" s="5">
        <v>189</v>
      </c>
      <c r="B192" s="5" t="s">
        <v>548</v>
      </c>
      <c r="C192" s="8" t="str">
        <f>ASSIGNMENTS!A190</f>
        <v>A189</v>
      </c>
      <c r="D192" s="8" t="str">
        <f>IF(ASSIGNMENTS!J190="MISMATCH","Role Mismatch",IF(ASSIGNMENTS!K190="OUT OF RANGE","Date Range Error",IF(AND(ASSIGNMENTS!I190&lt;&gt;0,ASSIGNMENTS!I190&lt;&gt;""),"Hours Gap","")))</f>
        <v/>
      </c>
      <c r="E192" s="8" t="str">
        <f>IF(D192="Role Mismatch","Resource role ≠ task required role",IF(D192="Date Range Error","Assignment week outside task dates",IF(D192="Hours Gap","Task not fully assigned ("&amp;ROUND(ASSIGNMENTS!I190,1)&amp;"h remaining)","")))</f>
        <v/>
      </c>
    </row>
    <row r="193" spans="1:5" ht="15" customHeight="1" x14ac:dyDescent="0.3">
      <c r="A193" s="5">
        <v>190</v>
      </c>
      <c r="B193" s="5" t="s">
        <v>548</v>
      </c>
      <c r="C193" s="8" t="str">
        <f>ASSIGNMENTS!A191</f>
        <v>A190</v>
      </c>
      <c r="D193" s="8" t="str">
        <f>IF(ASSIGNMENTS!J191="MISMATCH","Role Mismatch",IF(ASSIGNMENTS!K191="OUT OF RANGE","Date Range Error",IF(AND(ASSIGNMENTS!I191&lt;&gt;0,ASSIGNMENTS!I191&lt;&gt;""),"Hours Gap","")))</f>
        <v/>
      </c>
      <c r="E193" s="8" t="str">
        <f>IF(D193="Role Mismatch","Resource role ≠ task required role",IF(D193="Date Range Error","Assignment week outside task dates",IF(D193="Hours Gap","Task not fully assigned ("&amp;ROUND(ASSIGNMENTS!I191,1)&amp;"h remaining)","")))</f>
        <v/>
      </c>
    </row>
    <row r="194" spans="1:5" ht="15" customHeight="1" x14ac:dyDescent="0.3">
      <c r="A194" s="5">
        <v>191</v>
      </c>
      <c r="B194" s="5" t="s">
        <v>548</v>
      </c>
      <c r="C194" s="8" t="str">
        <f>ASSIGNMENTS!A192</f>
        <v>A191</v>
      </c>
      <c r="D194" s="8" t="str">
        <f>IF(ASSIGNMENTS!J192="MISMATCH","Role Mismatch",IF(ASSIGNMENTS!K192="OUT OF RANGE","Date Range Error",IF(AND(ASSIGNMENTS!I192&lt;&gt;0,ASSIGNMENTS!I192&lt;&gt;""),"Hours Gap","")))</f>
        <v/>
      </c>
      <c r="E194" s="8" t="str">
        <f>IF(D194="Role Mismatch","Resource role ≠ task required role",IF(D194="Date Range Error","Assignment week outside task dates",IF(D194="Hours Gap","Task not fully assigned ("&amp;ROUND(ASSIGNMENTS!I192,1)&amp;"h remaining)","")))</f>
        <v/>
      </c>
    </row>
    <row r="195" spans="1:5" ht="15" customHeight="1" x14ac:dyDescent="0.3">
      <c r="A195" s="5">
        <v>192</v>
      </c>
      <c r="B195" s="5" t="s">
        <v>548</v>
      </c>
      <c r="C195" s="8" t="str">
        <f>ASSIGNMENTS!A193</f>
        <v>A192</v>
      </c>
      <c r="D195" s="8" t="str">
        <f>IF(ASSIGNMENTS!J193="MISMATCH","Role Mismatch",IF(ASSIGNMENTS!K193="OUT OF RANGE","Date Range Error",IF(AND(ASSIGNMENTS!I193&lt;&gt;0,ASSIGNMENTS!I193&lt;&gt;""),"Hours Gap","")))</f>
        <v/>
      </c>
      <c r="E195" s="8" t="str">
        <f>IF(D195="Role Mismatch","Resource role ≠ task required role",IF(D195="Date Range Error","Assignment week outside task dates",IF(D195="Hours Gap","Task not fully assigned ("&amp;ROUND(ASSIGNMENTS!I193,1)&amp;"h remaining)","")))</f>
        <v/>
      </c>
    </row>
    <row r="196" spans="1:5" ht="15" customHeight="1" x14ac:dyDescent="0.3">
      <c r="A196" s="5">
        <v>193</v>
      </c>
      <c r="B196" s="5" t="s">
        <v>548</v>
      </c>
      <c r="C196" s="8" t="str">
        <f>ASSIGNMENTS!A194</f>
        <v>A193</v>
      </c>
      <c r="D196" s="8" t="str">
        <f>IF(ASSIGNMENTS!J194="MISMATCH","Role Mismatch",IF(ASSIGNMENTS!K194="OUT OF RANGE","Date Range Error",IF(AND(ASSIGNMENTS!I194&lt;&gt;0,ASSIGNMENTS!I194&lt;&gt;""),"Hours Gap","")))</f>
        <v/>
      </c>
      <c r="E196" s="8" t="str">
        <f>IF(D196="Role Mismatch","Resource role ≠ task required role",IF(D196="Date Range Error","Assignment week outside task dates",IF(D196="Hours Gap","Task not fully assigned ("&amp;ROUND(ASSIGNMENTS!I194,1)&amp;"h remaining)","")))</f>
        <v/>
      </c>
    </row>
    <row r="197" spans="1:5" ht="15" customHeight="1" x14ac:dyDescent="0.3">
      <c r="A197" s="5">
        <v>194</v>
      </c>
      <c r="B197" s="5" t="s">
        <v>548</v>
      </c>
      <c r="C197" s="8" t="str">
        <f>ASSIGNMENTS!A195</f>
        <v>A194</v>
      </c>
      <c r="D197" s="8" t="str">
        <f>IF(ASSIGNMENTS!J195="MISMATCH","Role Mismatch",IF(ASSIGNMENTS!K195="OUT OF RANGE","Date Range Error",IF(AND(ASSIGNMENTS!I195&lt;&gt;0,ASSIGNMENTS!I195&lt;&gt;""),"Hours Gap","")))</f>
        <v/>
      </c>
      <c r="E197" s="8" t="str">
        <f>IF(D197="Role Mismatch","Resource role ≠ task required role",IF(D197="Date Range Error","Assignment week outside task dates",IF(D197="Hours Gap","Task not fully assigned ("&amp;ROUND(ASSIGNMENTS!I195,1)&amp;"h remaining)","")))</f>
        <v/>
      </c>
    </row>
    <row r="198" spans="1:5" ht="15" customHeight="1" x14ac:dyDescent="0.3">
      <c r="A198" s="5">
        <v>195</v>
      </c>
      <c r="B198" s="5" t="s">
        <v>548</v>
      </c>
      <c r="C198" s="8" t="str">
        <f>ASSIGNMENTS!A196</f>
        <v>A195</v>
      </c>
      <c r="D198" s="8" t="str">
        <f>IF(ASSIGNMENTS!J196="MISMATCH","Role Mismatch",IF(ASSIGNMENTS!K196="OUT OF RANGE","Date Range Error",IF(AND(ASSIGNMENTS!I196&lt;&gt;0,ASSIGNMENTS!I196&lt;&gt;""),"Hours Gap","")))</f>
        <v/>
      </c>
      <c r="E198" s="8" t="str">
        <f>IF(D198="Role Mismatch","Resource role ≠ task required role",IF(D198="Date Range Error","Assignment week outside task dates",IF(D198="Hours Gap","Task not fully assigned ("&amp;ROUND(ASSIGNMENTS!I196,1)&amp;"h remaining)","")))</f>
        <v/>
      </c>
    </row>
    <row r="199" spans="1:5" ht="15" customHeight="1" x14ac:dyDescent="0.3">
      <c r="A199" s="5">
        <v>196</v>
      </c>
      <c r="B199" s="5" t="s">
        <v>548</v>
      </c>
      <c r="C199" s="8" t="str">
        <f>ASSIGNMENTS!A197</f>
        <v>A196</v>
      </c>
      <c r="D199" s="8" t="str">
        <f>IF(ASSIGNMENTS!J197="MISMATCH","Role Mismatch",IF(ASSIGNMENTS!K197="OUT OF RANGE","Date Range Error",IF(AND(ASSIGNMENTS!I197&lt;&gt;0,ASSIGNMENTS!I197&lt;&gt;""),"Hours Gap","")))</f>
        <v/>
      </c>
      <c r="E199" s="8" t="str">
        <f>IF(D199="Role Mismatch","Resource role ≠ task required role",IF(D199="Date Range Error","Assignment week outside task dates",IF(D199="Hours Gap","Task not fully assigned ("&amp;ROUND(ASSIGNMENTS!I197,1)&amp;"h remaining)","")))</f>
        <v/>
      </c>
    </row>
    <row r="200" spans="1:5" ht="15" customHeight="1" x14ac:dyDescent="0.3">
      <c r="A200" s="5">
        <v>197</v>
      </c>
      <c r="B200" s="5" t="s">
        <v>548</v>
      </c>
      <c r="C200" s="8" t="str">
        <f>ASSIGNMENTS!A198</f>
        <v>A197</v>
      </c>
      <c r="D200" s="8" t="str">
        <f>IF(ASSIGNMENTS!J198="MISMATCH","Role Mismatch",IF(ASSIGNMENTS!K198="OUT OF RANGE","Date Range Error",IF(AND(ASSIGNMENTS!I198&lt;&gt;0,ASSIGNMENTS!I198&lt;&gt;""),"Hours Gap","")))</f>
        <v/>
      </c>
      <c r="E200" s="8" t="str">
        <f>IF(D200="Role Mismatch","Resource role ≠ task required role",IF(D200="Date Range Error","Assignment week outside task dates",IF(D200="Hours Gap","Task not fully assigned ("&amp;ROUND(ASSIGNMENTS!I198,1)&amp;"h remaining)","")))</f>
        <v/>
      </c>
    </row>
    <row r="201" spans="1:5" ht="15" customHeight="1" x14ac:dyDescent="0.3">
      <c r="A201" s="5">
        <v>198</v>
      </c>
      <c r="B201" s="5" t="s">
        <v>548</v>
      </c>
      <c r="C201" s="8" t="str">
        <f>ASSIGNMENTS!A199</f>
        <v>A198</v>
      </c>
      <c r="D201" s="8" t="str">
        <f>IF(ASSIGNMENTS!J199="MISMATCH","Role Mismatch",IF(ASSIGNMENTS!K199="OUT OF RANGE","Date Range Error",IF(AND(ASSIGNMENTS!I199&lt;&gt;0,ASSIGNMENTS!I199&lt;&gt;""),"Hours Gap","")))</f>
        <v/>
      </c>
      <c r="E201" s="8" t="str">
        <f>IF(D201="Role Mismatch","Resource role ≠ task required role",IF(D201="Date Range Error","Assignment week outside task dates",IF(D201="Hours Gap","Task not fully assigned ("&amp;ROUND(ASSIGNMENTS!I199,1)&amp;"h remaining)","")))</f>
        <v/>
      </c>
    </row>
    <row r="202" spans="1:5" ht="15" customHeight="1" x14ac:dyDescent="0.3">
      <c r="A202" s="5">
        <v>199</v>
      </c>
      <c r="B202" s="5" t="s">
        <v>548</v>
      </c>
      <c r="C202" s="8" t="str">
        <f>ASSIGNMENTS!A200</f>
        <v>A199</v>
      </c>
      <c r="D202" s="8" t="str">
        <f>IF(ASSIGNMENTS!J200="MISMATCH","Role Mismatch",IF(ASSIGNMENTS!K200="OUT OF RANGE","Date Range Error",IF(AND(ASSIGNMENTS!I200&lt;&gt;0,ASSIGNMENTS!I200&lt;&gt;""),"Hours Gap","")))</f>
        <v/>
      </c>
      <c r="E202" s="8" t="str">
        <f>IF(D202="Role Mismatch","Resource role ≠ task required role",IF(D202="Date Range Error","Assignment week outside task dates",IF(D202="Hours Gap","Task not fully assigned ("&amp;ROUND(ASSIGNMENTS!I200,1)&amp;"h remaining)","")))</f>
        <v/>
      </c>
    </row>
    <row r="203" spans="1:5" ht="15" customHeight="1" x14ac:dyDescent="0.3">
      <c r="A203" s="5">
        <v>200</v>
      </c>
      <c r="B203" s="5" t="s">
        <v>548</v>
      </c>
      <c r="C203" s="8" t="str">
        <f>ASSIGNMENTS!A201</f>
        <v>A200</v>
      </c>
      <c r="D203" s="8" t="str">
        <f>IF(ASSIGNMENTS!J201="MISMATCH","Role Mismatch",IF(ASSIGNMENTS!K201="OUT OF RANGE","Date Range Error",IF(AND(ASSIGNMENTS!I201&lt;&gt;0,ASSIGNMENTS!I201&lt;&gt;""),"Hours Gap","")))</f>
        <v/>
      </c>
      <c r="E203" s="8" t="str">
        <f>IF(D203="Role Mismatch","Resource role ≠ task required role",IF(D203="Date Range Error","Assignment week outside task dates",IF(D203="Hours Gap","Task not fully assigned ("&amp;ROUND(ASSIGNMENTS!I201,1)&amp;"h remaining)","")))</f>
        <v/>
      </c>
    </row>
    <row r="204" spans="1:5" ht="15" customHeight="1" x14ac:dyDescent="0.3">
      <c r="A204" s="5">
        <v>201</v>
      </c>
      <c r="B204" s="5" t="s">
        <v>548</v>
      </c>
      <c r="C204" s="8" t="str">
        <f>ASSIGNMENTS!A202</f>
        <v>A201</v>
      </c>
      <c r="D204" s="8" t="str">
        <f>IF(ASSIGNMENTS!J202="MISMATCH","Role Mismatch",IF(ASSIGNMENTS!K202="OUT OF RANGE","Date Range Error",IF(AND(ASSIGNMENTS!I202&lt;&gt;0,ASSIGNMENTS!I202&lt;&gt;""),"Hours Gap","")))</f>
        <v/>
      </c>
      <c r="E204" s="8" t="str">
        <f>IF(D204="Role Mismatch","Resource role ≠ task required role",IF(D204="Date Range Error","Assignment week outside task dates",IF(D204="Hours Gap","Task not fully assigned ("&amp;ROUND(ASSIGNMENTS!I202,1)&amp;"h remaining)","")))</f>
        <v/>
      </c>
    </row>
    <row r="205" spans="1:5" ht="15" customHeight="1" x14ac:dyDescent="0.3">
      <c r="A205" s="5">
        <v>202</v>
      </c>
      <c r="B205" s="5" t="s">
        <v>548</v>
      </c>
      <c r="C205" s="8" t="str">
        <f>ASSIGNMENTS!A203</f>
        <v>A202</v>
      </c>
      <c r="D205" s="8" t="str">
        <f>IF(ASSIGNMENTS!J203="MISMATCH","Role Mismatch",IF(ASSIGNMENTS!K203="OUT OF RANGE","Date Range Error",IF(AND(ASSIGNMENTS!I203&lt;&gt;0,ASSIGNMENTS!I203&lt;&gt;""),"Hours Gap","")))</f>
        <v/>
      </c>
      <c r="E205" s="8" t="str">
        <f>IF(D205="Role Mismatch","Resource role ≠ task required role",IF(D205="Date Range Error","Assignment week outside task dates",IF(D205="Hours Gap","Task not fully assigned ("&amp;ROUND(ASSIGNMENTS!I203,1)&amp;"h remaining)","")))</f>
        <v/>
      </c>
    </row>
    <row r="206" spans="1:5" ht="15" customHeight="1" x14ac:dyDescent="0.3">
      <c r="A206" s="5">
        <v>203</v>
      </c>
      <c r="B206" s="5" t="s">
        <v>548</v>
      </c>
      <c r="C206" s="8" t="str">
        <f>ASSIGNMENTS!A204</f>
        <v>A203</v>
      </c>
      <c r="D206" s="8" t="str">
        <f>IF(ASSIGNMENTS!J204="MISMATCH","Role Mismatch",IF(ASSIGNMENTS!K204="OUT OF RANGE","Date Range Error",IF(AND(ASSIGNMENTS!I204&lt;&gt;0,ASSIGNMENTS!I204&lt;&gt;""),"Hours Gap","")))</f>
        <v/>
      </c>
      <c r="E206" s="8" t="str">
        <f>IF(D206="Role Mismatch","Resource role ≠ task required role",IF(D206="Date Range Error","Assignment week outside task dates",IF(D206="Hours Gap","Task not fully assigned ("&amp;ROUND(ASSIGNMENTS!I204,1)&amp;"h remaining)","")))</f>
        <v/>
      </c>
    </row>
    <row r="207" spans="1:5" ht="15" customHeight="1" x14ac:dyDescent="0.3">
      <c r="A207" s="5">
        <v>204</v>
      </c>
      <c r="B207" s="5" t="s">
        <v>548</v>
      </c>
      <c r="C207" s="8" t="str">
        <f>ASSIGNMENTS!A205</f>
        <v>A204</v>
      </c>
      <c r="D207" s="8" t="str">
        <f>IF(ASSIGNMENTS!J205="MISMATCH","Role Mismatch",IF(ASSIGNMENTS!K205="OUT OF RANGE","Date Range Error",IF(AND(ASSIGNMENTS!I205&lt;&gt;0,ASSIGNMENTS!I205&lt;&gt;""),"Hours Gap","")))</f>
        <v/>
      </c>
      <c r="E207" s="8" t="str">
        <f>IF(D207="Role Mismatch","Resource role ≠ task required role",IF(D207="Date Range Error","Assignment week outside task dates",IF(D207="Hours Gap","Task not fully assigned ("&amp;ROUND(ASSIGNMENTS!I205,1)&amp;"h remaining)","")))</f>
        <v/>
      </c>
    </row>
    <row r="208" spans="1:5" ht="15" customHeight="1" x14ac:dyDescent="0.3">
      <c r="A208" s="5">
        <v>205</v>
      </c>
      <c r="B208" s="5" t="s">
        <v>548</v>
      </c>
      <c r="C208" s="8" t="str">
        <f>ASSIGNMENTS!A206</f>
        <v>A205</v>
      </c>
      <c r="D208" s="8" t="str">
        <f>IF(ASSIGNMENTS!J206="MISMATCH","Role Mismatch",IF(ASSIGNMENTS!K206="OUT OF RANGE","Date Range Error",IF(AND(ASSIGNMENTS!I206&lt;&gt;0,ASSIGNMENTS!I206&lt;&gt;""),"Hours Gap","")))</f>
        <v/>
      </c>
      <c r="E208" s="8" t="str">
        <f>IF(D208="Role Mismatch","Resource role ≠ task required role",IF(D208="Date Range Error","Assignment week outside task dates",IF(D208="Hours Gap","Task not fully assigned ("&amp;ROUND(ASSIGNMENTS!I206,1)&amp;"h remaining)","")))</f>
        <v/>
      </c>
    </row>
    <row r="209" spans="1:5" ht="15" customHeight="1" x14ac:dyDescent="0.3">
      <c r="A209" s="5">
        <v>206</v>
      </c>
      <c r="B209" s="5" t="s">
        <v>548</v>
      </c>
      <c r="C209" s="8" t="str">
        <f>ASSIGNMENTS!A207</f>
        <v>A206</v>
      </c>
      <c r="D209" s="8" t="str">
        <f>IF(ASSIGNMENTS!J207="MISMATCH","Role Mismatch",IF(ASSIGNMENTS!K207="OUT OF RANGE","Date Range Error",IF(AND(ASSIGNMENTS!I207&lt;&gt;0,ASSIGNMENTS!I207&lt;&gt;""),"Hours Gap","")))</f>
        <v/>
      </c>
      <c r="E209" s="8" t="str">
        <f>IF(D209="Role Mismatch","Resource role ≠ task required role",IF(D209="Date Range Error","Assignment week outside task dates",IF(D209="Hours Gap","Task not fully assigned ("&amp;ROUND(ASSIGNMENTS!I207,1)&amp;"h remaining)","")))</f>
        <v/>
      </c>
    </row>
    <row r="210" spans="1:5" ht="15" customHeight="1" x14ac:dyDescent="0.3">
      <c r="A210" s="5">
        <v>207</v>
      </c>
      <c r="B210" s="5" t="s">
        <v>548</v>
      </c>
      <c r="C210" s="8" t="str">
        <f>ASSIGNMENTS!A208</f>
        <v>A207</v>
      </c>
      <c r="D210" s="8" t="str">
        <f>IF(ASSIGNMENTS!J208="MISMATCH","Role Mismatch",IF(ASSIGNMENTS!K208="OUT OF RANGE","Date Range Error",IF(AND(ASSIGNMENTS!I208&lt;&gt;0,ASSIGNMENTS!I208&lt;&gt;""),"Hours Gap","")))</f>
        <v/>
      </c>
      <c r="E210" s="8" t="str">
        <f>IF(D210="Role Mismatch","Resource role ≠ task required role",IF(D210="Date Range Error","Assignment week outside task dates",IF(D210="Hours Gap","Task not fully assigned ("&amp;ROUND(ASSIGNMENTS!I208,1)&amp;"h remaining)","")))</f>
        <v/>
      </c>
    </row>
    <row r="211" spans="1:5" ht="15" customHeight="1" x14ac:dyDescent="0.3">
      <c r="A211" s="5">
        <v>208</v>
      </c>
      <c r="B211" s="5" t="s">
        <v>548</v>
      </c>
      <c r="C211" s="8" t="str">
        <f>ASSIGNMENTS!A209</f>
        <v>A208</v>
      </c>
      <c r="D211" s="8" t="str">
        <f>IF(ASSIGNMENTS!J209="MISMATCH","Role Mismatch",IF(ASSIGNMENTS!K209="OUT OF RANGE","Date Range Error",IF(AND(ASSIGNMENTS!I209&lt;&gt;0,ASSIGNMENTS!I209&lt;&gt;""),"Hours Gap","")))</f>
        <v/>
      </c>
      <c r="E211" s="8" t="str">
        <f>IF(D211="Role Mismatch","Resource role ≠ task required role",IF(D211="Date Range Error","Assignment week outside task dates",IF(D211="Hours Gap","Task not fully assigned ("&amp;ROUND(ASSIGNMENTS!I209,1)&amp;"h remaining)","")))</f>
        <v/>
      </c>
    </row>
    <row r="212" spans="1:5" ht="15" customHeight="1" x14ac:dyDescent="0.3">
      <c r="A212" s="5">
        <v>209</v>
      </c>
      <c r="B212" s="5" t="s">
        <v>548</v>
      </c>
      <c r="C212" s="8" t="str">
        <f>ASSIGNMENTS!A210</f>
        <v>A209</v>
      </c>
      <c r="D212" s="8" t="str">
        <f>IF(ASSIGNMENTS!J210="MISMATCH","Role Mismatch",IF(ASSIGNMENTS!K210="OUT OF RANGE","Date Range Error",IF(AND(ASSIGNMENTS!I210&lt;&gt;0,ASSIGNMENTS!I210&lt;&gt;""),"Hours Gap","")))</f>
        <v/>
      </c>
      <c r="E212" s="8" t="str">
        <f>IF(D212="Role Mismatch","Resource role ≠ task required role",IF(D212="Date Range Error","Assignment week outside task dates",IF(D212="Hours Gap","Task not fully assigned ("&amp;ROUND(ASSIGNMENTS!I210,1)&amp;"h remaining)","")))</f>
        <v/>
      </c>
    </row>
    <row r="213" spans="1:5" ht="15" customHeight="1" x14ac:dyDescent="0.3">
      <c r="A213" s="5">
        <v>210</v>
      </c>
      <c r="B213" s="5" t="s">
        <v>548</v>
      </c>
      <c r="C213" s="8" t="str">
        <f>ASSIGNMENTS!A211</f>
        <v>A210</v>
      </c>
      <c r="D213" s="8" t="str">
        <f>IF(ASSIGNMENTS!J211="MISMATCH","Role Mismatch",IF(ASSIGNMENTS!K211="OUT OF RANGE","Date Range Error",IF(AND(ASSIGNMENTS!I211&lt;&gt;0,ASSIGNMENTS!I211&lt;&gt;""),"Hours Gap","")))</f>
        <v/>
      </c>
      <c r="E213" s="8" t="str">
        <f>IF(D213="Role Mismatch","Resource role ≠ task required role",IF(D213="Date Range Error","Assignment week outside task dates",IF(D213="Hours Gap","Task not fully assigned ("&amp;ROUND(ASSIGNMENTS!I211,1)&amp;"h remaining)","")))</f>
        <v/>
      </c>
    </row>
    <row r="214" spans="1:5" ht="15" customHeight="1" x14ac:dyDescent="0.3">
      <c r="A214" s="5">
        <v>211</v>
      </c>
      <c r="B214" s="5" t="s">
        <v>548</v>
      </c>
      <c r="C214" s="8" t="str">
        <f>ASSIGNMENTS!A212</f>
        <v>A211</v>
      </c>
      <c r="D214" s="8" t="str">
        <f>IF(ASSIGNMENTS!J212="MISMATCH","Role Mismatch",IF(ASSIGNMENTS!K212="OUT OF RANGE","Date Range Error",IF(AND(ASSIGNMENTS!I212&lt;&gt;0,ASSIGNMENTS!I212&lt;&gt;""),"Hours Gap","")))</f>
        <v/>
      </c>
      <c r="E214" s="8" t="str">
        <f>IF(D214="Role Mismatch","Resource role ≠ task required role",IF(D214="Date Range Error","Assignment week outside task dates",IF(D214="Hours Gap","Task not fully assigned ("&amp;ROUND(ASSIGNMENTS!I212,1)&amp;"h remaining)","")))</f>
        <v/>
      </c>
    </row>
    <row r="215" spans="1:5" ht="15" customHeight="1" x14ac:dyDescent="0.3">
      <c r="A215" s="5">
        <v>212</v>
      </c>
      <c r="B215" s="5" t="s">
        <v>548</v>
      </c>
      <c r="C215" s="8" t="str">
        <f>ASSIGNMENTS!A213</f>
        <v>A212</v>
      </c>
      <c r="D215" s="8" t="str">
        <f>IF(ASSIGNMENTS!J213="MISMATCH","Role Mismatch",IF(ASSIGNMENTS!K213="OUT OF RANGE","Date Range Error",IF(AND(ASSIGNMENTS!I213&lt;&gt;0,ASSIGNMENTS!I213&lt;&gt;""),"Hours Gap","")))</f>
        <v/>
      </c>
      <c r="E215" s="8" t="str">
        <f>IF(D215="Role Mismatch","Resource role ≠ task required role",IF(D215="Date Range Error","Assignment week outside task dates",IF(D215="Hours Gap","Task not fully assigned ("&amp;ROUND(ASSIGNMENTS!I213,1)&amp;"h remaining)","")))</f>
        <v/>
      </c>
    </row>
    <row r="216" spans="1:5" ht="15" customHeight="1" x14ac:dyDescent="0.3">
      <c r="A216" s="5">
        <v>213</v>
      </c>
      <c r="B216" s="5" t="s">
        <v>548</v>
      </c>
      <c r="C216" s="8" t="str">
        <f>ASSIGNMENTS!A214</f>
        <v>A213</v>
      </c>
      <c r="D216" s="8" t="str">
        <f>IF(ASSIGNMENTS!J214="MISMATCH","Role Mismatch",IF(ASSIGNMENTS!K214="OUT OF RANGE","Date Range Error",IF(AND(ASSIGNMENTS!I214&lt;&gt;0,ASSIGNMENTS!I214&lt;&gt;""),"Hours Gap","")))</f>
        <v/>
      </c>
      <c r="E216" s="8" t="str">
        <f>IF(D216="Role Mismatch","Resource role ≠ task required role",IF(D216="Date Range Error","Assignment week outside task dates",IF(D216="Hours Gap","Task not fully assigned ("&amp;ROUND(ASSIGNMENTS!I214,1)&amp;"h remaining)","")))</f>
        <v/>
      </c>
    </row>
  </sheetData>
  <conditionalFormatting sqref="D4:D216">
    <cfRule type="cellIs" dxfId="0" priority="2" operator="notEqual">
      <formula>""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README</vt:lpstr>
      <vt:lpstr>SETTINGS</vt:lpstr>
      <vt:lpstr>RESOURCES</vt:lpstr>
      <vt:lpstr>PROJECTS</vt:lpstr>
      <vt:lpstr>TASKS</vt:lpstr>
      <vt:lpstr>ASSIGNMENTS</vt:lpstr>
      <vt:lpstr>CAPACITY_MODEL</vt:lpstr>
      <vt:lpstr>DEMAND_VS_CAPACITY</vt:lpstr>
      <vt:lpstr>SCHEDULE_VIEW</vt:lpstr>
      <vt:lpstr>PROJECT_VIEW</vt:lpstr>
      <vt:lpstr>DASHBOARD</vt:lpstr>
      <vt:lpstr>DATA_ISSUES</vt:lpstr>
      <vt:lpstr>NumWeeks</vt:lpstr>
      <vt:lpstr>OTAllowed</vt:lpstr>
      <vt:lpstr>OTCap</vt:lpstr>
      <vt:lpstr>PlanStart</vt:lpstr>
      <vt:lpstr>StdHrsDay</vt:lpstr>
      <vt:lpstr>StdHrsWeek</vt:lpstr>
      <vt:lpstr>UtilWarn</vt:lpstr>
      <vt:lpstr>WorkDays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Anis Bouchema</cp:lastModifiedBy>
  <cp:revision>2</cp:revision>
  <dcterms:created xsi:type="dcterms:W3CDTF">2026-02-23T10:09:27Z</dcterms:created>
  <dcterms:modified xsi:type="dcterms:W3CDTF">2026-02-24T00:43:29Z</dcterms:modified>
  <dc:language>en-US</dc:language>
</cp:coreProperties>
</file>